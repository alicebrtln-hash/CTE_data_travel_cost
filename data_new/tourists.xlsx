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alicebartolini/Desktop/Travel Cost/Codici/SSite/new/"/>
    </mc:Choice>
  </mc:AlternateContent>
  <xr:revisionPtr revIDLastSave="0" documentId="13_ncr:1_{A4F4E191-0132-F44D-92C6-93A9DF4E04C4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V3" i="1" l="1"/>
  <c r="DV4" i="1"/>
  <c r="DV5" i="1"/>
  <c r="DV6" i="1"/>
  <c r="DV7" i="1"/>
  <c r="DV8" i="1"/>
  <c r="DV9" i="1"/>
  <c r="DV10" i="1"/>
  <c r="DV11" i="1"/>
  <c r="DV12" i="1"/>
  <c r="DV13" i="1"/>
  <c r="DV14" i="1"/>
  <c r="DV15" i="1"/>
  <c r="DV16" i="1"/>
  <c r="DV17" i="1"/>
  <c r="DV18" i="1"/>
  <c r="DV19" i="1"/>
  <c r="DV20" i="1"/>
  <c r="DV21" i="1"/>
  <c r="DV22" i="1"/>
  <c r="DV23" i="1"/>
  <c r="DV24" i="1"/>
  <c r="DV25" i="1"/>
  <c r="DV26" i="1"/>
  <c r="DV27" i="1"/>
  <c r="DV28" i="1"/>
  <c r="DV29" i="1"/>
  <c r="DV30" i="1"/>
  <c r="DV31" i="1"/>
  <c r="DV32" i="1"/>
  <c r="DV33" i="1"/>
  <c r="DV34" i="1"/>
  <c r="DV35" i="1"/>
  <c r="DV36" i="1"/>
  <c r="DV37" i="1"/>
  <c r="DV38" i="1"/>
  <c r="DV39" i="1"/>
  <c r="DV40" i="1"/>
  <c r="DV41" i="1"/>
  <c r="DV42" i="1"/>
  <c r="DV43" i="1"/>
  <c r="DV44" i="1"/>
  <c r="DV45" i="1"/>
  <c r="DV46" i="1"/>
  <c r="DV47" i="1"/>
  <c r="DV48" i="1"/>
  <c r="DV49" i="1"/>
  <c r="DV50" i="1"/>
  <c r="DV51" i="1"/>
  <c r="DV52" i="1"/>
  <c r="DV53" i="1"/>
  <c r="DV54" i="1"/>
  <c r="DV55" i="1"/>
  <c r="DV56" i="1"/>
  <c r="DV57" i="1"/>
  <c r="DV58" i="1"/>
  <c r="DV59" i="1"/>
  <c r="DV60" i="1"/>
  <c r="DV61" i="1"/>
  <c r="DV62" i="1"/>
  <c r="DV63" i="1"/>
  <c r="DV64" i="1"/>
  <c r="DV65" i="1"/>
  <c r="DV66" i="1"/>
  <c r="DV67" i="1"/>
  <c r="DV68" i="1"/>
  <c r="DV69" i="1"/>
  <c r="DV70" i="1"/>
  <c r="DV71" i="1"/>
  <c r="DV72" i="1"/>
  <c r="DV73" i="1"/>
  <c r="DV74" i="1"/>
  <c r="DV75" i="1"/>
  <c r="DV76" i="1"/>
  <c r="DV77" i="1"/>
  <c r="DV78" i="1"/>
  <c r="DV79" i="1"/>
  <c r="DV80" i="1"/>
  <c r="DV81" i="1"/>
  <c r="DV82" i="1"/>
  <c r="DV83" i="1"/>
  <c r="DV84" i="1"/>
  <c r="DV85" i="1"/>
  <c r="DV86" i="1"/>
  <c r="DV87" i="1"/>
  <c r="DV88" i="1"/>
  <c r="DV89" i="1"/>
  <c r="DV90" i="1"/>
  <c r="DV91" i="1"/>
  <c r="DV92" i="1"/>
  <c r="DV93" i="1"/>
  <c r="DV95" i="1"/>
  <c r="DV96" i="1"/>
  <c r="DV97" i="1"/>
  <c r="DV98" i="1"/>
  <c r="DV99" i="1"/>
  <c r="DV100" i="1"/>
  <c r="DV101" i="1"/>
  <c r="DV102" i="1"/>
  <c r="DV103" i="1"/>
  <c r="DV105" i="1"/>
  <c r="DV106" i="1"/>
  <c r="DV107" i="1"/>
  <c r="DV108" i="1"/>
  <c r="DV109" i="1"/>
  <c r="DV110" i="1"/>
  <c r="DV111" i="1"/>
  <c r="DV112" i="1"/>
  <c r="DV113" i="1"/>
  <c r="DV114" i="1"/>
  <c r="DV115" i="1"/>
  <c r="DV116" i="1"/>
  <c r="DV117" i="1"/>
  <c r="DV118" i="1"/>
  <c r="DV119" i="1"/>
  <c r="DV120" i="1"/>
  <c r="DV121" i="1"/>
  <c r="DV122" i="1"/>
  <c r="DV123" i="1"/>
  <c r="DV124" i="1"/>
  <c r="DV125" i="1"/>
  <c r="DV126" i="1"/>
  <c r="DV127" i="1"/>
  <c r="DV128" i="1"/>
  <c r="DV129" i="1"/>
  <c r="DV130" i="1"/>
  <c r="DV131" i="1"/>
  <c r="DV132" i="1"/>
  <c r="DV133" i="1"/>
  <c r="DV134" i="1"/>
  <c r="DV135" i="1"/>
  <c r="DV136" i="1"/>
  <c r="DV137" i="1"/>
  <c r="DV138" i="1"/>
  <c r="DV139" i="1"/>
  <c r="DV140" i="1"/>
  <c r="DV141" i="1"/>
  <c r="DV142" i="1"/>
  <c r="DV143" i="1"/>
  <c r="DV144" i="1"/>
  <c r="DV145" i="1"/>
  <c r="DV146" i="1"/>
  <c r="DV2" i="1"/>
  <c r="DR3" i="1"/>
  <c r="DR4" i="1"/>
  <c r="DR5" i="1"/>
  <c r="DR6" i="1"/>
  <c r="DR7" i="1"/>
  <c r="DR8" i="1"/>
  <c r="DR9" i="1"/>
  <c r="DR10" i="1"/>
  <c r="DR11" i="1"/>
  <c r="DR12" i="1"/>
  <c r="DR13" i="1"/>
  <c r="DR14" i="1"/>
  <c r="DR15" i="1"/>
  <c r="DR16" i="1"/>
  <c r="DR17" i="1"/>
  <c r="DR18" i="1"/>
  <c r="DR19" i="1"/>
  <c r="DR20" i="1"/>
  <c r="DR21" i="1"/>
  <c r="DR22" i="1"/>
  <c r="DR23" i="1"/>
  <c r="DR24" i="1"/>
  <c r="DR25" i="1"/>
  <c r="DR26" i="1"/>
  <c r="DR27" i="1"/>
  <c r="DR28" i="1"/>
  <c r="DR29" i="1"/>
  <c r="DR30" i="1"/>
  <c r="DR31" i="1"/>
  <c r="DR32" i="1"/>
  <c r="DR33" i="1"/>
  <c r="DR34" i="1"/>
  <c r="DR35" i="1"/>
  <c r="DR36" i="1"/>
  <c r="DR37" i="1"/>
  <c r="DR38" i="1"/>
  <c r="DR39" i="1"/>
  <c r="DR40" i="1"/>
  <c r="DR41" i="1"/>
  <c r="DR42" i="1"/>
  <c r="DR43" i="1"/>
  <c r="DR44" i="1"/>
  <c r="DR45" i="1"/>
  <c r="DR46" i="1"/>
  <c r="DR47" i="1"/>
  <c r="DR48" i="1"/>
  <c r="DR49" i="1"/>
  <c r="DR50" i="1"/>
  <c r="DR51" i="1"/>
  <c r="DR52" i="1"/>
  <c r="DR53" i="1"/>
  <c r="DR54" i="1"/>
  <c r="DR55" i="1"/>
  <c r="DR56" i="1"/>
  <c r="DR57" i="1"/>
  <c r="DR58" i="1"/>
  <c r="DR59" i="1"/>
  <c r="DR60" i="1"/>
  <c r="DR61" i="1"/>
  <c r="DR62" i="1"/>
  <c r="DR63" i="1"/>
  <c r="DR64" i="1"/>
  <c r="DR65" i="1"/>
  <c r="DR66" i="1"/>
  <c r="DR67" i="1"/>
  <c r="DR68" i="1"/>
  <c r="DR69" i="1"/>
  <c r="DR70" i="1"/>
  <c r="DR71" i="1"/>
  <c r="DR72" i="1"/>
  <c r="DR73" i="1"/>
  <c r="DR74" i="1"/>
  <c r="DR75" i="1"/>
  <c r="DR76" i="1"/>
  <c r="DR77" i="1"/>
  <c r="DR78" i="1"/>
  <c r="DR79" i="1"/>
  <c r="DR80" i="1"/>
  <c r="DR81" i="1"/>
  <c r="DR82" i="1"/>
  <c r="DR83" i="1"/>
  <c r="DR84" i="1"/>
  <c r="DR85" i="1"/>
  <c r="DR86" i="1"/>
  <c r="DR87" i="1"/>
  <c r="DR88" i="1"/>
  <c r="DR89" i="1"/>
  <c r="DR90" i="1"/>
  <c r="DR91" i="1"/>
  <c r="DR92" i="1"/>
  <c r="DR93" i="1"/>
  <c r="DR95" i="1"/>
  <c r="DR96" i="1"/>
  <c r="DR97" i="1"/>
  <c r="DR98" i="1"/>
  <c r="DR99" i="1"/>
  <c r="DR100" i="1"/>
  <c r="DR101" i="1"/>
  <c r="DR102" i="1"/>
  <c r="DR103" i="1"/>
  <c r="DR105" i="1"/>
  <c r="DR106" i="1"/>
  <c r="DR107" i="1"/>
  <c r="DR108" i="1"/>
  <c r="DR109" i="1"/>
  <c r="DR110" i="1"/>
  <c r="DR111" i="1"/>
  <c r="DR112" i="1"/>
  <c r="DR113" i="1"/>
  <c r="DR114" i="1"/>
  <c r="DR115" i="1"/>
  <c r="DR116" i="1"/>
  <c r="DR117" i="1"/>
  <c r="DR118" i="1"/>
  <c r="DR119" i="1"/>
  <c r="DR120" i="1"/>
  <c r="DR121" i="1"/>
  <c r="DR122" i="1"/>
  <c r="DR123" i="1"/>
  <c r="DR124" i="1"/>
  <c r="DR125" i="1"/>
  <c r="DR126" i="1"/>
  <c r="DR127" i="1"/>
  <c r="DR128" i="1"/>
  <c r="DR129" i="1"/>
  <c r="DR130" i="1"/>
  <c r="DR131" i="1"/>
  <c r="DR132" i="1"/>
  <c r="DR133" i="1"/>
  <c r="DR134" i="1"/>
  <c r="DR135" i="1"/>
  <c r="DR136" i="1"/>
  <c r="DR137" i="1"/>
  <c r="DR138" i="1"/>
  <c r="DR139" i="1"/>
  <c r="DR140" i="1"/>
  <c r="DR141" i="1"/>
  <c r="DR142" i="1"/>
  <c r="DR143" i="1"/>
  <c r="DR144" i="1"/>
  <c r="DR145" i="1"/>
  <c r="DR146" i="1"/>
  <c r="DR2" i="1"/>
  <c r="DN3" i="1"/>
  <c r="DN4" i="1"/>
  <c r="DN5" i="1"/>
  <c r="DN6" i="1"/>
  <c r="DN7" i="1"/>
  <c r="DN8" i="1"/>
  <c r="DN9" i="1"/>
  <c r="DN10" i="1"/>
  <c r="DN11" i="1"/>
  <c r="DN12" i="1"/>
  <c r="DN13" i="1"/>
  <c r="DN14" i="1"/>
  <c r="DN15" i="1"/>
  <c r="DN16" i="1"/>
  <c r="DN17" i="1"/>
  <c r="DN18" i="1"/>
  <c r="DN19" i="1"/>
  <c r="DN20" i="1"/>
  <c r="DN21" i="1"/>
  <c r="DN22" i="1"/>
  <c r="DN23" i="1"/>
  <c r="DN24" i="1"/>
  <c r="DN25" i="1"/>
  <c r="DN26" i="1"/>
  <c r="DN27" i="1"/>
  <c r="DN28" i="1"/>
  <c r="DN29" i="1"/>
  <c r="DN30" i="1"/>
  <c r="DN31" i="1"/>
  <c r="DN32" i="1"/>
  <c r="DN33" i="1"/>
  <c r="DN34" i="1"/>
  <c r="DN35" i="1"/>
  <c r="DN36" i="1"/>
  <c r="DN37" i="1"/>
  <c r="DN38" i="1"/>
  <c r="DN39" i="1"/>
  <c r="DN40" i="1"/>
  <c r="DN41" i="1"/>
  <c r="DN42" i="1"/>
  <c r="DN43" i="1"/>
  <c r="DN44" i="1"/>
  <c r="DN45" i="1"/>
  <c r="DN46" i="1"/>
  <c r="DN47" i="1"/>
  <c r="DN48" i="1"/>
  <c r="DN49" i="1"/>
  <c r="DN50" i="1"/>
  <c r="DN51" i="1"/>
  <c r="DN52" i="1"/>
  <c r="DN53" i="1"/>
  <c r="DN54" i="1"/>
  <c r="DN55" i="1"/>
  <c r="DN56" i="1"/>
  <c r="DN57" i="1"/>
  <c r="DN58" i="1"/>
  <c r="DN59" i="1"/>
  <c r="DN60" i="1"/>
  <c r="DN61" i="1"/>
  <c r="DN62" i="1"/>
  <c r="DN63" i="1"/>
  <c r="DN64" i="1"/>
  <c r="DN65" i="1"/>
  <c r="DN66" i="1"/>
  <c r="DN67" i="1"/>
  <c r="DN68" i="1"/>
  <c r="DN69" i="1"/>
  <c r="DN70" i="1"/>
  <c r="DN71" i="1"/>
  <c r="DN72" i="1"/>
  <c r="DN73" i="1"/>
  <c r="DN74" i="1"/>
  <c r="DN75" i="1"/>
  <c r="DN76" i="1"/>
  <c r="DN77" i="1"/>
  <c r="DN78" i="1"/>
  <c r="DN79" i="1"/>
  <c r="DN80" i="1"/>
  <c r="DN81" i="1"/>
  <c r="DN82" i="1"/>
  <c r="DN83" i="1"/>
  <c r="DN84" i="1"/>
  <c r="DN85" i="1"/>
  <c r="DN86" i="1"/>
  <c r="DN87" i="1"/>
  <c r="DN88" i="1"/>
  <c r="DN89" i="1"/>
  <c r="DN90" i="1"/>
  <c r="DN91" i="1"/>
  <c r="DN92" i="1"/>
  <c r="DN93" i="1"/>
  <c r="DN95" i="1"/>
  <c r="DN96" i="1"/>
  <c r="DN97" i="1"/>
  <c r="DN98" i="1"/>
  <c r="DN99" i="1"/>
  <c r="DN100" i="1"/>
  <c r="DN101" i="1"/>
  <c r="DN102" i="1"/>
  <c r="DN103" i="1"/>
  <c r="DN105" i="1"/>
  <c r="DN106" i="1"/>
  <c r="DN107" i="1"/>
  <c r="DN108" i="1"/>
  <c r="DN109" i="1"/>
  <c r="DN110" i="1"/>
  <c r="DN111" i="1"/>
  <c r="DN112" i="1"/>
  <c r="DN113" i="1"/>
  <c r="DN114" i="1"/>
  <c r="DN115" i="1"/>
  <c r="DN116" i="1"/>
  <c r="DN117" i="1"/>
  <c r="DN118" i="1"/>
  <c r="DN119" i="1"/>
  <c r="DN120" i="1"/>
  <c r="DN121" i="1"/>
  <c r="DN122" i="1"/>
  <c r="DN123" i="1"/>
  <c r="DN124" i="1"/>
  <c r="DN125" i="1"/>
  <c r="DN126" i="1"/>
  <c r="DN127" i="1"/>
  <c r="DN128" i="1"/>
  <c r="DN129" i="1"/>
  <c r="DN130" i="1"/>
  <c r="DN131" i="1"/>
  <c r="DN132" i="1"/>
  <c r="DN133" i="1"/>
  <c r="DN134" i="1"/>
  <c r="DN135" i="1"/>
  <c r="DN136" i="1"/>
  <c r="DN137" i="1"/>
  <c r="DN138" i="1"/>
  <c r="DN139" i="1"/>
  <c r="DN140" i="1"/>
  <c r="DN141" i="1"/>
  <c r="DN142" i="1"/>
  <c r="DN143" i="1"/>
  <c r="DN144" i="1"/>
  <c r="DN145" i="1"/>
  <c r="DN146" i="1"/>
  <c r="DN2" i="1"/>
  <c r="DJ3" i="1"/>
  <c r="DJ4" i="1"/>
  <c r="DJ5" i="1"/>
  <c r="DJ6" i="1"/>
  <c r="DJ7" i="1"/>
  <c r="DJ8" i="1"/>
  <c r="DJ9" i="1"/>
  <c r="DJ10" i="1"/>
  <c r="DJ11" i="1"/>
  <c r="DJ12" i="1"/>
  <c r="DJ13" i="1"/>
  <c r="DJ14" i="1"/>
  <c r="DJ15" i="1"/>
  <c r="DJ16" i="1"/>
  <c r="DJ17" i="1"/>
  <c r="DJ18" i="1"/>
  <c r="DJ19" i="1"/>
  <c r="DJ20" i="1"/>
  <c r="DJ21" i="1"/>
  <c r="DJ22" i="1"/>
  <c r="DJ23" i="1"/>
  <c r="DJ24" i="1"/>
  <c r="DJ25" i="1"/>
  <c r="DJ26" i="1"/>
  <c r="DJ27" i="1"/>
  <c r="DJ28" i="1"/>
  <c r="DJ29" i="1"/>
  <c r="DJ30" i="1"/>
  <c r="DJ31" i="1"/>
  <c r="DJ32" i="1"/>
  <c r="DJ33" i="1"/>
  <c r="DJ34" i="1"/>
  <c r="DJ35" i="1"/>
  <c r="DJ36" i="1"/>
  <c r="DJ37" i="1"/>
  <c r="DJ38" i="1"/>
  <c r="DJ39" i="1"/>
  <c r="DJ40" i="1"/>
  <c r="DJ41" i="1"/>
  <c r="DJ42" i="1"/>
  <c r="DJ43" i="1"/>
  <c r="DJ44" i="1"/>
  <c r="DJ45" i="1"/>
  <c r="DJ46" i="1"/>
  <c r="DJ47" i="1"/>
  <c r="DJ48" i="1"/>
  <c r="DJ49" i="1"/>
  <c r="DJ50" i="1"/>
  <c r="DJ51" i="1"/>
  <c r="DJ52" i="1"/>
  <c r="DJ53" i="1"/>
  <c r="DJ54" i="1"/>
  <c r="DJ55" i="1"/>
  <c r="DJ56" i="1"/>
  <c r="DJ57" i="1"/>
  <c r="DJ58" i="1"/>
  <c r="DJ59" i="1"/>
  <c r="DJ60" i="1"/>
  <c r="DJ61" i="1"/>
  <c r="DJ62" i="1"/>
  <c r="DJ63" i="1"/>
  <c r="DJ64" i="1"/>
  <c r="DJ65" i="1"/>
  <c r="DJ66" i="1"/>
  <c r="DJ67" i="1"/>
  <c r="DJ68" i="1"/>
  <c r="DJ69" i="1"/>
  <c r="DJ70" i="1"/>
  <c r="DJ71" i="1"/>
  <c r="DJ72" i="1"/>
  <c r="DJ73" i="1"/>
  <c r="DJ74" i="1"/>
  <c r="DJ75" i="1"/>
  <c r="DJ76" i="1"/>
  <c r="DJ77" i="1"/>
  <c r="DJ78" i="1"/>
  <c r="DJ79" i="1"/>
  <c r="DJ80" i="1"/>
  <c r="DJ81" i="1"/>
  <c r="DJ82" i="1"/>
  <c r="DJ83" i="1"/>
  <c r="DJ84" i="1"/>
  <c r="DJ85" i="1"/>
  <c r="DJ86" i="1"/>
  <c r="DJ87" i="1"/>
  <c r="DJ88" i="1"/>
  <c r="DJ89" i="1"/>
  <c r="DJ90" i="1"/>
  <c r="DJ91" i="1"/>
  <c r="DJ92" i="1"/>
  <c r="DJ93" i="1"/>
  <c r="DJ95" i="1"/>
  <c r="DJ96" i="1"/>
  <c r="DJ97" i="1"/>
  <c r="DJ98" i="1"/>
  <c r="DJ99" i="1"/>
  <c r="DJ100" i="1"/>
  <c r="DJ101" i="1"/>
  <c r="DJ102" i="1"/>
  <c r="DJ103" i="1"/>
  <c r="DJ105" i="1"/>
  <c r="DJ106" i="1"/>
  <c r="DJ107" i="1"/>
  <c r="DJ108" i="1"/>
  <c r="DJ109" i="1"/>
  <c r="DJ110" i="1"/>
  <c r="DJ111" i="1"/>
  <c r="DJ112" i="1"/>
  <c r="DJ113" i="1"/>
  <c r="DJ114" i="1"/>
  <c r="DJ115" i="1"/>
  <c r="DJ116" i="1"/>
  <c r="DJ117" i="1"/>
  <c r="DJ118" i="1"/>
  <c r="DJ119" i="1"/>
  <c r="DJ120" i="1"/>
  <c r="DJ121" i="1"/>
  <c r="DJ122" i="1"/>
  <c r="DJ123" i="1"/>
  <c r="DJ124" i="1"/>
  <c r="DJ125" i="1"/>
  <c r="DJ126" i="1"/>
  <c r="DJ127" i="1"/>
  <c r="DJ128" i="1"/>
  <c r="DJ129" i="1"/>
  <c r="DJ130" i="1"/>
  <c r="DJ131" i="1"/>
  <c r="DJ132" i="1"/>
  <c r="DJ133" i="1"/>
  <c r="DJ134" i="1"/>
  <c r="DJ135" i="1"/>
  <c r="DJ136" i="1"/>
  <c r="DJ137" i="1"/>
  <c r="DJ138" i="1"/>
  <c r="DJ139" i="1"/>
  <c r="DJ140" i="1"/>
  <c r="DJ141" i="1"/>
  <c r="DJ142" i="1"/>
  <c r="DJ143" i="1"/>
  <c r="DJ144" i="1"/>
  <c r="DJ145" i="1"/>
  <c r="DJ146" i="1"/>
  <c r="DJ2" i="1"/>
  <c r="DF3" i="1"/>
  <c r="DF4" i="1"/>
  <c r="DF5" i="1"/>
  <c r="DF7" i="1"/>
  <c r="DF8" i="1"/>
  <c r="DF9" i="1"/>
  <c r="DF10" i="1"/>
  <c r="DF11" i="1"/>
  <c r="DF12" i="1"/>
  <c r="DF13" i="1"/>
  <c r="DF14" i="1"/>
  <c r="DF15" i="1"/>
  <c r="DF16" i="1"/>
  <c r="DF17" i="1"/>
  <c r="DF18" i="1"/>
  <c r="DF19" i="1"/>
  <c r="DF20" i="1"/>
  <c r="DF21" i="1"/>
  <c r="DF22" i="1"/>
  <c r="DF23" i="1"/>
  <c r="DF24" i="1"/>
  <c r="DF25" i="1"/>
  <c r="DF26" i="1"/>
  <c r="DF27" i="1"/>
  <c r="DF28" i="1"/>
  <c r="DF29" i="1"/>
  <c r="DF30" i="1"/>
  <c r="DF31" i="1"/>
  <c r="DF32" i="1"/>
  <c r="DF33" i="1"/>
  <c r="DF34" i="1"/>
  <c r="DF35" i="1"/>
  <c r="DF36" i="1"/>
  <c r="DF37" i="1"/>
  <c r="DF38" i="1"/>
  <c r="DF39" i="1"/>
  <c r="DF40" i="1"/>
  <c r="DF41" i="1"/>
  <c r="DF42" i="1"/>
  <c r="DF43" i="1"/>
  <c r="DF44" i="1"/>
  <c r="DF45" i="1"/>
  <c r="DF46" i="1"/>
  <c r="DF47" i="1"/>
  <c r="DF48" i="1"/>
  <c r="DF49" i="1"/>
  <c r="DF50" i="1"/>
  <c r="DF51" i="1"/>
  <c r="DF52" i="1"/>
  <c r="DF53" i="1"/>
  <c r="DF54" i="1"/>
  <c r="DF55" i="1"/>
  <c r="DF56" i="1"/>
  <c r="DF57" i="1"/>
  <c r="DF58" i="1"/>
  <c r="DF59" i="1"/>
  <c r="DF60" i="1"/>
  <c r="DF61" i="1"/>
  <c r="DF62" i="1"/>
  <c r="DF63" i="1"/>
  <c r="DF64" i="1"/>
  <c r="DF65" i="1"/>
  <c r="DF66" i="1"/>
  <c r="DF67" i="1"/>
  <c r="DF68" i="1"/>
  <c r="DF69" i="1"/>
  <c r="DF70" i="1"/>
  <c r="DF71" i="1"/>
  <c r="DF72" i="1"/>
  <c r="DF73" i="1"/>
  <c r="DF74" i="1"/>
  <c r="DF75" i="1"/>
  <c r="DF76" i="1"/>
  <c r="DF77" i="1"/>
  <c r="DF78" i="1"/>
  <c r="DF79" i="1"/>
  <c r="DF80" i="1"/>
  <c r="DF81" i="1"/>
  <c r="DF82" i="1"/>
  <c r="DF83" i="1"/>
  <c r="DF84" i="1"/>
  <c r="DF85" i="1"/>
  <c r="DF86" i="1"/>
  <c r="DF87" i="1"/>
  <c r="DF88" i="1"/>
  <c r="DF89" i="1"/>
  <c r="DF90" i="1"/>
  <c r="DF91" i="1"/>
  <c r="DF92" i="1"/>
  <c r="DF93" i="1"/>
  <c r="DF95" i="1"/>
  <c r="DF96" i="1"/>
  <c r="DF97" i="1"/>
  <c r="DF98" i="1"/>
  <c r="DF99" i="1"/>
  <c r="DF100" i="1"/>
  <c r="DF101" i="1"/>
  <c r="DF102" i="1"/>
  <c r="DF103" i="1"/>
  <c r="DF105" i="1"/>
  <c r="DF106" i="1"/>
  <c r="DF107" i="1"/>
  <c r="DF108" i="1"/>
  <c r="DF109" i="1"/>
  <c r="DF110" i="1"/>
  <c r="DF111" i="1"/>
  <c r="DF112" i="1"/>
  <c r="DF113" i="1"/>
  <c r="DF114" i="1"/>
  <c r="DF115" i="1"/>
  <c r="DF116" i="1"/>
  <c r="DF117" i="1"/>
  <c r="DF118" i="1"/>
  <c r="DF119" i="1"/>
  <c r="DF120" i="1"/>
  <c r="DF121" i="1"/>
  <c r="DF122" i="1"/>
  <c r="DF123" i="1"/>
  <c r="DF124" i="1"/>
  <c r="DF125" i="1"/>
  <c r="DF126" i="1"/>
  <c r="DF127" i="1"/>
  <c r="DF128" i="1"/>
  <c r="DF129" i="1"/>
  <c r="DF130" i="1"/>
  <c r="DF131" i="1"/>
  <c r="DF132" i="1"/>
  <c r="DF133" i="1"/>
  <c r="DF134" i="1"/>
  <c r="DF135" i="1"/>
  <c r="DF136" i="1"/>
  <c r="DF137" i="1"/>
  <c r="DF138" i="1"/>
  <c r="DF139" i="1"/>
  <c r="DF140" i="1"/>
  <c r="DF141" i="1"/>
  <c r="DF142" i="1"/>
  <c r="DF143" i="1"/>
  <c r="DF144" i="1"/>
  <c r="DF145" i="1"/>
  <c r="DF146" i="1"/>
  <c r="DF2" i="1"/>
  <c r="DB3" i="1"/>
  <c r="DB4" i="1"/>
  <c r="DB5" i="1"/>
  <c r="DB6" i="1"/>
  <c r="DB7" i="1"/>
  <c r="DB8" i="1"/>
  <c r="DB9" i="1"/>
  <c r="DB10" i="1"/>
  <c r="DB11" i="1"/>
  <c r="DB12" i="1"/>
  <c r="DB13" i="1"/>
  <c r="DB14" i="1"/>
  <c r="DB15" i="1"/>
  <c r="DB16" i="1"/>
  <c r="DB17" i="1"/>
  <c r="DB18" i="1"/>
  <c r="DB19" i="1"/>
  <c r="DB20" i="1"/>
  <c r="DB21" i="1"/>
  <c r="DB22" i="1"/>
  <c r="DB23" i="1"/>
  <c r="DB24" i="1"/>
  <c r="DB25" i="1"/>
  <c r="DB26" i="1"/>
  <c r="DB27" i="1"/>
  <c r="DB28" i="1"/>
  <c r="DB29" i="1"/>
  <c r="DB31" i="1"/>
  <c r="DB32" i="1"/>
  <c r="DB33" i="1"/>
  <c r="DB34" i="1"/>
  <c r="DB35" i="1"/>
  <c r="DB36" i="1"/>
  <c r="DB37" i="1"/>
  <c r="DB38" i="1"/>
  <c r="DB39" i="1"/>
  <c r="DB40" i="1"/>
  <c r="DB42" i="1"/>
  <c r="DB43" i="1"/>
  <c r="DB44" i="1"/>
  <c r="DB45" i="1"/>
  <c r="DB46" i="1"/>
  <c r="DB47" i="1"/>
  <c r="DB48" i="1"/>
  <c r="DB49" i="1"/>
  <c r="DB50" i="1"/>
  <c r="DB51" i="1"/>
  <c r="DB52" i="1"/>
  <c r="DB53" i="1"/>
  <c r="DB54" i="1"/>
  <c r="DB55" i="1"/>
  <c r="DB56" i="1"/>
  <c r="DB57" i="1"/>
  <c r="DB60" i="1"/>
  <c r="DB61" i="1"/>
  <c r="DB62" i="1"/>
  <c r="DB63" i="1"/>
  <c r="DB64" i="1"/>
  <c r="DB65" i="1"/>
  <c r="DB66" i="1"/>
  <c r="DB67" i="1"/>
  <c r="DB68" i="1"/>
  <c r="DB69" i="1"/>
  <c r="DB70" i="1"/>
  <c r="DB71" i="1"/>
  <c r="DB72" i="1"/>
  <c r="DB73" i="1"/>
  <c r="DB74" i="1"/>
  <c r="DB75" i="1"/>
  <c r="DB76" i="1"/>
  <c r="DB77" i="1"/>
  <c r="DB78" i="1"/>
  <c r="DB79" i="1"/>
  <c r="DB80" i="1"/>
  <c r="DB81" i="1"/>
  <c r="DB82" i="1"/>
  <c r="DB83" i="1"/>
  <c r="DB84" i="1"/>
  <c r="DB85" i="1"/>
  <c r="DB86" i="1"/>
  <c r="DB87" i="1"/>
  <c r="DB88" i="1"/>
  <c r="DB89" i="1"/>
  <c r="DB90" i="1"/>
  <c r="DB91" i="1"/>
  <c r="DB92" i="1"/>
  <c r="DB93" i="1"/>
  <c r="DB95" i="1"/>
  <c r="DB96" i="1"/>
  <c r="DB97" i="1"/>
  <c r="DB98" i="1"/>
  <c r="DB99" i="1"/>
  <c r="DB100" i="1"/>
  <c r="DB101" i="1"/>
  <c r="DB102" i="1"/>
  <c r="DB105" i="1"/>
  <c r="DB106" i="1"/>
  <c r="DB107" i="1"/>
  <c r="DB108" i="1"/>
  <c r="DB109" i="1"/>
  <c r="DB110" i="1"/>
  <c r="DB111" i="1"/>
  <c r="DB112" i="1"/>
  <c r="DB113" i="1"/>
  <c r="DB114" i="1"/>
  <c r="DB115" i="1"/>
  <c r="DB116" i="1"/>
  <c r="DB117" i="1"/>
  <c r="DB118" i="1"/>
  <c r="DB119" i="1"/>
  <c r="DB120" i="1"/>
  <c r="DB121" i="1"/>
  <c r="DB122" i="1"/>
  <c r="DB123" i="1"/>
  <c r="DB124" i="1"/>
  <c r="DB125" i="1"/>
  <c r="DB126" i="1"/>
  <c r="DB127" i="1"/>
  <c r="DB128" i="1"/>
  <c r="DB129" i="1"/>
  <c r="DB130" i="1"/>
  <c r="DB131" i="1"/>
  <c r="DB132" i="1"/>
  <c r="DB133" i="1"/>
  <c r="DB134" i="1"/>
  <c r="DB135" i="1"/>
  <c r="DB136" i="1"/>
  <c r="DB137" i="1"/>
  <c r="DB138" i="1"/>
  <c r="DB139" i="1"/>
  <c r="DB140" i="1"/>
  <c r="DB141" i="1"/>
  <c r="DB142" i="1"/>
  <c r="DB143" i="1"/>
  <c r="DB144" i="1"/>
  <c r="DB145" i="1"/>
  <c r="DB146" i="1"/>
  <c r="DB2" i="1"/>
  <c r="CX3" i="1"/>
  <c r="CX4" i="1"/>
  <c r="CX5" i="1"/>
  <c r="CX6" i="1"/>
  <c r="CX7" i="1"/>
  <c r="CX8" i="1"/>
  <c r="CX9" i="1"/>
  <c r="CX10" i="1"/>
  <c r="CX11" i="1"/>
  <c r="CX12" i="1"/>
  <c r="CX13" i="1"/>
  <c r="CX14" i="1"/>
  <c r="CX15" i="1"/>
  <c r="CX16" i="1"/>
  <c r="CX17" i="1"/>
  <c r="CX18" i="1"/>
  <c r="CX19" i="1"/>
  <c r="CX20" i="1"/>
  <c r="CX21" i="1"/>
  <c r="CX22" i="1"/>
  <c r="CX23" i="1"/>
  <c r="CX24" i="1"/>
  <c r="CX25" i="1"/>
  <c r="CX26" i="1"/>
  <c r="CX27" i="1"/>
  <c r="CX28" i="1"/>
  <c r="CX29" i="1"/>
  <c r="CX30" i="1"/>
  <c r="CX31" i="1"/>
  <c r="CX32" i="1"/>
  <c r="CX33" i="1"/>
  <c r="CX34" i="1"/>
  <c r="CX35" i="1"/>
  <c r="CX36" i="1"/>
  <c r="CX37" i="1"/>
  <c r="CX38" i="1"/>
  <c r="CX39" i="1"/>
  <c r="CX40" i="1"/>
  <c r="CX41" i="1"/>
  <c r="CX42" i="1"/>
  <c r="CX43" i="1"/>
  <c r="CX44" i="1"/>
  <c r="CX45" i="1"/>
  <c r="CX46" i="1"/>
  <c r="CX47" i="1"/>
  <c r="CX48" i="1"/>
  <c r="CX49" i="1"/>
  <c r="CX51" i="1"/>
  <c r="CX52" i="1"/>
  <c r="CX53" i="1"/>
  <c r="CX54" i="1"/>
  <c r="CX55" i="1"/>
  <c r="CX56" i="1"/>
  <c r="CX57" i="1"/>
  <c r="CX58" i="1"/>
  <c r="CX59" i="1"/>
  <c r="CX60" i="1"/>
  <c r="CX61" i="1"/>
  <c r="CX62" i="1"/>
  <c r="CX63" i="1"/>
  <c r="CX64" i="1"/>
  <c r="CX65" i="1"/>
  <c r="CX66" i="1"/>
  <c r="CX67" i="1"/>
  <c r="CX68" i="1"/>
  <c r="CX69" i="1"/>
  <c r="CX70" i="1"/>
  <c r="CX71" i="1"/>
  <c r="CX72" i="1"/>
  <c r="CX73" i="1"/>
  <c r="CX74" i="1"/>
  <c r="CX75" i="1"/>
  <c r="CX76" i="1"/>
  <c r="CX77" i="1"/>
  <c r="CX78" i="1"/>
  <c r="CX79" i="1"/>
  <c r="CX80" i="1"/>
  <c r="CX81" i="1"/>
  <c r="CX82" i="1"/>
  <c r="CX83" i="1"/>
  <c r="CX84" i="1"/>
  <c r="CX85" i="1"/>
  <c r="CX86" i="1"/>
  <c r="CX87" i="1"/>
  <c r="CX88" i="1"/>
  <c r="CX89" i="1"/>
  <c r="CX90" i="1"/>
  <c r="CX91" i="1"/>
  <c r="CX92" i="1"/>
  <c r="CX93" i="1"/>
  <c r="CX95" i="1"/>
  <c r="CX96" i="1"/>
  <c r="CX97" i="1"/>
  <c r="CX98" i="1"/>
  <c r="CX99" i="1"/>
  <c r="CX100" i="1"/>
  <c r="CX101" i="1"/>
  <c r="CX102" i="1"/>
  <c r="CX103" i="1"/>
  <c r="CX105" i="1"/>
  <c r="CX106" i="1"/>
  <c r="CX107" i="1"/>
  <c r="CX108" i="1"/>
  <c r="CX110" i="1"/>
  <c r="CX111" i="1"/>
  <c r="CX112" i="1"/>
  <c r="CX113" i="1"/>
  <c r="CX114" i="1"/>
  <c r="CX115" i="1"/>
  <c r="CX116" i="1"/>
  <c r="CX117" i="1"/>
  <c r="CX118" i="1"/>
  <c r="CX119" i="1"/>
  <c r="CX120" i="1"/>
  <c r="CX121" i="1"/>
  <c r="CX122" i="1"/>
  <c r="CX123" i="1"/>
  <c r="CX124" i="1"/>
  <c r="CX125" i="1"/>
  <c r="CX126" i="1"/>
  <c r="CX127" i="1"/>
  <c r="CX128" i="1"/>
  <c r="CX129" i="1"/>
  <c r="CX130" i="1"/>
  <c r="CX131" i="1"/>
  <c r="CX132" i="1"/>
  <c r="CX133" i="1"/>
  <c r="CX134" i="1"/>
  <c r="CX135" i="1"/>
  <c r="CX136" i="1"/>
  <c r="CX137" i="1"/>
  <c r="CX138" i="1"/>
  <c r="CX139" i="1"/>
  <c r="CX140" i="1"/>
  <c r="CX141" i="1"/>
  <c r="CX142" i="1"/>
  <c r="CX143" i="1"/>
  <c r="CX144" i="1"/>
  <c r="CX145" i="1"/>
  <c r="CX146" i="1"/>
  <c r="CX2" i="1"/>
  <c r="CT3" i="1"/>
  <c r="CT4" i="1"/>
  <c r="CT5" i="1"/>
  <c r="CT6" i="1"/>
  <c r="CT7" i="1"/>
  <c r="CT8" i="1"/>
  <c r="CT9" i="1"/>
  <c r="CT10" i="1"/>
  <c r="CT11" i="1"/>
  <c r="CT12" i="1"/>
  <c r="CT13" i="1"/>
  <c r="CT14" i="1"/>
  <c r="CT15" i="1"/>
  <c r="CT16" i="1"/>
  <c r="CT17" i="1"/>
  <c r="CT18" i="1"/>
  <c r="CT19" i="1"/>
  <c r="CT20" i="1"/>
  <c r="CT21" i="1"/>
  <c r="CT22" i="1"/>
  <c r="CT23" i="1"/>
  <c r="CT24" i="1"/>
  <c r="CT25" i="1"/>
  <c r="CT26" i="1"/>
  <c r="CT27" i="1"/>
  <c r="CT28" i="1"/>
  <c r="CT29" i="1"/>
  <c r="CT30" i="1"/>
  <c r="CT31" i="1"/>
  <c r="CT32" i="1"/>
  <c r="CT33" i="1"/>
  <c r="CT34" i="1"/>
  <c r="CT35" i="1"/>
  <c r="CT36" i="1"/>
  <c r="CT37" i="1"/>
  <c r="CT38" i="1"/>
  <c r="CT39" i="1"/>
  <c r="CT40" i="1"/>
  <c r="CT41" i="1"/>
  <c r="CT42" i="1"/>
  <c r="CT43" i="1"/>
  <c r="CT44" i="1"/>
  <c r="CT45" i="1"/>
  <c r="CT46" i="1"/>
  <c r="CT47" i="1"/>
  <c r="CT48" i="1"/>
  <c r="CT49" i="1"/>
  <c r="CT50" i="1"/>
  <c r="CT51" i="1"/>
  <c r="CT52" i="1"/>
  <c r="CT53" i="1"/>
  <c r="CT54" i="1"/>
  <c r="CT55" i="1"/>
  <c r="CT56" i="1"/>
  <c r="CT57" i="1"/>
  <c r="CT58" i="1"/>
  <c r="CT59" i="1"/>
  <c r="CT60" i="1"/>
  <c r="CT61" i="1"/>
  <c r="CT62" i="1"/>
  <c r="CT63" i="1"/>
  <c r="CT64" i="1"/>
  <c r="CT65" i="1"/>
  <c r="CT66" i="1"/>
  <c r="CT67" i="1"/>
  <c r="CT68" i="1"/>
  <c r="CT69" i="1"/>
  <c r="CT70" i="1"/>
  <c r="CT71" i="1"/>
  <c r="CT72" i="1"/>
  <c r="CT73" i="1"/>
  <c r="CT74" i="1"/>
  <c r="CT75" i="1"/>
  <c r="CT76" i="1"/>
  <c r="CT77" i="1"/>
  <c r="CT78" i="1"/>
  <c r="CT79" i="1"/>
  <c r="CT80" i="1"/>
  <c r="CT81" i="1"/>
  <c r="CT82" i="1"/>
  <c r="CT83" i="1"/>
  <c r="CT84" i="1"/>
  <c r="CT85" i="1"/>
  <c r="CT86" i="1"/>
  <c r="CT87" i="1"/>
  <c r="CT88" i="1"/>
  <c r="CT89" i="1"/>
  <c r="CT90" i="1"/>
  <c r="CT91" i="1"/>
  <c r="CT92" i="1"/>
  <c r="CT93" i="1"/>
  <c r="CT95" i="1"/>
  <c r="CT96" i="1"/>
  <c r="CT97" i="1"/>
  <c r="CT98" i="1"/>
  <c r="CT99" i="1"/>
  <c r="CT100" i="1"/>
  <c r="CT101" i="1"/>
  <c r="CT102" i="1"/>
  <c r="CT103" i="1"/>
  <c r="CT105" i="1"/>
  <c r="CT106" i="1"/>
  <c r="CT107" i="1"/>
  <c r="CT108" i="1"/>
  <c r="CT109" i="1"/>
  <c r="CT110" i="1"/>
  <c r="CT111" i="1"/>
  <c r="CT112" i="1"/>
  <c r="CT113" i="1"/>
  <c r="CT114" i="1"/>
  <c r="CT115" i="1"/>
  <c r="CT116" i="1"/>
  <c r="CT117" i="1"/>
  <c r="CT118" i="1"/>
  <c r="CT119" i="1"/>
  <c r="CT120" i="1"/>
  <c r="CT121" i="1"/>
  <c r="CT122" i="1"/>
  <c r="CT123" i="1"/>
  <c r="CT124" i="1"/>
  <c r="CT125" i="1"/>
  <c r="CT126" i="1"/>
  <c r="CT127" i="1"/>
  <c r="CT128" i="1"/>
  <c r="CT129" i="1"/>
  <c r="CT130" i="1"/>
  <c r="CT131" i="1"/>
  <c r="CT132" i="1"/>
  <c r="CT133" i="1"/>
  <c r="CT134" i="1"/>
  <c r="CT135" i="1"/>
  <c r="CT136" i="1"/>
  <c r="CT137" i="1"/>
  <c r="CT138" i="1"/>
  <c r="CT139" i="1"/>
  <c r="CT140" i="1"/>
  <c r="CT141" i="1"/>
  <c r="CT142" i="1"/>
  <c r="CT143" i="1"/>
  <c r="CT144" i="1"/>
  <c r="CT145" i="1"/>
  <c r="CT146" i="1"/>
  <c r="CT2" i="1"/>
  <c r="CP3" i="1"/>
  <c r="CP4" i="1"/>
  <c r="CP5" i="1"/>
  <c r="CP6" i="1"/>
  <c r="CP7" i="1"/>
  <c r="CP8" i="1"/>
  <c r="CP9" i="1"/>
  <c r="CP10" i="1"/>
  <c r="CP11" i="1"/>
  <c r="CP12" i="1"/>
  <c r="CP13" i="1"/>
  <c r="CP14" i="1"/>
  <c r="CP15" i="1"/>
  <c r="CP16" i="1"/>
  <c r="CP17" i="1"/>
  <c r="CP18" i="1"/>
  <c r="CP19" i="1"/>
  <c r="CP20" i="1"/>
  <c r="CP21" i="1"/>
  <c r="CP22" i="1"/>
  <c r="CP23" i="1"/>
  <c r="CP24" i="1"/>
  <c r="CP25" i="1"/>
  <c r="CP26" i="1"/>
  <c r="CP27" i="1"/>
  <c r="CP28" i="1"/>
  <c r="CP29" i="1"/>
  <c r="CP30" i="1"/>
  <c r="CP31" i="1"/>
  <c r="CP32" i="1"/>
  <c r="CP33" i="1"/>
  <c r="CP34" i="1"/>
  <c r="CP35" i="1"/>
  <c r="CP36" i="1"/>
  <c r="CP37" i="1"/>
  <c r="CP38" i="1"/>
  <c r="CP39" i="1"/>
  <c r="CP40" i="1"/>
  <c r="CP41" i="1"/>
  <c r="CP42" i="1"/>
  <c r="CP43" i="1"/>
  <c r="CP44" i="1"/>
  <c r="CP45" i="1"/>
  <c r="CP46" i="1"/>
  <c r="CP47" i="1"/>
  <c r="CP48" i="1"/>
  <c r="CP49" i="1"/>
  <c r="CP50" i="1"/>
  <c r="CP51" i="1"/>
  <c r="CP52" i="1"/>
  <c r="CP53" i="1"/>
  <c r="CP54" i="1"/>
  <c r="CP55" i="1"/>
  <c r="CP56" i="1"/>
  <c r="CP57" i="1"/>
  <c r="CP58" i="1"/>
  <c r="CP59" i="1"/>
  <c r="CP60" i="1"/>
  <c r="CP61" i="1"/>
  <c r="CP62" i="1"/>
  <c r="CP63" i="1"/>
  <c r="CP64" i="1"/>
  <c r="CP65" i="1"/>
  <c r="CP66" i="1"/>
  <c r="CP67" i="1"/>
  <c r="CP68" i="1"/>
  <c r="CP69" i="1"/>
  <c r="CP70" i="1"/>
  <c r="CP71" i="1"/>
  <c r="CP72" i="1"/>
  <c r="CP73" i="1"/>
  <c r="CP74" i="1"/>
  <c r="CP75" i="1"/>
  <c r="CP76" i="1"/>
  <c r="CP77" i="1"/>
  <c r="CP78" i="1"/>
  <c r="CP79" i="1"/>
  <c r="CP80" i="1"/>
  <c r="CP81" i="1"/>
  <c r="CP82" i="1"/>
  <c r="CP83" i="1"/>
  <c r="CP84" i="1"/>
  <c r="CP85" i="1"/>
  <c r="CP86" i="1"/>
  <c r="CP87" i="1"/>
  <c r="CP88" i="1"/>
  <c r="CP89" i="1"/>
  <c r="CP90" i="1"/>
  <c r="CP91" i="1"/>
  <c r="CP92" i="1"/>
  <c r="CP93" i="1"/>
  <c r="CP95" i="1"/>
  <c r="CP96" i="1"/>
  <c r="CP97" i="1"/>
  <c r="CP98" i="1"/>
  <c r="CP99" i="1"/>
  <c r="CP100" i="1"/>
  <c r="CP101" i="1"/>
  <c r="CP102" i="1"/>
  <c r="CP103" i="1"/>
  <c r="CP105" i="1"/>
  <c r="CP106" i="1"/>
  <c r="CP107" i="1"/>
  <c r="CP108" i="1"/>
  <c r="CP109" i="1"/>
  <c r="CP110" i="1"/>
  <c r="CP111" i="1"/>
  <c r="CP112" i="1"/>
  <c r="CP113" i="1"/>
  <c r="CP114" i="1"/>
  <c r="CP115" i="1"/>
  <c r="CP116" i="1"/>
  <c r="CP117" i="1"/>
  <c r="CP118" i="1"/>
  <c r="CP119" i="1"/>
  <c r="CP120" i="1"/>
  <c r="CP121" i="1"/>
  <c r="CP122" i="1"/>
  <c r="CP123" i="1"/>
  <c r="CP124" i="1"/>
  <c r="CP125" i="1"/>
  <c r="CP126" i="1"/>
  <c r="CP127" i="1"/>
  <c r="CP128" i="1"/>
  <c r="CP129" i="1"/>
  <c r="CP130" i="1"/>
  <c r="CP131" i="1"/>
  <c r="CP132" i="1"/>
  <c r="CP133" i="1"/>
  <c r="CP134" i="1"/>
  <c r="CP135" i="1"/>
  <c r="CP136" i="1"/>
  <c r="CP137" i="1"/>
  <c r="CP138" i="1"/>
  <c r="CP139" i="1"/>
  <c r="CP140" i="1"/>
  <c r="CP141" i="1"/>
  <c r="CP142" i="1"/>
  <c r="CP143" i="1"/>
  <c r="CP144" i="1"/>
  <c r="CP145" i="1"/>
  <c r="CP146" i="1"/>
  <c r="CP2" i="1"/>
  <c r="CL3" i="1"/>
  <c r="CL4" i="1"/>
  <c r="CL5" i="1"/>
  <c r="CL6" i="1"/>
  <c r="CL7" i="1"/>
  <c r="CL8" i="1"/>
  <c r="CL9" i="1"/>
  <c r="CL10" i="1"/>
  <c r="CL11" i="1"/>
  <c r="CL12" i="1"/>
  <c r="CL13" i="1"/>
  <c r="CL14" i="1"/>
  <c r="CL15" i="1"/>
  <c r="CL16" i="1"/>
  <c r="CL17" i="1"/>
  <c r="CL18" i="1"/>
  <c r="CL19" i="1"/>
  <c r="CL20" i="1"/>
  <c r="CL21" i="1"/>
  <c r="CL22" i="1"/>
  <c r="CL23" i="1"/>
  <c r="CL24" i="1"/>
  <c r="CL25" i="1"/>
  <c r="CL26" i="1"/>
  <c r="CL27" i="1"/>
  <c r="CL28" i="1"/>
  <c r="CL29" i="1"/>
  <c r="CL30" i="1"/>
  <c r="CL31" i="1"/>
  <c r="CL32" i="1"/>
  <c r="CL33" i="1"/>
  <c r="CL34" i="1"/>
  <c r="CL35" i="1"/>
  <c r="CL36" i="1"/>
  <c r="CL37" i="1"/>
  <c r="CL38" i="1"/>
  <c r="CL39" i="1"/>
  <c r="CL40" i="1"/>
  <c r="CL41" i="1"/>
  <c r="CL42" i="1"/>
  <c r="CL43" i="1"/>
  <c r="CL44" i="1"/>
  <c r="CL45" i="1"/>
  <c r="CL46" i="1"/>
  <c r="CL47" i="1"/>
  <c r="CL48" i="1"/>
  <c r="CL49" i="1"/>
  <c r="CL50" i="1"/>
  <c r="CL51" i="1"/>
  <c r="CL52" i="1"/>
  <c r="CL53" i="1"/>
  <c r="CL54" i="1"/>
  <c r="CL55" i="1"/>
  <c r="CL56" i="1"/>
  <c r="CL57" i="1"/>
  <c r="CL58" i="1"/>
  <c r="CL59" i="1"/>
  <c r="CL60" i="1"/>
  <c r="CL61" i="1"/>
  <c r="CL62" i="1"/>
  <c r="CL63" i="1"/>
  <c r="CL64" i="1"/>
  <c r="CL65" i="1"/>
  <c r="CL66" i="1"/>
  <c r="CL67" i="1"/>
  <c r="CL68" i="1"/>
  <c r="CL69" i="1"/>
  <c r="CL70" i="1"/>
  <c r="CL71" i="1"/>
  <c r="CL72" i="1"/>
  <c r="CL73" i="1"/>
  <c r="CL74" i="1"/>
  <c r="CL75" i="1"/>
  <c r="CL76" i="1"/>
  <c r="CL77" i="1"/>
  <c r="CL78" i="1"/>
  <c r="CL79" i="1"/>
  <c r="CL80" i="1"/>
  <c r="CL81" i="1"/>
  <c r="CL82" i="1"/>
  <c r="CL83" i="1"/>
  <c r="CL84" i="1"/>
  <c r="CL85" i="1"/>
  <c r="CL86" i="1"/>
  <c r="CL87" i="1"/>
  <c r="CL88" i="1"/>
  <c r="CL89" i="1"/>
  <c r="CL90" i="1"/>
  <c r="CL91" i="1"/>
  <c r="CL92" i="1"/>
  <c r="CL93" i="1"/>
  <c r="CL95" i="1"/>
  <c r="CL96" i="1"/>
  <c r="CL97" i="1"/>
  <c r="CL98" i="1"/>
  <c r="CL99" i="1"/>
  <c r="CL100" i="1"/>
  <c r="CL101" i="1"/>
  <c r="CL102" i="1"/>
  <c r="CL103" i="1"/>
  <c r="CL105" i="1"/>
  <c r="CL106" i="1"/>
  <c r="CL107" i="1"/>
  <c r="CL108" i="1"/>
  <c r="CL109" i="1"/>
  <c r="CL110" i="1"/>
  <c r="CL111" i="1"/>
  <c r="CL112" i="1"/>
  <c r="CL113" i="1"/>
  <c r="CL114" i="1"/>
  <c r="CL115" i="1"/>
  <c r="CL116" i="1"/>
  <c r="CL117" i="1"/>
  <c r="CL118" i="1"/>
  <c r="CL119" i="1"/>
  <c r="CL120" i="1"/>
  <c r="CL121" i="1"/>
  <c r="CL122" i="1"/>
  <c r="CL123" i="1"/>
  <c r="CL124" i="1"/>
  <c r="CL125" i="1"/>
  <c r="CL126" i="1"/>
  <c r="CL127" i="1"/>
  <c r="CL128" i="1"/>
  <c r="CL129" i="1"/>
  <c r="CL130" i="1"/>
  <c r="CL131" i="1"/>
  <c r="CL132" i="1"/>
  <c r="CL133" i="1"/>
  <c r="CL134" i="1"/>
  <c r="CL135" i="1"/>
  <c r="CL136" i="1"/>
  <c r="CL137" i="1"/>
  <c r="CL138" i="1"/>
  <c r="CL139" i="1"/>
  <c r="CL140" i="1"/>
  <c r="CL141" i="1"/>
  <c r="CL142" i="1"/>
  <c r="CL143" i="1"/>
  <c r="CL144" i="1"/>
  <c r="CL145" i="1"/>
  <c r="CL146" i="1"/>
  <c r="CL2" i="1"/>
  <c r="CH3" i="1"/>
  <c r="CH4" i="1"/>
  <c r="CH5" i="1"/>
  <c r="CH6" i="1"/>
  <c r="CH7" i="1"/>
  <c r="CH8" i="1"/>
  <c r="CH9" i="1"/>
  <c r="CH10" i="1"/>
  <c r="CH11" i="1"/>
  <c r="CH12" i="1"/>
  <c r="CH13" i="1"/>
  <c r="CH14" i="1"/>
  <c r="CH15" i="1"/>
  <c r="CH16" i="1"/>
  <c r="CH17" i="1"/>
  <c r="CH18" i="1"/>
  <c r="CH19" i="1"/>
  <c r="CH20" i="1"/>
  <c r="CH21" i="1"/>
  <c r="CH22" i="1"/>
  <c r="CH23" i="1"/>
  <c r="CH24" i="1"/>
  <c r="CH25" i="1"/>
  <c r="CH26" i="1"/>
  <c r="CH27" i="1"/>
  <c r="CH28" i="1"/>
  <c r="CH29" i="1"/>
  <c r="CH30" i="1"/>
  <c r="CH31" i="1"/>
  <c r="CH32" i="1"/>
  <c r="CH33" i="1"/>
  <c r="CH34" i="1"/>
  <c r="CH35" i="1"/>
  <c r="CH36" i="1"/>
  <c r="CH37" i="1"/>
  <c r="CH38" i="1"/>
  <c r="CH39" i="1"/>
  <c r="CH40" i="1"/>
  <c r="CH41" i="1"/>
  <c r="CH42" i="1"/>
  <c r="CH43" i="1"/>
  <c r="CH44" i="1"/>
  <c r="CH45" i="1"/>
  <c r="CH46" i="1"/>
  <c r="CH47" i="1"/>
  <c r="CH48" i="1"/>
  <c r="CH49" i="1"/>
  <c r="CH50" i="1"/>
  <c r="CH51" i="1"/>
  <c r="CH52" i="1"/>
  <c r="CH53" i="1"/>
  <c r="CH54" i="1"/>
  <c r="CH55" i="1"/>
  <c r="CH56" i="1"/>
  <c r="CH57" i="1"/>
  <c r="CH58" i="1"/>
  <c r="CH59" i="1"/>
  <c r="CH60" i="1"/>
  <c r="CH61" i="1"/>
  <c r="CH62" i="1"/>
  <c r="CH63" i="1"/>
  <c r="CH64" i="1"/>
  <c r="CH65" i="1"/>
  <c r="CH66" i="1"/>
  <c r="CH67" i="1"/>
  <c r="CH68" i="1"/>
  <c r="CH69" i="1"/>
  <c r="CH70" i="1"/>
  <c r="CH71" i="1"/>
  <c r="CH72" i="1"/>
  <c r="CH73" i="1"/>
  <c r="CH74" i="1"/>
  <c r="CH75" i="1"/>
  <c r="CH76" i="1"/>
  <c r="CH77" i="1"/>
  <c r="CH78" i="1"/>
  <c r="CH79" i="1"/>
  <c r="CH80" i="1"/>
  <c r="CH81" i="1"/>
  <c r="CH82" i="1"/>
  <c r="CH83" i="1"/>
  <c r="CH84" i="1"/>
  <c r="CH85" i="1"/>
  <c r="CH86" i="1"/>
  <c r="CH87" i="1"/>
  <c r="CH88" i="1"/>
  <c r="CH89" i="1"/>
  <c r="CH90" i="1"/>
  <c r="CH91" i="1"/>
  <c r="CH92" i="1"/>
  <c r="CH93" i="1"/>
  <c r="CH95" i="1"/>
  <c r="CH96" i="1"/>
  <c r="CH97" i="1"/>
  <c r="CH98" i="1"/>
  <c r="CH99" i="1"/>
  <c r="CH100" i="1"/>
  <c r="CH101" i="1"/>
  <c r="CH102" i="1"/>
  <c r="CH103" i="1"/>
  <c r="CH105" i="1"/>
  <c r="CH106" i="1"/>
  <c r="CH107" i="1"/>
  <c r="CH108" i="1"/>
  <c r="CH109" i="1"/>
  <c r="CH110" i="1"/>
  <c r="CH111" i="1"/>
  <c r="CH112" i="1"/>
  <c r="CH113" i="1"/>
  <c r="CH114" i="1"/>
  <c r="CH115" i="1"/>
  <c r="CH116" i="1"/>
  <c r="CH117" i="1"/>
  <c r="CH118" i="1"/>
  <c r="CH119" i="1"/>
  <c r="CH120" i="1"/>
  <c r="CH121" i="1"/>
  <c r="CH122" i="1"/>
  <c r="CH123" i="1"/>
  <c r="CH124" i="1"/>
  <c r="CH125" i="1"/>
  <c r="CH126" i="1"/>
  <c r="CH127" i="1"/>
  <c r="CH128" i="1"/>
  <c r="CH129" i="1"/>
  <c r="CH130" i="1"/>
  <c r="CH131" i="1"/>
  <c r="CH132" i="1"/>
  <c r="CH133" i="1"/>
  <c r="CH134" i="1"/>
  <c r="CH135" i="1"/>
  <c r="CH136" i="1"/>
  <c r="CH137" i="1"/>
  <c r="CH138" i="1"/>
  <c r="CH139" i="1"/>
  <c r="CH140" i="1"/>
  <c r="CH141" i="1"/>
  <c r="CH142" i="1"/>
  <c r="CH143" i="1"/>
  <c r="CH144" i="1"/>
  <c r="CH145" i="1"/>
  <c r="CH146" i="1"/>
  <c r="CH2" i="1"/>
  <c r="CD3" i="1"/>
  <c r="CD4" i="1"/>
  <c r="CD5" i="1"/>
  <c r="CD6" i="1"/>
  <c r="CD7" i="1"/>
  <c r="CD8" i="1"/>
  <c r="CD9" i="1"/>
  <c r="CD10" i="1"/>
  <c r="CD11" i="1"/>
  <c r="CD12" i="1"/>
  <c r="CD13" i="1"/>
  <c r="CD14" i="1"/>
  <c r="CD15" i="1"/>
  <c r="CD16" i="1"/>
  <c r="CD17" i="1"/>
  <c r="CD18" i="1"/>
  <c r="CD19" i="1"/>
  <c r="CD20" i="1"/>
  <c r="CD21" i="1"/>
  <c r="CD22" i="1"/>
  <c r="CD23" i="1"/>
  <c r="CD24" i="1"/>
  <c r="CD25" i="1"/>
  <c r="CD26" i="1"/>
  <c r="CD27" i="1"/>
  <c r="CD28" i="1"/>
  <c r="CD29" i="1"/>
  <c r="CD30" i="1"/>
  <c r="CD31" i="1"/>
  <c r="CD32" i="1"/>
  <c r="CD33" i="1"/>
  <c r="CD34" i="1"/>
  <c r="CD35" i="1"/>
  <c r="CD36" i="1"/>
  <c r="CD37" i="1"/>
  <c r="CD38" i="1"/>
  <c r="CD39" i="1"/>
  <c r="CD40" i="1"/>
  <c r="CD41" i="1"/>
  <c r="CD42" i="1"/>
  <c r="CD43" i="1"/>
  <c r="CD44" i="1"/>
  <c r="CD45" i="1"/>
  <c r="CD46" i="1"/>
  <c r="CD47" i="1"/>
  <c r="CD48" i="1"/>
  <c r="CD49" i="1"/>
  <c r="CD50" i="1"/>
  <c r="CD51" i="1"/>
  <c r="CD52" i="1"/>
  <c r="CD53" i="1"/>
  <c r="CD54" i="1"/>
  <c r="CD55" i="1"/>
  <c r="CD56" i="1"/>
  <c r="CD57" i="1"/>
  <c r="CD58" i="1"/>
  <c r="CD59" i="1"/>
  <c r="CD60" i="1"/>
  <c r="CD61" i="1"/>
  <c r="CD62" i="1"/>
  <c r="CD63" i="1"/>
  <c r="CD64" i="1"/>
  <c r="CD65" i="1"/>
  <c r="CD66" i="1"/>
  <c r="CD67" i="1"/>
  <c r="CD68" i="1"/>
  <c r="CD69" i="1"/>
  <c r="CD70" i="1"/>
  <c r="CD71" i="1"/>
  <c r="CD72" i="1"/>
  <c r="CD73" i="1"/>
  <c r="CD74" i="1"/>
  <c r="CD75" i="1"/>
  <c r="CD76" i="1"/>
  <c r="CD77" i="1"/>
  <c r="CD78" i="1"/>
  <c r="CD79" i="1"/>
  <c r="CD80" i="1"/>
  <c r="CD81" i="1"/>
  <c r="CD82" i="1"/>
  <c r="CD83" i="1"/>
  <c r="CD84" i="1"/>
  <c r="CD85" i="1"/>
  <c r="CD86" i="1"/>
  <c r="CD87" i="1"/>
  <c r="CD88" i="1"/>
  <c r="CD89" i="1"/>
  <c r="CD90" i="1"/>
  <c r="CD91" i="1"/>
  <c r="CD92" i="1"/>
  <c r="CD93" i="1"/>
  <c r="CD95" i="1"/>
  <c r="CD96" i="1"/>
  <c r="CD97" i="1"/>
  <c r="CD98" i="1"/>
  <c r="CD99" i="1"/>
  <c r="CD100" i="1"/>
  <c r="CD101" i="1"/>
  <c r="CD102" i="1"/>
  <c r="CD103" i="1"/>
  <c r="CD105" i="1"/>
  <c r="CD106" i="1"/>
  <c r="CD107" i="1"/>
  <c r="CD108" i="1"/>
  <c r="CD109" i="1"/>
  <c r="CD110" i="1"/>
  <c r="CD111" i="1"/>
  <c r="CD112" i="1"/>
  <c r="CD113" i="1"/>
  <c r="CD114" i="1"/>
  <c r="CD115" i="1"/>
  <c r="CD116" i="1"/>
  <c r="CD117" i="1"/>
  <c r="CD118" i="1"/>
  <c r="CD119" i="1"/>
  <c r="CD120" i="1"/>
  <c r="CD121" i="1"/>
  <c r="CD122" i="1"/>
  <c r="CD123" i="1"/>
  <c r="CD124" i="1"/>
  <c r="CD125" i="1"/>
  <c r="CD126" i="1"/>
  <c r="CD127" i="1"/>
  <c r="CD128" i="1"/>
  <c r="CD129" i="1"/>
  <c r="CD130" i="1"/>
  <c r="CD131" i="1"/>
  <c r="CD132" i="1"/>
  <c r="CD133" i="1"/>
  <c r="CD134" i="1"/>
  <c r="CD135" i="1"/>
  <c r="CD136" i="1"/>
  <c r="CD137" i="1"/>
  <c r="CD138" i="1"/>
  <c r="CD139" i="1"/>
  <c r="CD140" i="1"/>
  <c r="CD141" i="1"/>
  <c r="CD142" i="1"/>
  <c r="CD143" i="1"/>
  <c r="CD144" i="1"/>
  <c r="CD145" i="1"/>
  <c r="CD146" i="1"/>
  <c r="CD2" i="1"/>
  <c r="BZ3" i="1"/>
  <c r="BZ4" i="1"/>
  <c r="BZ5" i="1"/>
  <c r="BZ6" i="1"/>
  <c r="BZ7" i="1"/>
  <c r="BZ8" i="1"/>
  <c r="BZ9" i="1"/>
  <c r="BZ10" i="1"/>
  <c r="BZ11" i="1"/>
  <c r="BZ12" i="1"/>
  <c r="BZ13" i="1"/>
  <c r="BZ14" i="1"/>
  <c r="BZ15" i="1"/>
  <c r="BZ16" i="1"/>
  <c r="BZ17" i="1"/>
  <c r="BZ18" i="1"/>
  <c r="BZ19" i="1"/>
  <c r="BZ20" i="1"/>
  <c r="BZ21" i="1"/>
  <c r="BZ22" i="1"/>
  <c r="BZ23" i="1"/>
  <c r="BZ24" i="1"/>
  <c r="BZ25" i="1"/>
  <c r="BZ26" i="1"/>
  <c r="BZ27" i="1"/>
  <c r="BZ28" i="1"/>
  <c r="BZ29" i="1"/>
  <c r="BZ30" i="1"/>
  <c r="BZ31" i="1"/>
  <c r="BZ32" i="1"/>
  <c r="BZ33" i="1"/>
  <c r="BZ34" i="1"/>
  <c r="BZ35" i="1"/>
  <c r="BZ36" i="1"/>
  <c r="BZ37" i="1"/>
  <c r="BZ38" i="1"/>
  <c r="BZ39" i="1"/>
  <c r="BZ40" i="1"/>
  <c r="BZ41" i="1"/>
  <c r="BZ42" i="1"/>
  <c r="BZ43" i="1"/>
  <c r="BZ44" i="1"/>
  <c r="BZ45" i="1"/>
  <c r="BZ46" i="1"/>
  <c r="BZ47" i="1"/>
  <c r="BZ48" i="1"/>
  <c r="BZ49" i="1"/>
  <c r="BZ50" i="1"/>
  <c r="BZ51" i="1"/>
  <c r="BZ52" i="1"/>
  <c r="BZ53" i="1"/>
  <c r="BZ54" i="1"/>
  <c r="BZ55" i="1"/>
  <c r="BZ56" i="1"/>
  <c r="BZ57" i="1"/>
  <c r="BZ58" i="1"/>
  <c r="BZ59" i="1"/>
  <c r="BZ60" i="1"/>
  <c r="BZ61" i="1"/>
  <c r="BZ62" i="1"/>
  <c r="BZ63" i="1"/>
  <c r="BZ64" i="1"/>
  <c r="BZ65" i="1"/>
  <c r="BZ66" i="1"/>
  <c r="BZ67" i="1"/>
  <c r="BZ68" i="1"/>
  <c r="BZ69" i="1"/>
  <c r="BZ70" i="1"/>
  <c r="BZ71" i="1"/>
  <c r="BZ72" i="1"/>
  <c r="BZ73" i="1"/>
  <c r="BZ74" i="1"/>
  <c r="BZ75" i="1"/>
  <c r="BZ76" i="1"/>
  <c r="BZ77" i="1"/>
  <c r="BZ78" i="1"/>
  <c r="BZ79" i="1"/>
  <c r="BZ80" i="1"/>
  <c r="BZ81" i="1"/>
  <c r="BZ82" i="1"/>
  <c r="BZ83" i="1"/>
  <c r="BZ84" i="1"/>
  <c r="BZ85" i="1"/>
  <c r="BZ86" i="1"/>
  <c r="BZ87" i="1"/>
  <c r="BZ88" i="1"/>
  <c r="BZ89" i="1"/>
  <c r="BZ90" i="1"/>
  <c r="BZ91" i="1"/>
  <c r="BZ92" i="1"/>
  <c r="BZ93" i="1"/>
  <c r="BZ95" i="1"/>
  <c r="BZ96" i="1"/>
  <c r="BZ97" i="1"/>
  <c r="BZ98" i="1"/>
  <c r="BZ99" i="1"/>
  <c r="BZ100" i="1"/>
  <c r="BZ101" i="1"/>
  <c r="BZ102" i="1"/>
  <c r="BZ103" i="1"/>
  <c r="BZ105" i="1"/>
  <c r="BZ106" i="1"/>
  <c r="BZ107" i="1"/>
  <c r="BZ108" i="1"/>
  <c r="BZ109" i="1"/>
  <c r="BZ110" i="1"/>
  <c r="BZ111" i="1"/>
  <c r="BZ112" i="1"/>
  <c r="BZ113" i="1"/>
  <c r="BZ114" i="1"/>
  <c r="BZ115" i="1"/>
  <c r="BZ116" i="1"/>
  <c r="BZ117" i="1"/>
  <c r="BZ118" i="1"/>
  <c r="BZ119" i="1"/>
  <c r="BZ120" i="1"/>
  <c r="BZ121" i="1"/>
  <c r="BZ122" i="1"/>
  <c r="BZ123" i="1"/>
  <c r="BZ124" i="1"/>
  <c r="BZ125" i="1"/>
  <c r="BZ126" i="1"/>
  <c r="BZ127" i="1"/>
  <c r="BZ128" i="1"/>
  <c r="BZ129" i="1"/>
  <c r="BZ130" i="1"/>
  <c r="BZ131" i="1"/>
  <c r="BZ132" i="1"/>
  <c r="BZ133" i="1"/>
  <c r="BZ134" i="1"/>
  <c r="BZ135" i="1"/>
  <c r="BZ136" i="1"/>
  <c r="BZ137" i="1"/>
  <c r="BZ138" i="1"/>
  <c r="BZ139" i="1"/>
  <c r="BZ140" i="1"/>
  <c r="BZ141" i="1"/>
  <c r="BZ142" i="1"/>
  <c r="BZ143" i="1"/>
  <c r="BZ144" i="1"/>
  <c r="BZ145" i="1"/>
  <c r="BZ146" i="1"/>
  <c r="BZ2" i="1"/>
  <c r="BV3" i="1"/>
  <c r="BV4" i="1"/>
  <c r="BV5" i="1"/>
  <c r="BV6" i="1"/>
  <c r="BV7" i="1"/>
  <c r="BV8" i="1"/>
  <c r="BV9" i="1"/>
  <c r="BV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BV35" i="1"/>
  <c r="BV36" i="1"/>
  <c r="BV37" i="1"/>
  <c r="BV38" i="1"/>
  <c r="BV39" i="1"/>
  <c r="BV40" i="1"/>
  <c r="BV41" i="1"/>
  <c r="BV42" i="1"/>
  <c r="BV43" i="1"/>
  <c r="BV44" i="1"/>
  <c r="BV45" i="1"/>
  <c r="BV46" i="1"/>
  <c r="BV47" i="1"/>
  <c r="BV48" i="1"/>
  <c r="BV49" i="1"/>
  <c r="BV50" i="1"/>
  <c r="BV51" i="1"/>
  <c r="BV52" i="1"/>
  <c r="BV53" i="1"/>
  <c r="BV54" i="1"/>
  <c r="BV55" i="1"/>
  <c r="BV56" i="1"/>
  <c r="BV57" i="1"/>
  <c r="BV58" i="1"/>
  <c r="BV59" i="1"/>
  <c r="BV60" i="1"/>
  <c r="BV61" i="1"/>
  <c r="BV62" i="1"/>
  <c r="BV63" i="1"/>
  <c r="BV64" i="1"/>
  <c r="BV65" i="1"/>
  <c r="BV66" i="1"/>
  <c r="BV67" i="1"/>
  <c r="BV68" i="1"/>
  <c r="BV69" i="1"/>
  <c r="BV70" i="1"/>
  <c r="BV71" i="1"/>
  <c r="BV72" i="1"/>
  <c r="BV73" i="1"/>
  <c r="BV74" i="1"/>
  <c r="BV75" i="1"/>
  <c r="BV76" i="1"/>
  <c r="BV77" i="1"/>
  <c r="BV78" i="1"/>
  <c r="BV79" i="1"/>
  <c r="BV80" i="1"/>
  <c r="BV81" i="1"/>
  <c r="BV82" i="1"/>
  <c r="BV83" i="1"/>
  <c r="BV84" i="1"/>
  <c r="BV85" i="1"/>
  <c r="BV86" i="1"/>
  <c r="BV87" i="1"/>
  <c r="BV88" i="1"/>
  <c r="BV89" i="1"/>
  <c r="BV90" i="1"/>
  <c r="BV91" i="1"/>
  <c r="BV92" i="1"/>
  <c r="BV93" i="1"/>
  <c r="BV95" i="1"/>
  <c r="BV96" i="1"/>
  <c r="BV97" i="1"/>
  <c r="BV98" i="1"/>
  <c r="BV99" i="1"/>
  <c r="BV100" i="1"/>
  <c r="BV101" i="1"/>
  <c r="BV102" i="1"/>
  <c r="BV103" i="1"/>
  <c r="BV105" i="1"/>
  <c r="BV106" i="1"/>
  <c r="BV107" i="1"/>
  <c r="BV108" i="1"/>
  <c r="BV109" i="1"/>
  <c r="BV110" i="1"/>
  <c r="BV111" i="1"/>
  <c r="BV112" i="1"/>
  <c r="BV113" i="1"/>
  <c r="BV114" i="1"/>
  <c r="BV115" i="1"/>
  <c r="BV116" i="1"/>
  <c r="BV117" i="1"/>
  <c r="BV118" i="1"/>
  <c r="BV119" i="1"/>
  <c r="BV120" i="1"/>
  <c r="BV121" i="1"/>
  <c r="BV122" i="1"/>
  <c r="BV123" i="1"/>
  <c r="BV124" i="1"/>
  <c r="BV125" i="1"/>
  <c r="BV126" i="1"/>
  <c r="BV127" i="1"/>
  <c r="BV128" i="1"/>
  <c r="BV129" i="1"/>
  <c r="BV130" i="1"/>
  <c r="BV131" i="1"/>
  <c r="BV132" i="1"/>
  <c r="BV133" i="1"/>
  <c r="BV134" i="1"/>
  <c r="BV135" i="1"/>
  <c r="BV136" i="1"/>
  <c r="BV137" i="1"/>
  <c r="BV138" i="1"/>
  <c r="BV139" i="1"/>
  <c r="BV140" i="1"/>
  <c r="BV141" i="1"/>
  <c r="BV142" i="1"/>
  <c r="BV143" i="1"/>
  <c r="BV144" i="1"/>
  <c r="BV145" i="1"/>
  <c r="BV146" i="1"/>
  <c r="BV2" i="1"/>
  <c r="BR3" i="1"/>
  <c r="BR4" i="1"/>
  <c r="BR5" i="1"/>
  <c r="BR6" i="1"/>
  <c r="BR7" i="1"/>
  <c r="BR8" i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R30" i="1"/>
  <c r="BR31" i="1"/>
  <c r="BR32" i="1"/>
  <c r="BR33" i="1"/>
  <c r="BR34" i="1"/>
  <c r="BR35" i="1"/>
  <c r="BR36" i="1"/>
  <c r="BR37" i="1"/>
  <c r="BR38" i="1"/>
  <c r="BR39" i="1"/>
  <c r="BR40" i="1"/>
  <c r="BR41" i="1"/>
  <c r="BR42" i="1"/>
  <c r="BR43" i="1"/>
  <c r="BR44" i="1"/>
  <c r="BR45" i="1"/>
  <c r="BR46" i="1"/>
  <c r="BR47" i="1"/>
  <c r="BR48" i="1"/>
  <c r="BR49" i="1"/>
  <c r="BR50" i="1"/>
  <c r="BR51" i="1"/>
  <c r="BR52" i="1"/>
  <c r="BR53" i="1"/>
  <c r="BR54" i="1"/>
  <c r="BR55" i="1"/>
  <c r="BR56" i="1"/>
  <c r="BR57" i="1"/>
  <c r="BR58" i="1"/>
  <c r="BR59" i="1"/>
  <c r="BR60" i="1"/>
  <c r="BR61" i="1"/>
  <c r="BR62" i="1"/>
  <c r="BR63" i="1"/>
  <c r="BR64" i="1"/>
  <c r="BR65" i="1"/>
  <c r="BR66" i="1"/>
  <c r="BR67" i="1"/>
  <c r="BR68" i="1"/>
  <c r="BR69" i="1"/>
  <c r="BR70" i="1"/>
  <c r="BR71" i="1"/>
  <c r="BR72" i="1"/>
  <c r="BR73" i="1"/>
  <c r="BR74" i="1"/>
  <c r="BR75" i="1"/>
  <c r="BR76" i="1"/>
  <c r="BR77" i="1"/>
  <c r="BR78" i="1"/>
  <c r="BR79" i="1"/>
  <c r="BR80" i="1"/>
  <c r="BR81" i="1"/>
  <c r="BR82" i="1"/>
  <c r="BR83" i="1"/>
  <c r="BR84" i="1"/>
  <c r="BR85" i="1"/>
  <c r="BR86" i="1"/>
  <c r="BR87" i="1"/>
  <c r="BR88" i="1"/>
  <c r="BR89" i="1"/>
  <c r="BR90" i="1"/>
  <c r="BR91" i="1"/>
  <c r="BR92" i="1"/>
  <c r="BR93" i="1"/>
  <c r="BR95" i="1"/>
  <c r="BR96" i="1"/>
  <c r="BR97" i="1"/>
  <c r="BR98" i="1"/>
  <c r="BR99" i="1"/>
  <c r="BR100" i="1"/>
  <c r="BR101" i="1"/>
  <c r="BR102" i="1"/>
  <c r="BR103" i="1"/>
  <c r="BR105" i="1"/>
  <c r="BR106" i="1"/>
  <c r="BR107" i="1"/>
  <c r="BR108" i="1"/>
  <c r="BR109" i="1"/>
  <c r="BR110" i="1"/>
  <c r="BR111" i="1"/>
  <c r="BR112" i="1"/>
  <c r="BR113" i="1"/>
  <c r="BR114" i="1"/>
  <c r="BR115" i="1"/>
  <c r="BR116" i="1"/>
  <c r="BR117" i="1"/>
  <c r="BR118" i="1"/>
  <c r="BR119" i="1"/>
  <c r="BR120" i="1"/>
  <c r="BR121" i="1"/>
  <c r="BR122" i="1"/>
  <c r="BR123" i="1"/>
  <c r="BR124" i="1"/>
  <c r="BR125" i="1"/>
  <c r="BR126" i="1"/>
  <c r="BR127" i="1"/>
  <c r="BR128" i="1"/>
  <c r="BR129" i="1"/>
  <c r="BR130" i="1"/>
  <c r="BR131" i="1"/>
  <c r="BR132" i="1"/>
  <c r="BR133" i="1"/>
  <c r="BR134" i="1"/>
  <c r="BR135" i="1"/>
  <c r="BR136" i="1"/>
  <c r="BR137" i="1"/>
  <c r="BR138" i="1"/>
  <c r="BR139" i="1"/>
  <c r="BR140" i="1"/>
  <c r="BR141" i="1"/>
  <c r="BR142" i="1"/>
  <c r="BR143" i="1"/>
  <c r="BR144" i="1"/>
  <c r="BR145" i="1"/>
  <c r="BR146" i="1"/>
  <c r="BR2" i="1"/>
  <c r="BO94" i="1" l="1"/>
  <c r="BS60" i="1"/>
  <c r="BS61" i="1"/>
  <c r="BS62" i="1"/>
  <c r="BS63" i="1"/>
  <c r="BS68" i="1"/>
  <c r="DS3" i="1"/>
  <c r="DS4" i="1"/>
  <c r="DS5" i="1"/>
  <c r="DS6" i="1"/>
  <c r="DS7" i="1"/>
  <c r="DS8" i="1"/>
  <c r="DS9" i="1"/>
  <c r="DS10" i="1"/>
  <c r="DS11" i="1"/>
  <c r="DS12" i="1"/>
  <c r="DS13" i="1"/>
  <c r="DS14" i="1"/>
  <c r="DS15" i="1"/>
  <c r="DS16" i="1"/>
  <c r="DS17" i="1"/>
  <c r="DS18" i="1"/>
  <c r="DS19" i="1"/>
  <c r="DS20" i="1"/>
  <c r="DS21" i="1"/>
  <c r="DS22" i="1"/>
  <c r="DS23" i="1"/>
  <c r="DS24" i="1"/>
  <c r="DS25" i="1"/>
  <c r="DS26" i="1"/>
  <c r="DS27" i="1"/>
  <c r="DS28" i="1"/>
  <c r="DS29" i="1"/>
  <c r="DS30" i="1"/>
  <c r="DS31" i="1"/>
  <c r="DS32" i="1"/>
  <c r="DS33" i="1"/>
  <c r="DS34" i="1"/>
  <c r="DS35" i="1"/>
  <c r="DS36" i="1"/>
  <c r="DS37" i="1"/>
  <c r="DS38" i="1"/>
  <c r="DS39" i="1"/>
  <c r="DS40" i="1"/>
  <c r="DS41" i="1"/>
  <c r="DS42" i="1"/>
  <c r="DS43" i="1"/>
  <c r="DS44" i="1"/>
  <c r="DS45" i="1"/>
  <c r="DS46" i="1"/>
  <c r="DS47" i="1"/>
  <c r="DS48" i="1"/>
  <c r="DS49" i="1"/>
  <c r="DS50" i="1"/>
  <c r="DS51" i="1"/>
  <c r="DS52" i="1"/>
  <c r="DS53" i="1"/>
  <c r="DS54" i="1"/>
  <c r="DS55" i="1"/>
  <c r="DS56" i="1"/>
  <c r="DS57" i="1"/>
  <c r="DS58" i="1"/>
  <c r="DS59" i="1"/>
  <c r="DS60" i="1"/>
  <c r="DS61" i="1"/>
  <c r="DS62" i="1"/>
  <c r="DS63" i="1"/>
  <c r="DS64" i="1"/>
  <c r="DS65" i="1"/>
  <c r="DS66" i="1"/>
  <c r="DS67" i="1"/>
  <c r="DS68" i="1"/>
  <c r="DS69" i="1"/>
  <c r="DS70" i="1"/>
  <c r="DS71" i="1"/>
  <c r="DS72" i="1"/>
  <c r="DS73" i="1"/>
  <c r="DS74" i="1"/>
  <c r="DS75" i="1"/>
  <c r="DS76" i="1"/>
  <c r="DS77" i="1"/>
  <c r="DS78" i="1"/>
  <c r="DS79" i="1"/>
  <c r="DS80" i="1"/>
  <c r="DS81" i="1"/>
  <c r="DS82" i="1"/>
  <c r="DS83" i="1"/>
  <c r="DS84" i="1"/>
  <c r="DS85" i="1"/>
  <c r="DS86" i="1"/>
  <c r="DS87" i="1"/>
  <c r="DS88" i="1"/>
  <c r="DS89" i="1"/>
  <c r="DS90" i="1"/>
  <c r="DS91" i="1"/>
  <c r="DS92" i="1"/>
  <c r="DS93" i="1"/>
  <c r="DS94" i="1"/>
  <c r="DS95" i="1"/>
  <c r="DS96" i="1"/>
  <c r="DS97" i="1"/>
  <c r="DS98" i="1"/>
  <c r="DS99" i="1"/>
  <c r="DS100" i="1"/>
  <c r="DS101" i="1"/>
  <c r="DS102" i="1"/>
  <c r="DS103" i="1"/>
  <c r="DS104" i="1"/>
  <c r="DS105" i="1"/>
  <c r="DS106" i="1"/>
  <c r="DS107" i="1"/>
  <c r="DS108" i="1"/>
  <c r="DS109" i="1"/>
  <c r="DS110" i="1"/>
  <c r="DS111" i="1"/>
  <c r="DS112" i="1"/>
  <c r="DS113" i="1"/>
  <c r="DS114" i="1"/>
  <c r="DS115" i="1"/>
  <c r="DS116" i="1"/>
  <c r="DS117" i="1"/>
  <c r="DS118" i="1"/>
  <c r="DS119" i="1"/>
  <c r="DS120" i="1"/>
  <c r="DS121" i="1"/>
  <c r="DS122" i="1"/>
  <c r="DS123" i="1"/>
  <c r="DS124" i="1"/>
  <c r="DS125" i="1"/>
  <c r="DS126" i="1"/>
  <c r="DS127" i="1"/>
  <c r="DS128" i="1"/>
  <c r="DS129" i="1"/>
  <c r="DS130" i="1"/>
  <c r="DS131" i="1"/>
  <c r="DS132" i="1"/>
  <c r="DS133" i="1"/>
  <c r="DS134" i="1"/>
  <c r="DS135" i="1"/>
  <c r="DS136" i="1"/>
  <c r="DS137" i="1"/>
  <c r="DS138" i="1"/>
  <c r="DS139" i="1"/>
  <c r="DS140" i="1"/>
  <c r="DS141" i="1"/>
  <c r="DS142" i="1"/>
  <c r="DS143" i="1"/>
  <c r="DS144" i="1"/>
  <c r="DS145" i="1"/>
  <c r="DS146" i="1"/>
  <c r="DS2" i="1"/>
  <c r="DO3" i="1"/>
  <c r="DO4" i="1"/>
  <c r="DO5" i="1"/>
  <c r="DO6" i="1"/>
  <c r="DO7" i="1"/>
  <c r="DO8" i="1"/>
  <c r="DO9" i="1"/>
  <c r="DO10" i="1"/>
  <c r="DO11" i="1"/>
  <c r="DO12" i="1"/>
  <c r="DO13" i="1"/>
  <c r="DO14" i="1"/>
  <c r="DO15" i="1"/>
  <c r="DO16" i="1"/>
  <c r="DO17" i="1"/>
  <c r="DO18" i="1"/>
  <c r="DO19" i="1"/>
  <c r="DO20" i="1"/>
  <c r="DO21" i="1"/>
  <c r="DO22" i="1"/>
  <c r="DO23" i="1"/>
  <c r="DO24" i="1"/>
  <c r="DO25" i="1"/>
  <c r="DO26" i="1"/>
  <c r="DO27" i="1"/>
  <c r="DO28" i="1"/>
  <c r="DO29" i="1"/>
  <c r="DO30" i="1"/>
  <c r="DO31" i="1"/>
  <c r="DO32" i="1"/>
  <c r="DO33" i="1"/>
  <c r="DO34" i="1"/>
  <c r="DO35" i="1"/>
  <c r="DO36" i="1"/>
  <c r="DO37" i="1"/>
  <c r="DO38" i="1"/>
  <c r="DO39" i="1"/>
  <c r="DO40" i="1"/>
  <c r="DO41" i="1"/>
  <c r="DO42" i="1"/>
  <c r="DO43" i="1"/>
  <c r="DO44" i="1"/>
  <c r="DO45" i="1"/>
  <c r="DO46" i="1"/>
  <c r="DO47" i="1"/>
  <c r="DO48" i="1"/>
  <c r="DO49" i="1"/>
  <c r="DO50" i="1"/>
  <c r="DO51" i="1"/>
  <c r="DO52" i="1"/>
  <c r="DO53" i="1"/>
  <c r="DO54" i="1"/>
  <c r="DO55" i="1"/>
  <c r="DO56" i="1"/>
  <c r="DO57" i="1"/>
  <c r="DO58" i="1"/>
  <c r="DO59" i="1"/>
  <c r="DO60" i="1"/>
  <c r="DO61" i="1"/>
  <c r="DO62" i="1"/>
  <c r="DO63" i="1"/>
  <c r="DO64" i="1"/>
  <c r="DO65" i="1"/>
  <c r="DO66" i="1"/>
  <c r="DO67" i="1"/>
  <c r="DO68" i="1"/>
  <c r="DO69" i="1"/>
  <c r="DO70" i="1"/>
  <c r="DO71" i="1"/>
  <c r="DO72" i="1"/>
  <c r="DO73" i="1"/>
  <c r="DO74" i="1"/>
  <c r="DO75" i="1"/>
  <c r="DO76" i="1"/>
  <c r="DO77" i="1"/>
  <c r="DO78" i="1"/>
  <c r="DO79" i="1"/>
  <c r="DO80" i="1"/>
  <c r="DO81" i="1"/>
  <c r="DO82" i="1"/>
  <c r="DO83" i="1"/>
  <c r="DO84" i="1"/>
  <c r="DO85" i="1"/>
  <c r="DO86" i="1"/>
  <c r="DO87" i="1"/>
  <c r="DO88" i="1"/>
  <c r="DO89" i="1"/>
  <c r="DO90" i="1"/>
  <c r="DO91" i="1"/>
  <c r="DO92" i="1"/>
  <c r="DO93" i="1"/>
  <c r="DO94" i="1"/>
  <c r="DO95" i="1"/>
  <c r="DO96" i="1"/>
  <c r="DO97" i="1"/>
  <c r="DO98" i="1"/>
  <c r="DO99" i="1"/>
  <c r="DO100" i="1"/>
  <c r="DO101" i="1"/>
  <c r="DO102" i="1"/>
  <c r="DO103" i="1"/>
  <c r="DO104" i="1"/>
  <c r="DO105" i="1"/>
  <c r="DO106" i="1"/>
  <c r="DO107" i="1"/>
  <c r="DO108" i="1"/>
  <c r="DO109" i="1"/>
  <c r="DO110" i="1"/>
  <c r="DO111" i="1"/>
  <c r="DO112" i="1"/>
  <c r="DO113" i="1"/>
  <c r="DO114" i="1"/>
  <c r="DO115" i="1"/>
  <c r="DO116" i="1"/>
  <c r="DO117" i="1"/>
  <c r="DO118" i="1"/>
  <c r="DO119" i="1"/>
  <c r="DO120" i="1"/>
  <c r="DO121" i="1"/>
  <c r="DO122" i="1"/>
  <c r="DO123" i="1"/>
  <c r="DO124" i="1"/>
  <c r="DO125" i="1"/>
  <c r="DO126" i="1"/>
  <c r="DO127" i="1"/>
  <c r="DO128" i="1"/>
  <c r="DO129" i="1"/>
  <c r="DO130" i="1"/>
  <c r="DO131" i="1"/>
  <c r="DO132" i="1"/>
  <c r="DO133" i="1"/>
  <c r="DO134" i="1"/>
  <c r="DO135" i="1"/>
  <c r="DO136" i="1"/>
  <c r="DO137" i="1"/>
  <c r="DO138" i="1"/>
  <c r="DO139" i="1"/>
  <c r="DO140" i="1"/>
  <c r="DO141" i="1"/>
  <c r="DO142" i="1"/>
  <c r="DO143" i="1"/>
  <c r="DO144" i="1"/>
  <c r="DO145" i="1"/>
  <c r="DO146" i="1"/>
  <c r="DO2" i="1"/>
  <c r="DK3" i="1"/>
  <c r="DK4" i="1"/>
  <c r="DK5" i="1"/>
  <c r="DK6" i="1"/>
  <c r="DK7" i="1"/>
  <c r="DK8" i="1"/>
  <c r="DK9" i="1"/>
  <c r="DK10" i="1"/>
  <c r="DK11" i="1"/>
  <c r="DK12" i="1"/>
  <c r="DK13" i="1"/>
  <c r="DK14" i="1"/>
  <c r="DK15" i="1"/>
  <c r="DK16" i="1"/>
  <c r="DK17" i="1"/>
  <c r="DK18" i="1"/>
  <c r="DK19" i="1"/>
  <c r="DK20" i="1"/>
  <c r="DK21" i="1"/>
  <c r="DK22" i="1"/>
  <c r="DK23" i="1"/>
  <c r="DK24" i="1"/>
  <c r="DK25" i="1"/>
  <c r="DK26" i="1"/>
  <c r="DK27" i="1"/>
  <c r="DK28" i="1"/>
  <c r="DK29" i="1"/>
  <c r="DK30" i="1"/>
  <c r="DK31" i="1"/>
  <c r="DK32" i="1"/>
  <c r="DK33" i="1"/>
  <c r="DK34" i="1"/>
  <c r="DK35" i="1"/>
  <c r="DK36" i="1"/>
  <c r="DK37" i="1"/>
  <c r="DK38" i="1"/>
  <c r="DK39" i="1"/>
  <c r="DK40" i="1"/>
  <c r="DK41" i="1"/>
  <c r="DK42" i="1"/>
  <c r="DK43" i="1"/>
  <c r="DK44" i="1"/>
  <c r="DK45" i="1"/>
  <c r="DK46" i="1"/>
  <c r="DK47" i="1"/>
  <c r="DK48" i="1"/>
  <c r="DK49" i="1"/>
  <c r="DK50" i="1"/>
  <c r="DK51" i="1"/>
  <c r="DK52" i="1"/>
  <c r="DK53" i="1"/>
  <c r="DK54" i="1"/>
  <c r="DK55" i="1"/>
  <c r="DK56" i="1"/>
  <c r="DK57" i="1"/>
  <c r="DK58" i="1"/>
  <c r="DK59" i="1"/>
  <c r="DK60" i="1"/>
  <c r="DK61" i="1"/>
  <c r="DK62" i="1"/>
  <c r="DK63" i="1"/>
  <c r="DK64" i="1"/>
  <c r="DK65" i="1"/>
  <c r="DK66" i="1"/>
  <c r="DK67" i="1"/>
  <c r="DK68" i="1"/>
  <c r="DK69" i="1"/>
  <c r="DK70" i="1"/>
  <c r="DK71" i="1"/>
  <c r="DK72" i="1"/>
  <c r="DK73" i="1"/>
  <c r="DK74" i="1"/>
  <c r="DK75" i="1"/>
  <c r="DK76" i="1"/>
  <c r="DK77" i="1"/>
  <c r="DK78" i="1"/>
  <c r="DK79" i="1"/>
  <c r="DK80" i="1"/>
  <c r="DK81" i="1"/>
  <c r="DK82" i="1"/>
  <c r="DK83" i="1"/>
  <c r="DK84" i="1"/>
  <c r="DK85" i="1"/>
  <c r="DK86" i="1"/>
  <c r="DK87" i="1"/>
  <c r="DK88" i="1"/>
  <c r="DK89" i="1"/>
  <c r="DK90" i="1"/>
  <c r="DK91" i="1"/>
  <c r="DK92" i="1"/>
  <c r="DK93" i="1"/>
  <c r="DK94" i="1"/>
  <c r="DK95" i="1"/>
  <c r="DK96" i="1"/>
  <c r="DK97" i="1"/>
  <c r="DK98" i="1"/>
  <c r="DK99" i="1"/>
  <c r="DK100" i="1"/>
  <c r="DK101" i="1"/>
  <c r="DK102" i="1"/>
  <c r="DK103" i="1"/>
  <c r="DK104" i="1"/>
  <c r="DK105" i="1"/>
  <c r="DK106" i="1"/>
  <c r="DK107" i="1"/>
  <c r="DK108" i="1"/>
  <c r="DK109" i="1"/>
  <c r="DK110" i="1"/>
  <c r="DK111" i="1"/>
  <c r="DK112" i="1"/>
  <c r="DK113" i="1"/>
  <c r="DK114" i="1"/>
  <c r="DK115" i="1"/>
  <c r="DK116" i="1"/>
  <c r="DK117" i="1"/>
  <c r="DK118" i="1"/>
  <c r="DK119" i="1"/>
  <c r="DK120" i="1"/>
  <c r="DK121" i="1"/>
  <c r="DK122" i="1"/>
  <c r="DK123" i="1"/>
  <c r="DK124" i="1"/>
  <c r="DK125" i="1"/>
  <c r="DK126" i="1"/>
  <c r="DK127" i="1"/>
  <c r="DK128" i="1"/>
  <c r="DK129" i="1"/>
  <c r="DK130" i="1"/>
  <c r="DK131" i="1"/>
  <c r="DK132" i="1"/>
  <c r="DK133" i="1"/>
  <c r="DK134" i="1"/>
  <c r="DK135" i="1"/>
  <c r="DK136" i="1"/>
  <c r="DK137" i="1"/>
  <c r="DK138" i="1"/>
  <c r="DK139" i="1"/>
  <c r="DK140" i="1"/>
  <c r="DK141" i="1"/>
  <c r="DK142" i="1"/>
  <c r="DK143" i="1"/>
  <c r="DK144" i="1"/>
  <c r="DK145" i="1"/>
  <c r="DK146" i="1"/>
  <c r="DK2" i="1"/>
  <c r="DG3" i="1"/>
  <c r="DG4" i="1"/>
  <c r="DG5" i="1"/>
  <c r="DG6" i="1"/>
  <c r="DG7" i="1"/>
  <c r="DG8" i="1"/>
  <c r="DG9" i="1"/>
  <c r="DG10" i="1"/>
  <c r="DG11" i="1"/>
  <c r="DG12" i="1"/>
  <c r="DG13" i="1"/>
  <c r="DG14" i="1"/>
  <c r="DG15" i="1"/>
  <c r="DG16" i="1"/>
  <c r="DG17" i="1"/>
  <c r="DG18" i="1"/>
  <c r="DG19" i="1"/>
  <c r="DG20" i="1"/>
  <c r="DG21" i="1"/>
  <c r="DG22" i="1"/>
  <c r="DG23" i="1"/>
  <c r="DG24" i="1"/>
  <c r="DG25" i="1"/>
  <c r="DG26" i="1"/>
  <c r="DG27" i="1"/>
  <c r="DG28" i="1"/>
  <c r="DG29" i="1"/>
  <c r="DG30" i="1"/>
  <c r="DG31" i="1"/>
  <c r="DG32" i="1"/>
  <c r="DG33" i="1"/>
  <c r="DG34" i="1"/>
  <c r="DG35" i="1"/>
  <c r="DG36" i="1"/>
  <c r="DG37" i="1"/>
  <c r="DG38" i="1"/>
  <c r="DG39" i="1"/>
  <c r="DG40" i="1"/>
  <c r="DG41" i="1"/>
  <c r="DG42" i="1"/>
  <c r="DG43" i="1"/>
  <c r="DG44" i="1"/>
  <c r="DG45" i="1"/>
  <c r="DG46" i="1"/>
  <c r="DG47" i="1"/>
  <c r="DG48" i="1"/>
  <c r="DG49" i="1"/>
  <c r="DG50" i="1"/>
  <c r="DG51" i="1"/>
  <c r="DG52" i="1"/>
  <c r="DG53" i="1"/>
  <c r="DG54" i="1"/>
  <c r="DG55" i="1"/>
  <c r="DG56" i="1"/>
  <c r="DG57" i="1"/>
  <c r="DG58" i="1"/>
  <c r="DG59" i="1"/>
  <c r="DG60" i="1"/>
  <c r="DG61" i="1"/>
  <c r="DG62" i="1"/>
  <c r="DG63" i="1"/>
  <c r="DG64" i="1"/>
  <c r="DG65" i="1"/>
  <c r="DG66" i="1"/>
  <c r="DG67" i="1"/>
  <c r="DG68" i="1"/>
  <c r="DG69" i="1"/>
  <c r="DG70" i="1"/>
  <c r="DG71" i="1"/>
  <c r="DG72" i="1"/>
  <c r="DG73" i="1"/>
  <c r="DG74" i="1"/>
  <c r="DG75" i="1"/>
  <c r="DG76" i="1"/>
  <c r="DG77" i="1"/>
  <c r="DG78" i="1"/>
  <c r="DG79" i="1"/>
  <c r="DG80" i="1"/>
  <c r="DG81" i="1"/>
  <c r="DG82" i="1"/>
  <c r="DG83" i="1"/>
  <c r="DG84" i="1"/>
  <c r="DG85" i="1"/>
  <c r="DG86" i="1"/>
  <c r="DG87" i="1"/>
  <c r="DG88" i="1"/>
  <c r="DG89" i="1"/>
  <c r="DG90" i="1"/>
  <c r="DG91" i="1"/>
  <c r="DG92" i="1"/>
  <c r="DG93" i="1"/>
  <c r="DG94" i="1"/>
  <c r="DG95" i="1"/>
  <c r="DG96" i="1"/>
  <c r="DG97" i="1"/>
  <c r="DG98" i="1"/>
  <c r="DG99" i="1"/>
  <c r="DG100" i="1"/>
  <c r="DG101" i="1"/>
  <c r="DG102" i="1"/>
  <c r="DG103" i="1"/>
  <c r="DG104" i="1"/>
  <c r="DG105" i="1"/>
  <c r="DG106" i="1"/>
  <c r="DG107" i="1"/>
  <c r="DG108" i="1"/>
  <c r="DG109" i="1"/>
  <c r="DG110" i="1"/>
  <c r="DG111" i="1"/>
  <c r="DG112" i="1"/>
  <c r="DG113" i="1"/>
  <c r="DG114" i="1"/>
  <c r="DG115" i="1"/>
  <c r="DG116" i="1"/>
  <c r="DG117" i="1"/>
  <c r="DG118" i="1"/>
  <c r="DG119" i="1"/>
  <c r="DG120" i="1"/>
  <c r="DG121" i="1"/>
  <c r="DG122" i="1"/>
  <c r="DG123" i="1"/>
  <c r="DG124" i="1"/>
  <c r="DG125" i="1"/>
  <c r="DG126" i="1"/>
  <c r="DG127" i="1"/>
  <c r="DG128" i="1"/>
  <c r="DG129" i="1"/>
  <c r="DG130" i="1"/>
  <c r="DG131" i="1"/>
  <c r="DG132" i="1"/>
  <c r="DG133" i="1"/>
  <c r="DG134" i="1"/>
  <c r="DG135" i="1"/>
  <c r="DG136" i="1"/>
  <c r="DG137" i="1"/>
  <c r="DG138" i="1"/>
  <c r="DG139" i="1"/>
  <c r="DG140" i="1"/>
  <c r="DG141" i="1"/>
  <c r="DG142" i="1"/>
  <c r="DG143" i="1"/>
  <c r="DG144" i="1"/>
  <c r="DG145" i="1"/>
  <c r="DG146" i="1"/>
  <c r="DG2" i="1"/>
  <c r="DC3" i="1"/>
  <c r="DC4" i="1"/>
  <c r="DC5" i="1"/>
  <c r="DC6" i="1"/>
  <c r="DC7" i="1"/>
  <c r="DC8" i="1"/>
  <c r="DC9" i="1"/>
  <c r="DC10" i="1"/>
  <c r="DC11" i="1"/>
  <c r="DC12" i="1"/>
  <c r="DC13" i="1"/>
  <c r="DC14" i="1"/>
  <c r="DC15" i="1"/>
  <c r="DC16" i="1"/>
  <c r="DC17" i="1"/>
  <c r="DC18" i="1"/>
  <c r="DC19" i="1"/>
  <c r="DC20" i="1"/>
  <c r="DC21" i="1"/>
  <c r="DC22" i="1"/>
  <c r="DC23" i="1"/>
  <c r="DC24" i="1"/>
  <c r="DC25" i="1"/>
  <c r="DC26" i="1"/>
  <c r="DC27" i="1"/>
  <c r="DC28" i="1"/>
  <c r="DC29" i="1"/>
  <c r="DC30" i="1"/>
  <c r="DC31" i="1"/>
  <c r="DC32" i="1"/>
  <c r="DC33" i="1"/>
  <c r="DC34" i="1"/>
  <c r="DC35" i="1"/>
  <c r="DC36" i="1"/>
  <c r="DC37" i="1"/>
  <c r="DC38" i="1"/>
  <c r="DC39" i="1"/>
  <c r="DC40" i="1"/>
  <c r="DC41" i="1"/>
  <c r="DC42" i="1"/>
  <c r="DC43" i="1"/>
  <c r="DC44" i="1"/>
  <c r="DC45" i="1"/>
  <c r="DC46" i="1"/>
  <c r="DC47" i="1"/>
  <c r="DC48" i="1"/>
  <c r="DC49" i="1"/>
  <c r="DC50" i="1"/>
  <c r="DC51" i="1"/>
  <c r="DC52" i="1"/>
  <c r="DC53" i="1"/>
  <c r="DC54" i="1"/>
  <c r="DC55" i="1"/>
  <c r="DC56" i="1"/>
  <c r="DC57" i="1"/>
  <c r="DC58" i="1"/>
  <c r="DC59" i="1"/>
  <c r="DC60" i="1"/>
  <c r="DC61" i="1"/>
  <c r="DC62" i="1"/>
  <c r="DC63" i="1"/>
  <c r="DC64" i="1"/>
  <c r="DC65" i="1"/>
  <c r="DC66" i="1"/>
  <c r="DC67" i="1"/>
  <c r="DC68" i="1"/>
  <c r="DC69" i="1"/>
  <c r="DC70" i="1"/>
  <c r="DC71" i="1"/>
  <c r="DC72" i="1"/>
  <c r="DC73" i="1"/>
  <c r="DC74" i="1"/>
  <c r="DC75" i="1"/>
  <c r="DC76" i="1"/>
  <c r="DC77" i="1"/>
  <c r="DC78" i="1"/>
  <c r="DC79" i="1"/>
  <c r="DC80" i="1"/>
  <c r="DC81" i="1"/>
  <c r="DC82" i="1"/>
  <c r="DC83" i="1"/>
  <c r="DC84" i="1"/>
  <c r="DC85" i="1"/>
  <c r="DC86" i="1"/>
  <c r="DC87" i="1"/>
  <c r="DC88" i="1"/>
  <c r="DC89" i="1"/>
  <c r="DC90" i="1"/>
  <c r="DC91" i="1"/>
  <c r="DC92" i="1"/>
  <c r="DC93" i="1"/>
  <c r="DC94" i="1"/>
  <c r="DC95" i="1"/>
  <c r="DC96" i="1"/>
  <c r="DC97" i="1"/>
  <c r="DC98" i="1"/>
  <c r="DC99" i="1"/>
  <c r="DC100" i="1"/>
  <c r="DC101" i="1"/>
  <c r="DC102" i="1"/>
  <c r="DC103" i="1"/>
  <c r="DC104" i="1"/>
  <c r="DC105" i="1"/>
  <c r="DC106" i="1"/>
  <c r="DC107" i="1"/>
  <c r="DC108" i="1"/>
  <c r="DC109" i="1"/>
  <c r="DC110" i="1"/>
  <c r="DC111" i="1"/>
  <c r="DC112" i="1"/>
  <c r="DC113" i="1"/>
  <c r="DC114" i="1"/>
  <c r="DC115" i="1"/>
  <c r="DC116" i="1"/>
  <c r="DC117" i="1"/>
  <c r="DC118" i="1"/>
  <c r="DC119" i="1"/>
  <c r="DC120" i="1"/>
  <c r="DC121" i="1"/>
  <c r="DC122" i="1"/>
  <c r="DC123" i="1"/>
  <c r="DC124" i="1"/>
  <c r="DC125" i="1"/>
  <c r="DC126" i="1"/>
  <c r="DC127" i="1"/>
  <c r="DC128" i="1"/>
  <c r="DC129" i="1"/>
  <c r="DC130" i="1"/>
  <c r="DC131" i="1"/>
  <c r="DC132" i="1"/>
  <c r="DC133" i="1"/>
  <c r="DC134" i="1"/>
  <c r="DC135" i="1"/>
  <c r="DC136" i="1"/>
  <c r="DC137" i="1"/>
  <c r="DC138" i="1"/>
  <c r="DC139" i="1"/>
  <c r="DC140" i="1"/>
  <c r="DC141" i="1"/>
  <c r="DC142" i="1"/>
  <c r="DC143" i="1"/>
  <c r="DC144" i="1"/>
  <c r="DC145" i="1"/>
  <c r="DC146" i="1"/>
  <c r="DC2" i="1"/>
  <c r="CY3" i="1"/>
  <c r="CY4" i="1"/>
  <c r="CY5" i="1"/>
  <c r="CY6" i="1"/>
  <c r="CY7" i="1"/>
  <c r="CY8" i="1"/>
  <c r="CY9" i="1"/>
  <c r="CY10" i="1"/>
  <c r="CY11" i="1"/>
  <c r="CY12" i="1"/>
  <c r="CY13" i="1"/>
  <c r="CY14" i="1"/>
  <c r="CY15" i="1"/>
  <c r="CY16" i="1"/>
  <c r="CY17" i="1"/>
  <c r="CY18" i="1"/>
  <c r="CY19" i="1"/>
  <c r="CY20" i="1"/>
  <c r="CY21" i="1"/>
  <c r="CY22" i="1"/>
  <c r="CY23" i="1"/>
  <c r="CY24" i="1"/>
  <c r="CY25" i="1"/>
  <c r="CY26" i="1"/>
  <c r="CY27" i="1"/>
  <c r="CY28" i="1"/>
  <c r="CY29" i="1"/>
  <c r="CY30" i="1"/>
  <c r="CY31" i="1"/>
  <c r="CY32" i="1"/>
  <c r="CY33" i="1"/>
  <c r="CY34" i="1"/>
  <c r="CY35" i="1"/>
  <c r="CY36" i="1"/>
  <c r="CY37" i="1"/>
  <c r="CY38" i="1"/>
  <c r="CY39" i="1"/>
  <c r="CY40" i="1"/>
  <c r="CY41" i="1"/>
  <c r="CY42" i="1"/>
  <c r="CY43" i="1"/>
  <c r="CY44" i="1"/>
  <c r="CY45" i="1"/>
  <c r="CY46" i="1"/>
  <c r="CY47" i="1"/>
  <c r="CY48" i="1"/>
  <c r="CY49" i="1"/>
  <c r="CY50" i="1"/>
  <c r="CY51" i="1"/>
  <c r="CY52" i="1"/>
  <c r="CY53" i="1"/>
  <c r="CY54" i="1"/>
  <c r="CY55" i="1"/>
  <c r="CY56" i="1"/>
  <c r="CY57" i="1"/>
  <c r="CY58" i="1"/>
  <c r="CY59" i="1"/>
  <c r="CY60" i="1"/>
  <c r="CY61" i="1"/>
  <c r="CY62" i="1"/>
  <c r="CY63" i="1"/>
  <c r="CY64" i="1"/>
  <c r="CY65" i="1"/>
  <c r="CY66" i="1"/>
  <c r="CY67" i="1"/>
  <c r="CY68" i="1"/>
  <c r="CY69" i="1"/>
  <c r="CY70" i="1"/>
  <c r="CY71" i="1"/>
  <c r="CY72" i="1"/>
  <c r="CY73" i="1"/>
  <c r="CY74" i="1"/>
  <c r="CY75" i="1"/>
  <c r="CY76" i="1"/>
  <c r="CY77" i="1"/>
  <c r="CY78" i="1"/>
  <c r="CY79" i="1"/>
  <c r="CY80" i="1"/>
  <c r="CY81" i="1"/>
  <c r="CY82" i="1"/>
  <c r="CY83" i="1"/>
  <c r="CY84" i="1"/>
  <c r="CY85" i="1"/>
  <c r="CY86" i="1"/>
  <c r="CY87" i="1"/>
  <c r="CY88" i="1"/>
  <c r="CY89" i="1"/>
  <c r="CY90" i="1"/>
  <c r="CY91" i="1"/>
  <c r="CY92" i="1"/>
  <c r="CY93" i="1"/>
  <c r="CY94" i="1"/>
  <c r="CY95" i="1"/>
  <c r="CY96" i="1"/>
  <c r="CY97" i="1"/>
  <c r="CY98" i="1"/>
  <c r="CY99" i="1"/>
  <c r="CY100" i="1"/>
  <c r="CY101" i="1"/>
  <c r="CY102" i="1"/>
  <c r="CY103" i="1"/>
  <c r="CY104" i="1"/>
  <c r="CY105" i="1"/>
  <c r="CY106" i="1"/>
  <c r="CY107" i="1"/>
  <c r="CY108" i="1"/>
  <c r="CY109" i="1"/>
  <c r="CY110" i="1"/>
  <c r="CY111" i="1"/>
  <c r="CY112" i="1"/>
  <c r="CY113" i="1"/>
  <c r="CY114" i="1"/>
  <c r="CY115" i="1"/>
  <c r="CY116" i="1"/>
  <c r="CY117" i="1"/>
  <c r="CY118" i="1"/>
  <c r="CY119" i="1"/>
  <c r="CY120" i="1"/>
  <c r="CY121" i="1"/>
  <c r="CY122" i="1"/>
  <c r="CY123" i="1"/>
  <c r="CY124" i="1"/>
  <c r="CY125" i="1"/>
  <c r="CY126" i="1"/>
  <c r="CY127" i="1"/>
  <c r="CY128" i="1"/>
  <c r="CY129" i="1"/>
  <c r="CY130" i="1"/>
  <c r="CY131" i="1"/>
  <c r="CY132" i="1"/>
  <c r="CY133" i="1"/>
  <c r="CY134" i="1"/>
  <c r="CY135" i="1"/>
  <c r="CY136" i="1"/>
  <c r="CY137" i="1"/>
  <c r="CY138" i="1"/>
  <c r="CY139" i="1"/>
  <c r="CY140" i="1"/>
  <c r="CY141" i="1"/>
  <c r="CY142" i="1"/>
  <c r="CY143" i="1"/>
  <c r="CY144" i="1"/>
  <c r="CY145" i="1"/>
  <c r="CY146" i="1"/>
  <c r="CY2" i="1"/>
  <c r="CU3" i="1"/>
  <c r="CU4" i="1"/>
  <c r="CU5" i="1"/>
  <c r="CU6" i="1"/>
  <c r="CU7" i="1"/>
  <c r="CU8" i="1"/>
  <c r="CU9" i="1"/>
  <c r="CU10" i="1"/>
  <c r="CU11" i="1"/>
  <c r="CU12" i="1"/>
  <c r="CU13" i="1"/>
  <c r="CU14" i="1"/>
  <c r="CU15" i="1"/>
  <c r="CU16" i="1"/>
  <c r="CU17" i="1"/>
  <c r="CU18" i="1"/>
  <c r="CU19" i="1"/>
  <c r="CU20" i="1"/>
  <c r="CU21" i="1"/>
  <c r="CU22" i="1"/>
  <c r="CU23" i="1"/>
  <c r="CU24" i="1"/>
  <c r="CU25" i="1"/>
  <c r="CU26" i="1"/>
  <c r="CU27" i="1"/>
  <c r="CU28" i="1"/>
  <c r="CU29" i="1"/>
  <c r="CU30" i="1"/>
  <c r="CU31" i="1"/>
  <c r="CU32" i="1"/>
  <c r="CU33" i="1"/>
  <c r="CU34" i="1"/>
  <c r="CU35" i="1"/>
  <c r="CU36" i="1"/>
  <c r="CU37" i="1"/>
  <c r="CU38" i="1"/>
  <c r="CU39" i="1"/>
  <c r="CU40" i="1"/>
  <c r="CU41" i="1"/>
  <c r="CU42" i="1"/>
  <c r="CU43" i="1"/>
  <c r="CU44" i="1"/>
  <c r="CU45" i="1"/>
  <c r="CU46" i="1"/>
  <c r="CU47" i="1"/>
  <c r="CU48" i="1"/>
  <c r="CU49" i="1"/>
  <c r="CU50" i="1"/>
  <c r="CU51" i="1"/>
  <c r="CU52" i="1"/>
  <c r="CU53" i="1"/>
  <c r="CU54" i="1"/>
  <c r="CU55" i="1"/>
  <c r="CU56" i="1"/>
  <c r="CU57" i="1"/>
  <c r="CU58" i="1"/>
  <c r="CU59" i="1"/>
  <c r="CU60" i="1"/>
  <c r="CU61" i="1"/>
  <c r="CU62" i="1"/>
  <c r="CU63" i="1"/>
  <c r="CU64" i="1"/>
  <c r="CU65" i="1"/>
  <c r="CU66" i="1"/>
  <c r="CU67" i="1"/>
  <c r="CU68" i="1"/>
  <c r="CU69" i="1"/>
  <c r="CU70" i="1"/>
  <c r="CU71" i="1"/>
  <c r="CU72" i="1"/>
  <c r="CU73" i="1"/>
  <c r="CU74" i="1"/>
  <c r="CU75" i="1"/>
  <c r="CU76" i="1"/>
  <c r="CU77" i="1"/>
  <c r="CU78" i="1"/>
  <c r="CU79" i="1"/>
  <c r="CU80" i="1"/>
  <c r="CU81" i="1"/>
  <c r="CU82" i="1"/>
  <c r="CU83" i="1"/>
  <c r="CU84" i="1"/>
  <c r="CU85" i="1"/>
  <c r="CU86" i="1"/>
  <c r="CU87" i="1"/>
  <c r="CU88" i="1"/>
  <c r="CU89" i="1"/>
  <c r="CU90" i="1"/>
  <c r="CU91" i="1"/>
  <c r="CU92" i="1"/>
  <c r="CU93" i="1"/>
  <c r="CU94" i="1"/>
  <c r="CU95" i="1"/>
  <c r="CU96" i="1"/>
  <c r="CU97" i="1"/>
  <c r="CU98" i="1"/>
  <c r="CU99" i="1"/>
  <c r="CU100" i="1"/>
  <c r="CU101" i="1"/>
  <c r="CU102" i="1"/>
  <c r="CU103" i="1"/>
  <c r="CU104" i="1"/>
  <c r="CU105" i="1"/>
  <c r="CU106" i="1"/>
  <c r="CU107" i="1"/>
  <c r="CU108" i="1"/>
  <c r="CU109" i="1"/>
  <c r="CU110" i="1"/>
  <c r="CU111" i="1"/>
  <c r="CU112" i="1"/>
  <c r="CU113" i="1"/>
  <c r="CU114" i="1"/>
  <c r="CU115" i="1"/>
  <c r="CU116" i="1"/>
  <c r="CU117" i="1"/>
  <c r="CU118" i="1"/>
  <c r="CU119" i="1"/>
  <c r="CU120" i="1"/>
  <c r="CU121" i="1"/>
  <c r="CU122" i="1"/>
  <c r="CU123" i="1"/>
  <c r="CU124" i="1"/>
  <c r="CU125" i="1"/>
  <c r="CU126" i="1"/>
  <c r="CU127" i="1"/>
  <c r="CU128" i="1"/>
  <c r="CU129" i="1"/>
  <c r="CU130" i="1"/>
  <c r="CU131" i="1"/>
  <c r="CU132" i="1"/>
  <c r="CU133" i="1"/>
  <c r="CU134" i="1"/>
  <c r="CU135" i="1"/>
  <c r="CU136" i="1"/>
  <c r="CU137" i="1"/>
  <c r="CU138" i="1"/>
  <c r="CU139" i="1"/>
  <c r="CU140" i="1"/>
  <c r="CU141" i="1"/>
  <c r="CU142" i="1"/>
  <c r="CU143" i="1"/>
  <c r="CU144" i="1"/>
  <c r="CU145" i="1"/>
  <c r="CU146" i="1"/>
  <c r="CU2" i="1"/>
  <c r="CQ3" i="1"/>
  <c r="CQ4" i="1"/>
  <c r="CQ5" i="1"/>
  <c r="CQ6" i="1"/>
  <c r="CQ7" i="1"/>
  <c r="CQ8" i="1"/>
  <c r="CQ9" i="1"/>
  <c r="CQ10" i="1"/>
  <c r="CQ11" i="1"/>
  <c r="CQ12" i="1"/>
  <c r="CQ13" i="1"/>
  <c r="CQ14" i="1"/>
  <c r="CQ15" i="1"/>
  <c r="CQ16" i="1"/>
  <c r="CQ17" i="1"/>
  <c r="CQ18" i="1"/>
  <c r="CQ19" i="1"/>
  <c r="CQ20" i="1"/>
  <c r="CQ21" i="1"/>
  <c r="CQ22" i="1"/>
  <c r="CQ23" i="1"/>
  <c r="CQ24" i="1"/>
  <c r="CQ25" i="1"/>
  <c r="CQ26" i="1"/>
  <c r="CQ27" i="1"/>
  <c r="CQ28" i="1"/>
  <c r="CQ29" i="1"/>
  <c r="CQ30" i="1"/>
  <c r="CQ31" i="1"/>
  <c r="CQ32" i="1"/>
  <c r="CQ33" i="1"/>
  <c r="CQ34" i="1"/>
  <c r="CQ35" i="1"/>
  <c r="CQ36" i="1"/>
  <c r="CQ37" i="1"/>
  <c r="CQ38" i="1"/>
  <c r="CQ39" i="1"/>
  <c r="CQ40" i="1"/>
  <c r="CQ41" i="1"/>
  <c r="CQ42" i="1"/>
  <c r="CQ43" i="1"/>
  <c r="CQ44" i="1"/>
  <c r="CQ45" i="1"/>
  <c r="CQ46" i="1"/>
  <c r="CQ47" i="1"/>
  <c r="CQ48" i="1"/>
  <c r="CQ49" i="1"/>
  <c r="CQ50" i="1"/>
  <c r="CQ51" i="1"/>
  <c r="CQ52" i="1"/>
  <c r="CQ53" i="1"/>
  <c r="CQ54" i="1"/>
  <c r="CQ55" i="1"/>
  <c r="CQ56" i="1"/>
  <c r="CQ57" i="1"/>
  <c r="CQ58" i="1"/>
  <c r="CQ59" i="1"/>
  <c r="CQ60" i="1"/>
  <c r="CQ61" i="1"/>
  <c r="CQ62" i="1"/>
  <c r="CQ63" i="1"/>
  <c r="CQ64" i="1"/>
  <c r="CQ65" i="1"/>
  <c r="CQ66" i="1"/>
  <c r="CQ67" i="1"/>
  <c r="CQ68" i="1"/>
  <c r="CQ69" i="1"/>
  <c r="CQ70" i="1"/>
  <c r="CQ71" i="1"/>
  <c r="CQ72" i="1"/>
  <c r="CQ73" i="1"/>
  <c r="CQ74" i="1"/>
  <c r="CQ75" i="1"/>
  <c r="CQ76" i="1"/>
  <c r="CQ77" i="1"/>
  <c r="CQ78" i="1"/>
  <c r="CQ79" i="1"/>
  <c r="CQ80" i="1"/>
  <c r="CQ81" i="1"/>
  <c r="CQ82" i="1"/>
  <c r="CQ83" i="1"/>
  <c r="CQ84" i="1"/>
  <c r="CQ85" i="1"/>
  <c r="CQ86" i="1"/>
  <c r="CQ87" i="1"/>
  <c r="CQ88" i="1"/>
  <c r="CQ89" i="1"/>
  <c r="CQ90" i="1"/>
  <c r="CQ91" i="1"/>
  <c r="CQ92" i="1"/>
  <c r="CQ93" i="1"/>
  <c r="CQ94" i="1"/>
  <c r="CQ95" i="1"/>
  <c r="CQ96" i="1"/>
  <c r="CQ97" i="1"/>
  <c r="CQ98" i="1"/>
  <c r="CQ99" i="1"/>
  <c r="CQ100" i="1"/>
  <c r="CQ101" i="1"/>
  <c r="CQ102" i="1"/>
  <c r="CQ103" i="1"/>
  <c r="CQ104" i="1"/>
  <c r="CQ105" i="1"/>
  <c r="CQ106" i="1"/>
  <c r="CQ107" i="1"/>
  <c r="CQ108" i="1"/>
  <c r="CQ109" i="1"/>
  <c r="CQ110" i="1"/>
  <c r="CQ111" i="1"/>
  <c r="CQ112" i="1"/>
  <c r="CQ113" i="1"/>
  <c r="CQ114" i="1"/>
  <c r="CQ115" i="1"/>
  <c r="CQ116" i="1"/>
  <c r="CQ117" i="1"/>
  <c r="CQ118" i="1"/>
  <c r="CQ119" i="1"/>
  <c r="CQ120" i="1"/>
  <c r="CQ121" i="1"/>
  <c r="CQ122" i="1"/>
  <c r="CQ123" i="1"/>
  <c r="CQ124" i="1"/>
  <c r="CQ125" i="1"/>
  <c r="CQ126" i="1"/>
  <c r="CQ127" i="1"/>
  <c r="CQ128" i="1"/>
  <c r="CQ129" i="1"/>
  <c r="CQ130" i="1"/>
  <c r="CQ131" i="1"/>
  <c r="CQ132" i="1"/>
  <c r="CQ133" i="1"/>
  <c r="CQ134" i="1"/>
  <c r="CQ135" i="1"/>
  <c r="CQ136" i="1"/>
  <c r="CQ137" i="1"/>
  <c r="CQ138" i="1"/>
  <c r="CQ139" i="1"/>
  <c r="CQ140" i="1"/>
  <c r="CQ141" i="1"/>
  <c r="CQ142" i="1"/>
  <c r="CQ143" i="1"/>
  <c r="CQ144" i="1"/>
  <c r="CQ145" i="1"/>
  <c r="CQ146" i="1"/>
  <c r="CQ2" i="1"/>
  <c r="CM3" i="1"/>
  <c r="CM4" i="1"/>
  <c r="CM5" i="1"/>
  <c r="CM6" i="1"/>
  <c r="CM7" i="1"/>
  <c r="CM8" i="1"/>
  <c r="CM9" i="1"/>
  <c r="CM10" i="1"/>
  <c r="CM11" i="1"/>
  <c r="CM12" i="1"/>
  <c r="CM13" i="1"/>
  <c r="CM14" i="1"/>
  <c r="CM15" i="1"/>
  <c r="CM16" i="1"/>
  <c r="CM17" i="1"/>
  <c r="CM18" i="1"/>
  <c r="CM19" i="1"/>
  <c r="CM20" i="1"/>
  <c r="CM21" i="1"/>
  <c r="CM22" i="1"/>
  <c r="CM23" i="1"/>
  <c r="CM24" i="1"/>
  <c r="CM25" i="1"/>
  <c r="CM26" i="1"/>
  <c r="CM27" i="1"/>
  <c r="CM28" i="1"/>
  <c r="CM29" i="1"/>
  <c r="CM30" i="1"/>
  <c r="CM31" i="1"/>
  <c r="CM32" i="1"/>
  <c r="CM33" i="1"/>
  <c r="CM34" i="1"/>
  <c r="CM35" i="1"/>
  <c r="CM36" i="1"/>
  <c r="CM37" i="1"/>
  <c r="CM38" i="1"/>
  <c r="CM39" i="1"/>
  <c r="CM40" i="1"/>
  <c r="CM41" i="1"/>
  <c r="CM42" i="1"/>
  <c r="CM43" i="1"/>
  <c r="CM44" i="1"/>
  <c r="CM45" i="1"/>
  <c r="CM46" i="1"/>
  <c r="CM47" i="1"/>
  <c r="CM48" i="1"/>
  <c r="CM49" i="1"/>
  <c r="CM50" i="1"/>
  <c r="CM51" i="1"/>
  <c r="CM52" i="1"/>
  <c r="CM53" i="1"/>
  <c r="CM54" i="1"/>
  <c r="CM55" i="1"/>
  <c r="CM56" i="1"/>
  <c r="CM57" i="1"/>
  <c r="CM58" i="1"/>
  <c r="CM59" i="1"/>
  <c r="CM60" i="1"/>
  <c r="CM61" i="1"/>
  <c r="CM62" i="1"/>
  <c r="CM63" i="1"/>
  <c r="CM64" i="1"/>
  <c r="CM65" i="1"/>
  <c r="CM66" i="1"/>
  <c r="CM67" i="1"/>
  <c r="CM68" i="1"/>
  <c r="CM69" i="1"/>
  <c r="CM70" i="1"/>
  <c r="CM71" i="1"/>
  <c r="CM72" i="1"/>
  <c r="CM73" i="1"/>
  <c r="CM74" i="1"/>
  <c r="CM75" i="1"/>
  <c r="CM76" i="1"/>
  <c r="CM77" i="1"/>
  <c r="CM78" i="1"/>
  <c r="CM79" i="1"/>
  <c r="CM80" i="1"/>
  <c r="CM81" i="1"/>
  <c r="CM82" i="1"/>
  <c r="CM83" i="1"/>
  <c r="CM84" i="1"/>
  <c r="CM85" i="1"/>
  <c r="CM86" i="1"/>
  <c r="CM87" i="1"/>
  <c r="CM88" i="1"/>
  <c r="CM89" i="1"/>
  <c r="CM90" i="1"/>
  <c r="CM91" i="1"/>
  <c r="CM92" i="1"/>
  <c r="CM93" i="1"/>
  <c r="CM94" i="1"/>
  <c r="CM95" i="1"/>
  <c r="CM96" i="1"/>
  <c r="CM97" i="1"/>
  <c r="CM98" i="1"/>
  <c r="CM99" i="1"/>
  <c r="CM100" i="1"/>
  <c r="CM101" i="1"/>
  <c r="CM102" i="1"/>
  <c r="CM103" i="1"/>
  <c r="CM104" i="1"/>
  <c r="CM105" i="1"/>
  <c r="CM106" i="1"/>
  <c r="CM107" i="1"/>
  <c r="CM108" i="1"/>
  <c r="CM109" i="1"/>
  <c r="CM110" i="1"/>
  <c r="CM111" i="1"/>
  <c r="CM112" i="1"/>
  <c r="CM113" i="1"/>
  <c r="CM114" i="1"/>
  <c r="CM115" i="1"/>
  <c r="CM116" i="1"/>
  <c r="CM117" i="1"/>
  <c r="CM118" i="1"/>
  <c r="CM119" i="1"/>
  <c r="CM120" i="1"/>
  <c r="CM121" i="1"/>
  <c r="CM122" i="1"/>
  <c r="CM123" i="1"/>
  <c r="CM124" i="1"/>
  <c r="CM125" i="1"/>
  <c r="CM126" i="1"/>
  <c r="CM127" i="1"/>
  <c r="CM128" i="1"/>
  <c r="CM129" i="1"/>
  <c r="CM130" i="1"/>
  <c r="CM131" i="1"/>
  <c r="CM132" i="1"/>
  <c r="CM133" i="1"/>
  <c r="CM134" i="1"/>
  <c r="CM135" i="1"/>
  <c r="CM136" i="1"/>
  <c r="CM137" i="1"/>
  <c r="CM138" i="1"/>
  <c r="CM139" i="1"/>
  <c r="CM140" i="1"/>
  <c r="CM141" i="1"/>
  <c r="CM142" i="1"/>
  <c r="CM143" i="1"/>
  <c r="CM144" i="1"/>
  <c r="CM145" i="1"/>
  <c r="CM146" i="1"/>
  <c r="CM2" i="1"/>
  <c r="CI3" i="1"/>
  <c r="CI4" i="1"/>
  <c r="CI5" i="1"/>
  <c r="CI6" i="1"/>
  <c r="CI7" i="1"/>
  <c r="CI8" i="1"/>
  <c r="CI9" i="1"/>
  <c r="CI10" i="1"/>
  <c r="CI11" i="1"/>
  <c r="CI12" i="1"/>
  <c r="CI13" i="1"/>
  <c r="CI14" i="1"/>
  <c r="CI15" i="1"/>
  <c r="CI16" i="1"/>
  <c r="CI17" i="1"/>
  <c r="CI18" i="1"/>
  <c r="CI19" i="1"/>
  <c r="CI20" i="1"/>
  <c r="CI21" i="1"/>
  <c r="CI22" i="1"/>
  <c r="CI23" i="1"/>
  <c r="CI24" i="1"/>
  <c r="CI25" i="1"/>
  <c r="CI26" i="1"/>
  <c r="CI27" i="1"/>
  <c r="CI28" i="1"/>
  <c r="CI29" i="1"/>
  <c r="CI30" i="1"/>
  <c r="CI31" i="1"/>
  <c r="CI32" i="1"/>
  <c r="CI33" i="1"/>
  <c r="CI34" i="1"/>
  <c r="CI35" i="1"/>
  <c r="CI36" i="1"/>
  <c r="CI37" i="1"/>
  <c r="CI38" i="1"/>
  <c r="CI39" i="1"/>
  <c r="CI40" i="1"/>
  <c r="CI41" i="1"/>
  <c r="CI42" i="1"/>
  <c r="CI43" i="1"/>
  <c r="CI44" i="1"/>
  <c r="CI45" i="1"/>
  <c r="CI46" i="1"/>
  <c r="CI47" i="1"/>
  <c r="CI48" i="1"/>
  <c r="CI49" i="1"/>
  <c r="CI50" i="1"/>
  <c r="CI51" i="1"/>
  <c r="CI52" i="1"/>
  <c r="CI53" i="1"/>
  <c r="CI54" i="1"/>
  <c r="CI55" i="1"/>
  <c r="CI56" i="1"/>
  <c r="CI57" i="1"/>
  <c r="CI58" i="1"/>
  <c r="CI59" i="1"/>
  <c r="CI60" i="1"/>
  <c r="CI61" i="1"/>
  <c r="CI62" i="1"/>
  <c r="CI63" i="1"/>
  <c r="CI64" i="1"/>
  <c r="CI65" i="1"/>
  <c r="CI66" i="1"/>
  <c r="CI67" i="1"/>
  <c r="CI68" i="1"/>
  <c r="CI69" i="1"/>
  <c r="CI70" i="1"/>
  <c r="CI71" i="1"/>
  <c r="CI72" i="1"/>
  <c r="CI73" i="1"/>
  <c r="CI74" i="1"/>
  <c r="CI75" i="1"/>
  <c r="CI76" i="1"/>
  <c r="CI77" i="1"/>
  <c r="CI78" i="1"/>
  <c r="CI79" i="1"/>
  <c r="CI80" i="1"/>
  <c r="CI81" i="1"/>
  <c r="CI82" i="1"/>
  <c r="CI83" i="1"/>
  <c r="CI84" i="1"/>
  <c r="CI85" i="1"/>
  <c r="CI86" i="1"/>
  <c r="CI87" i="1"/>
  <c r="CI88" i="1"/>
  <c r="CI89" i="1"/>
  <c r="CI90" i="1"/>
  <c r="CI91" i="1"/>
  <c r="CI92" i="1"/>
  <c r="CI93" i="1"/>
  <c r="CI94" i="1"/>
  <c r="CI95" i="1"/>
  <c r="CI96" i="1"/>
  <c r="CI97" i="1"/>
  <c r="CI98" i="1"/>
  <c r="CI99" i="1"/>
  <c r="CI100" i="1"/>
  <c r="CI101" i="1"/>
  <c r="CI102" i="1"/>
  <c r="CI103" i="1"/>
  <c r="CI104" i="1"/>
  <c r="CI105" i="1"/>
  <c r="CI106" i="1"/>
  <c r="CI107" i="1"/>
  <c r="CI108" i="1"/>
  <c r="CI109" i="1"/>
  <c r="CI110" i="1"/>
  <c r="CI111" i="1"/>
  <c r="CI112" i="1"/>
  <c r="CI113" i="1"/>
  <c r="CI114" i="1"/>
  <c r="CI115" i="1"/>
  <c r="CI116" i="1"/>
  <c r="CI117" i="1"/>
  <c r="CI118" i="1"/>
  <c r="CI119" i="1"/>
  <c r="CI120" i="1"/>
  <c r="CI121" i="1"/>
  <c r="CI122" i="1"/>
  <c r="CI123" i="1"/>
  <c r="CI124" i="1"/>
  <c r="CI125" i="1"/>
  <c r="CI126" i="1"/>
  <c r="CI127" i="1"/>
  <c r="CI128" i="1"/>
  <c r="CI129" i="1"/>
  <c r="CI130" i="1"/>
  <c r="CI131" i="1"/>
  <c r="CI132" i="1"/>
  <c r="CI133" i="1"/>
  <c r="CI134" i="1"/>
  <c r="CI135" i="1"/>
  <c r="CI136" i="1"/>
  <c r="CI137" i="1"/>
  <c r="CI138" i="1"/>
  <c r="CI139" i="1"/>
  <c r="CI140" i="1"/>
  <c r="CI141" i="1"/>
  <c r="CI142" i="1"/>
  <c r="CI143" i="1"/>
  <c r="CI144" i="1"/>
  <c r="CI145" i="1"/>
  <c r="CI146" i="1"/>
  <c r="CI2" i="1"/>
  <c r="CE3" i="1"/>
  <c r="CE4" i="1"/>
  <c r="CE5" i="1"/>
  <c r="CE6" i="1"/>
  <c r="CE7" i="1"/>
  <c r="CE8" i="1"/>
  <c r="CE9" i="1"/>
  <c r="CE10" i="1"/>
  <c r="CE11" i="1"/>
  <c r="CE12" i="1"/>
  <c r="CE13" i="1"/>
  <c r="CE14" i="1"/>
  <c r="CE15" i="1"/>
  <c r="CE16" i="1"/>
  <c r="CE17" i="1"/>
  <c r="CE18" i="1"/>
  <c r="CE19" i="1"/>
  <c r="CE20" i="1"/>
  <c r="CE21" i="1"/>
  <c r="CE22" i="1"/>
  <c r="CE23" i="1"/>
  <c r="CE24" i="1"/>
  <c r="CE25" i="1"/>
  <c r="CE26" i="1"/>
  <c r="CE27" i="1"/>
  <c r="CE28" i="1"/>
  <c r="CE29" i="1"/>
  <c r="CE30" i="1"/>
  <c r="CE31" i="1"/>
  <c r="CE32" i="1"/>
  <c r="CE33" i="1"/>
  <c r="CE34" i="1"/>
  <c r="CE35" i="1"/>
  <c r="CE36" i="1"/>
  <c r="CE37" i="1"/>
  <c r="CE38" i="1"/>
  <c r="CE39" i="1"/>
  <c r="CE40" i="1"/>
  <c r="CE41" i="1"/>
  <c r="CE42" i="1"/>
  <c r="CE43" i="1"/>
  <c r="CE44" i="1"/>
  <c r="CE45" i="1"/>
  <c r="CE46" i="1"/>
  <c r="CE47" i="1"/>
  <c r="CE48" i="1"/>
  <c r="CE49" i="1"/>
  <c r="CE50" i="1"/>
  <c r="CE51" i="1"/>
  <c r="CE52" i="1"/>
  <c r="CE53" i="1"/>
  <c r="CE54" i="1"/>
  <c r="CE55" i="1"/>
  <c r="CE56" i="1"/>
  <c r="CE57" i="1"/>
  <c r="CE58" i="1"/>
  <c r="CE59" i="1"/>
  <c r="CE60" i="1"/>
  <c r="CE61" i="1"/>
  <c r="CE62" i="1"/>
  <c r="CE63" i="1"/>
  <c r="CE64" i="1"/>
  <c r="CE65" i="1"/>
  <c r="CE66" i="1"/>
  <c r="CE67" i="1"/>
  <c r="CE68" i="1"/>
  <c r="CE69" i="1"/>
  <c r="CE70" i="1"/>
  <c r="CE71" i="1"/>
  <c r="CE72" i="1"/>
  <c r="CE73" i="1"/>
  <c r="CE74" i="1"/>
  <c r="CE75" i="1"/>
  <c r="CE76" i="1"/>
  <c r="CE77" i="1"/>
  <c r="CE78" i="1"/>
  <c r="CE79" i="1"/>
  <c r="CE80" i="1"/>
  <c r="CE81" i="1"/>
  <c r="CE82" i="1"/>
  <c r="CE83" i="1"/>
  <c r="CE84" i="1"/>
  <c r="CE85" i="1"/>
  <c r="CE86" i="1"/>
  <c r="CE87" i="1"/>
  <c r="CE88" i="1"/>
  <c r="CE89" i="1"/>
  <c r="CE90" i="1"/>
  <c r="CE91" i="1"/>
  <c r="CE92" i="1"/>
  <c r="CE93" i="1"/>
  <c r="CE94" i="1"/>
  <c r="CE95" i="1"/>
  <c r="CE96" i="1"/>
  <c r="CE97" i="1"/>
  <c r="CE98" i="1"/>
  <c r="CE99" i="1"/>
  <c r="CE100" i="1"/>
  <c r="CE101" i="1"/>
  <c r="CE102" i="1"/>
  <c r="CE103" i="1"/>
  <c r="CE104" i="1"/>
  <c r="CE105" i="1"/>
  <c r="CE106" i="1"/>
  <c r="CE107" i="1"/>
  <c r="CE108" i="1"/>
  <c r="CE109" i="1"/>
  <c r="CE110" i="1"/>
  <c r="CE111" i="1"/>
  <c r="CE112" i="1"/>
  <c r="CE113" i="1"/>
  <c r="CE114" i="1"/>
  <c r="CE115" i="1"/>
  <c r="CE116" i="1"/>
  <c r="CE117" i="1"/>
  <c r="CE118" i="1"/>
  <c r="CE119" i="1"/>
  <c r="CE120" i="1"/>
  <c r="CE121" i="1"/>
  <c r="CE122" i="1"/>
  <c r="CE123" i="1"/>
  <c r="CE124" i="1"/>
  <c r="CE125" i="1"/>
  <c r="CE126" i="1"/>
  <c r="CE127" i="1"/>
  <c r="CE128" i="1"/>
  <c r="CE129" i="1"/>
  <c r="CE130" i="1"/>
  <c r="CE131" i="1"/>
  <c r="CE132" i="1"/>
  <c r="CE133" i="1"/>
  <c r="CE134" i="1"/>
  <c r="CE135" i="1"/>
  <c r="CE136" i="1"/>
  <c r="CE137" i="1"/>
  <c r="CE138" i="1"/>
  <c r="CE139" i="1"/>
  <c r="CE140" i="1"/>
  <c r="CE141" i="1"/>
  <c r="CE142" i="1"/>
  <c r="CE143" i="1"/>
  <c r="CE144" i="1"/>
  <c r="CE145" i="1"/>
  <c r="CE146" i="1"/>
  <c r="CE2" i="1"/>
  <c r="CA3" i="1"/>
  <c r="CA4" i="1"/>
  <c r="CA5" i="1"/>
  <c r="CA6" i="1"/>
  <c r="CA7" i="1"/>
  <c r="CA8" i="1"/>
  <c r="CA9" i="1"/>
  <c r="CA10" i="1"/>
  <c r="CA11" i="1"/>
  <c r="CA12" i="1"/>
  <c r="CA13" i="1"/>
  <c r="CA14" i="1"/>
  <c r="CA15" i="1"/>
  <c r="CA16" i="1"/>
  <c r="CA17" i="1"/>
  <c r="CA18" i="1"/>
  <c r="CA19" i="1"/>
  <c r="CA20" i="1"/>
  <c r="CA21" i="1"/>
  <c r="CA22" i="1"/>
  <c r="CA23" i="1"/>
  <c r="CA24" i="1"/>
  <c r="CA25" i="1"/>
  <c r="CA26" i="1"/>
  <c r="CA27" i="1"/>
  <c r="CA28" i="1"/>
  <c r="CA29" i="1"/>
  <c r="CA30" i="1"/>
  <c r="CA31" i="1"/>
  <c r="CA32" i="1"/>
  <c r="CA33" i="1"/>
  <c r="CA34" i="1"/>
  <c r="CA35" i="1"/>
  <c r="CA36" i="1"/>
  <c r="CA37" i="1"/>
  <c r="CA38" i="1"/>
  <c r="CA39" i="1"/>
  <c r="CA40" i="1"/>
  <c r="CA41" i="1"/>
  <c r="CA42" i="1"/>
  <c r="CA43" i="1"/>
  <c r="CA44" i="1"/>
  <c r="CA45" i="1"/>
  <c r="CA46" i="1"/>
  <c r="CA47" i="1"/>
  <c r="CA48" i="1"/>
  <c r="CA49" i="1"/>
  <c r="CA50" i="1"/>
  <c r="CA51" i="1"/>
  <c r="CA52" i="1"/>
  <c r="CA53" i="1"/>
  <c r="CA54" i="1"/>
  <c r="CA55" i="1"/>
  <c r="CA56" i="1"/>
  <c r="CA57" i="1"/>
  <c r="CA58" i="1"/>
  <c r="CA59" i="1"/>
  <c r="CA60" i="1"/>
  <c r="CA61" i="1"/>
  <c r="CA62" i="1"/>
  <c r="CA63" i="1"/>
  <c r="CA64" i="1"/>
  <c r="CA65" i="1"/>
  <c r="CA66" i="1"/>
  <c r="CA67" i="1"/>
  <c r="CA68" i="1"/>
  <c r="CA69" i="1"/>
  <c r="CA70" i="1"/>
  <c r="CA71" i="1"/>
  <c r="CA72" i="1"/>
  <c r="CA73" i="1"/>
  <c r="CA74" i="1"/>
  <c r="CA75" i="1"/>
  <c r="CA76" i="1"/>
  <c r="CA77" i="1"/>
  <c r="CA78" i="1"/>
  <c r="CA79" i="1"/>
  <c r="CA80" i="1"/>
  <c r="CA81" i="1"/>
  <c r="CA82" i="1"/>
  <c r="CA83" i="1"/>
  <c r="CA84" i="1"/>
  <c r="CA85" i="1"/>
  <c r="CA86" i="1"/>
  <c r="CA87" i="1"/>
  <c r="CA88" i="1"/>
  <c r="CA89" i="1"/>
  <c r="CA90" i="1"/>
  <c r="CA91" i="1"/>
  <c r="CA92" i="1"/>
  <c r="CA93" i="1"/>
  <c r="CA94" i="1"/>
  <c r="CA95" i="1"/>
  <c r="CA96" i="1"/>
  <c r="CA97" i="1"/>
  <c r="CA98" i="1"/>
  <c r="CA99" i="1"/>
  <c r="CA100" i="1"/>
  <c r="CA101" i="1"/>
  <c r="CA102" i="1"/>
  <c r="CA103" i="1"/>
  <c r="CA104" i="1"/>
  <c r="CA105" i="1"/>
  <c r="CA106" i="1"/>
  <c r="CA107" i="1"/>
  <c r="CA108" i="1"/>
  <c r="CA109" i="1"/>
  <c r="CA110" i="1"/>
  <c r="CA111" i="1"/>
  <c r="CA112" i="1"/>
  <c r="CA113" i="1"/>
  <c r="CA114" i="1"/>
  <c r="CA115" i="1"/>
  <c r="CA116" i="1"/>
  <c r="CA117" i="1"/>
  <c r="CA118" i="1"/>
  <c r="CA119" i="1"/>
  <c r="CA120" i="1"/>
  <c r="CA121" i="1"/>
  <c r="CA122" i="1"/>
  <c r="CA123" i="1"/>
  <c r="CA124" i="1"/>
  <c r="CA125" i="1"/>
  <c r="CA126" i="1"/>
  <c r="CA127" i="1"/>
  <c r="CA128" i="1"/>
  <c r="CA129" i="1"/>
  <c r="CA130" i="1"/>
  <c r="CA131" i="1"/>
  <c r="CA132" i="1"/>
  <c r="CA133" i="1"/>
  <c r="CA134" i="1"/>
  <c r="CA135" i="1"/>
  <c r="CA136" i="1"/>
  <c r="CA137" i="1"/>
  <c r="CA138" i="1"/>
  <c r="CA139" i="1"/>
  <c r="CA140" i="1"/>
  <c r="CA141" i="1"/>
  <c r="CA142" i="1"/>
  <c r="CA143" i="1"/>
  <c r="CA144" i="1"/>
  <c r="CA145" i="1"/>
  <c r="CA146" i="1"/>
  <c r="CA2" i="1"/>
  <c r="BW3" i="1"/>
  <c r="BW4" i="1"/>
  <c r="BW5" i="1"/>
  <c r="BW6" i="1"/>
  <c r="BW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4" i="1"/>
  <c r="BW35" i="1"/>
  <c r="BW36" i="1"/>
  <c r="BW37" i="1"/>
  <c r="BW38" i="1"/>
  <c r="BW39" i="1"/>
  <c r="BW40" i="1"/>
  <c r="BW41" i="1"/>
  <c r="BW42" i="1"/>
  <c r="BW43" i="1"/>
  <c r="BW44" i="1"/>
  <c r="BW45" i="1"/>
  <c r="BW46" i="1"/>
  <c r="BW47" i="1"/>
  <c r="BW48" i="1"/>
  <c r="BW49" i="1"/>
  <c r="BW50" i="1"/>
  <c r="BW51" i="1"/>
  <c r="BW52" i="1"/>
  <c r="BW53" i="1"/>
  <c r="BW54" i="1"/>
  <c r="BW55" i="1"/>
  <c r="BW56" i="1"/>
  <c r="BW57" i="1"/>
  <c r="BW58" i="1"/>
  <c r="BW59" i="1"/>
  <c r="BW60" i="1"/>
  <c r="BW61" i="1"/>
  <c r="BW62" i="1"/>
  <c r="BW63" i="1"/>
  <c r="BW64" i="1"/>
  <c r="BW65" i="1"/>
  <c r="BW66" i="1"/>
  <c r="BW67" i="1"/>
  <c r="BW68" i="1"/>
  <c r="BW69" i="1"/>
  <c r="BW70" i="1"/>
  <c r="BW71" i="1"/>
  <c r="BW72" i="1"/>
  <c r="BW73" i="1"/>
  <c r="BW74" i="1"/>
  <c r="BW75" i="1"/>
  <c r="BW76" i="1"/>
  <c r="BW77" i="1"/>
  <c r="BW78" i="1"/>
  <c r="BW79" i="1"/>
  <c r="BW80" i="1"/>
  <c r="BW81" i="1"/>
  <c r="BW82" i="1"/>
  <c r="BW83" i="1"/>
  <c r="BW84" i="1"/>
  <c r="BW85" i="1"/>
  <c r="BW86" i="1"/>
  <c r="BW87" i="1"/>
  <c r="BW88" i="1"/>
  <c r="BW89" i="1"/>
  <c r="BW90" i="1"/>
  <c r="BW91" i="1"/>
  <c r="BW92" i="1"/>
  <c r="BW93" i="1"/>
  <c r="BW94" i="1"/>
  <c r="BW95" i="1"/>
  <c r="BW96" i="1"/>
  <c r="BW97" i="1"/>
  <c r="BW98" i="1"/>
  <c r="BW99" i="1"/>
  <c r="BW100" i="1"/>
  <c r="BW101" i="1"/>
  <c r="BW102" i="1"/>
  <c r="BW103" i="1"/>
  <c r="BW104" i="1"/>
  <c r="BW105" i="1"/>
  <c r="BW106" i="1"/>
  <c r="BW107" i="1"/>
  <c r="BW108" i="1"/>
  <c r="BW109" i="1"/>
  <c r="BW110" i="1"/>
  <c r="BW111" i="1"/>
  <c r="BW112" i="1"/>
  <c r="BW113" i="1"/>
  <c r="BW114" i="1"/>
  <c r="BW115" i="1"/>
  <c r="BW116" i="1"/>
  <c r="BW117" i="1"/>
  <c r="BW118" i="1"/>
  <c r="BW119" i="1"/>
  <c r="BW120" i="1"/>
  <c r="BW121" i="1"/>
  <c r="BW122" i="1"/>
  <c r="BW123" i="1"/>
  <c r="BW124" i="1"/>
  <c r="BW125" i="1"/>
  <c r="BW126" i="1"/>
  <c r="BW127" i="1"/>
  <c r="BW128" i="1"/>
  <c r="BW129" i="1"/>
  <c r="BW130" i="1"/>
  <c r="BW131" i="1"/>
  <c r="BW132" i="1"/>
  <c r="BW133" i="1"/>
  <c r="BW134" i="1"/>
  <c r="BW135" i="1"/>
  <c r="BW136" i="1"/>
  <c r="BW137" i="1"/>
  <c r="BW138" i="1"/>
  <c r="BW139" i="1"/>
  <c r="BW140" i="1"/>
  <c r="BW141" i="1"/>
  <c r="BW142" i="1"/>
  <c r="BW143" i="1"/>
  <c r="BW144" i="1"/>
  <c r="BW145" i="1"/>
  <c r="BW146" i="1"/>
  <c r="BW2" i="1"/>
  <c r="BS3" i="1"/>
  <c r="BS4" i="1"/>
  <c r="BS5" i="1"/>
  <c r="BS6" i="1"/>
  <c r="BS7" i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44" i="1"/>
  <c r="BS45" i="1"/>
  <c r="BS46" i="1"/>
  <c r="BS47" i="1"/>
  <c r="BS48" i="1"/>
  <c r="BS49" i="1"/>
  <c r="BS50" i="1"/>
  <c r="BS51" i="1"/>
  <c r="BS52" i="1"/>
  <c r="BS53" i="1"/>
  <c r="BS54" i="1"/>
  <c r="BS55" i="1"/>
  <c r="BS56" i="1"/>
  <c r="BS57" i="1"/>
  <c r="BS58" i="1"/>
  <c r="BS59" i="1"/>
  <c r="BS64" i="1"/>
  <c r="BS65" i="1"/>
  <c r="BS66" i="1"/>
  <c r="BS67" i="1"/>
  <c r="BS69" i="1"/>
  <c r="BS70" i="1"/>
  <c r="BS71" i="1"/>
  <c r="BS72" i="1"/>
  <c r="BS73" i="1"/>
  <c r="BS74" i="1"/>
  <c r="BS75" i="1"/>
  <c r="BS76" i="1"/>
  <c r="BS77" i="1"/>
  <c r="BS78" i="1"/>
  <c r="BS79" i="1"/>
  <c r="BS80" i="1"/>
  <c r="BS81" i="1"/>
  <c r="BS82" i="1"/>
  <c r="BS83" i="1"/>
  <c r="BS84" i="1"/>
  <c r="BS85" i="1"/>
  <c r="BS86" i="1"/>
  <c r="BS87" i="1"/>
  <c r="BS88" i="1"/>
  <c r="BS89" i="1"/>
  <c r="BS90" i="1"/>
  <c r="BS91" i="1"/>
  <c r="BS92" i="1"/>
  <c r="BS93" i="1"/>
  <c r="BS94" i="1"/>
  <c r="BS95" i="1"/>
  <c r="BS96" i="1"/>
  <c r="BS97" i="1"/>
  <c r="BS98" i="1"/>
  <c r="BS99" i="1"/>
  <c r="BS100" i="1"/>
  <c r="BS101" i="1"/>
  <c r="BS102" i="1"/>
  <c r="BS103" i="1"/>
  <c r="BS104" i="1"/>
  <c r="BS105" i="1"/>
  <c r="BS106" i="1"/>
  <c r="BS107" i="1"/>
  <c r="BS108" i="1"/>
  <c r="BS109" i="1"/>
  <c r="BS110" i="1"/>
  <c r="BS111" i="1"/>
  <c r="BS112" i="1"/>
  <c r="BS113" i="1"/>
  <c r="BS114" i="1"/>
  <c r="BS115" i="1"/>
  <c r="BS116" i="1"/>
  <c r="BS117" i="1"/>
  <c r="BS118" i="1"/>
  <c r="BS119" i="1"/>
  <c r="BS120" i="1"/>
  <c r="BS121" i="1"/>
  <c r="BS122" i="1"/>
  <c r="BS123" i="1"/>
  <c r="BS124" i="1"/>
  <c r="BS125" i="1"/>
  <c r="BS126" i="1"/>
  <c r="BS127" i="1"/>
  <c r="BS128" i="1"/>
  <c r="BS129" i="1"/>
  <c r="BS130" i="1"/>
  <c r="BS131" i="1"/>
  <c r="BS132" i="1"/>
  <c r="BS133" i="1"/>
  <c r="BS134" i="1"/>
  <c r="BS135" i="1"/>
  <c r="BS136" i="1"/>
  <c r="BS137" i="1"/>
  <c r="BS138" i="1"/>
  <c r="BS139" i="1"/>
  <c r="BS140" i="1"/>
  <c r="BS141" i="1"/>
  <c r="BS142" i="1"/>
  <c r="BS143" i="1"/>
  <c r="BS144" i="1"/>
  <c r="BS145" i="1"/>
  <c r="BS146" i="1"/>
  <c r="BS2" i="1"/>
  <c r="BO3" i="1"/>
  <c r="BO4" i="1"/>
  <c r="BO5" i="1"/>
  <c r="BO6" i="1"/>
  <c r="BO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30" i="1"/>
  <c r="BO31" i="1"/>
  <c r="BO32" i="1"/>
  <c r="BO33" i="1"/>
  <c r="BO34" i="1"/>
  <c r="BO35" i="1"/>
  <c r="BO36" i="1"/>
  <c r="BO37" i="1"/>
  <c r="BO38" i="1"/>
  <c r="BO39" i="1"/>
  <c r="BO40" i="1"/>
  <c r="BO41" i="1"/>
  <c r="BO42" i="1"/>
  <c r="BO43" i="1"/>
  <c r="BO44" i="1"/>
  <c r="BO45" i="1"/>
  <c r="BO46" i="1"/>
  <c r="BO47" i="1"/>
  <c r="BO48" i="1"/>
  <c r="BO49" i="1"/>
  <c r="BO50" i="1"/>
  <c r="BO51" i="1"/>
  <c r="BO52" i="1"/>
  <c r="BO53" i="1"/>
  <c r="BO54" i="1"/>
  <c r="BO55" i="1"/>
  <c r="BO56" i="1"/>
  <c r="BO57" i="1"/>
  <c r="BO58" i="1"/>
  <c r="BO59" i="1"/>
  <c r="BO60" i="1"/>
  <c r="BO61" i="1"/>
  <c r="BO62" i="1"/>
  <c r="BO63" i="1"/>
  <c r="BO64" i="1"/>
  <c r="BO65" i="1"/>
  <c r="BO66" i="1"/>
  <c r="BO67" i="1"/>
  <c r="BO68" i="1"/>
  <c r="BO69" i="1"/>
  <c r="BO70" i="1"/>
  <c r="BO71" i="1"/>
  <c r="BO72" i="1"/>
  <c r="BO73" i="1"/>
  <c r="BO74" i="1"/>
  <c r="BO75" i="1"/>
  <c r="BO76" i="1"/>
  <c r="BO77" i="1"/>
  <c r="BO78" i="1"/>
  <c r="BO79" i="1"/>
  <c r="BO80" i="1"/>
  <c r="BO81" i="1"/>
  <c r="BO82" i="1"/>
  <c r="BO83" i="1"/>
  <c r="BO84" i="1"/>
  <c r="BO85" i="1"/>
  <c r="BO86" i="1"/>
  <c r="BO87" i="1"/>
  <c r="BO88" i="1"/>
  <c r="BO89" i="1"/>
  <c r="BO90" i="1"/>
  <c r="BO91" i="1"/>
  <c r="BO92" i="1"/>
  <c r="BO93" i="1"/>
  <c r="BO95" i="1"/>
  <c r="BO96" i="1"/>
  <c r="BO97" i="1"/>
  <c r="BO98" i="1"/>
  <c r="BO99" i="1"/>
  <c r="BO100" i="1"/>
  <c r="BO101" i="1"/>
  <c r="BO102" i="1"/>
  <c r="BO103" i="1"/>
  <c r="BO104" i="1"/>
  <c r="BO105" i="1"/>
  <c r="BO106" i="1"/>
  <c r="BO107" i="1"/>
  <c r="BO108" i="1"/>
  <c r="BO109" i="1"/>
  <c r="BO110" i="1"/>
  <c r="BO111" i="1"/>
  <c r="BO112" i="1"/>
  <c r="BO113" i="1"/>
  <c r="BO114" i="1"/>
  <c r="BO115" i="1"/>
  <c r="BO116" i="1"/>
  <c r="BO117" i="1"/>
  <c r="BO118" i="1"/>
  <c r="BO119" i="1"/>
  <c r="BO120" i="1"/>
  <c r="BO121" i="1"/>
  <c r="BO122" i="1"/>
  <c r="BO123" i="1"/>
  <c r="BO124" i="1"/>
  <c r="BO125" i="1"/>
  <c r="BO126" i="1"/>
  <c r="BO127" i="1"/>
  <c r="BO128" i="1"/>
  <c r="BO129" i="1"/>
  <c r="BO130" i="1"/>
  <c r="BO131" i="1"/>
  <c r="BO132" i="1"/>
  <c r="BO133" i="1"/>
  <c r="BO134" i="1"/>
  <c r="BO135" i="1"/>
  <c r="BO136" i="1"/>
  <c r="BO137" i="1"/>
  <c r="BO138" i="1"/>
  <c r="BO139" i="1"/>
  <c r="BO140" i="1"/>
  <c r="BO141" i="1"/>
  <c r="BO142" i="1"/>
  <c r="BO143" i="1"/>
  <c r="BO144" i="1"/>
  <c r="BO145" i="1"/>
  <c r="BO146" i="1"/>
  <c r="BO2" i="1"/>
  <c r="BU123" i="1" l="1"/>
  <c r="BT123" i="1"/>
  <c r="BU107" i="1"/>
  <c r="BT107" i="1"/>
  <c r="BU75" i="1"/>
  <c r="BT75" i="1"/>
  <c r="BU6" i="1"/>
  <c r="BT6" i="1"/>
  <c r="BY127" i="1"/>
  <c r="BX127" i="1"/>
  <c r="BY71" i="1"/>
  <c r="BX71" i="1"/>
  <c r="BY31" i="1"/>
  <c r="BX31" i="1"/>
  <c r="CB88" i="1"/>
  <c r="CC88" i="1"/>
  <c r="BU140" i="1"/>
  <c r="BT140" i="1"/>
  <c r="BU132" i="1"/>
  <c r="BT132" i="1"/>
  <c r="BU124" i="1"/>
  <c r="BT124" i="1"/>
  <c r="BU116" i="1"/>
  <c r="BT116" i="1"/>
  <c r="BU108" i="1"/>
  <c r="BT108" i="1"/>
  <c r="BU92" i="1"/>
  <c r="BT92" i="1"/>
  <c r="BU84" i="1"/>
  <c r="BT84" i="1"/>
  <c r="BU76" i="1"/>
  <c r="BT76" i="1"/>
  <c r="BU67" i="1"/>
  <c r="BT67" i="1"/>
  <c r="BU55" i="1"/>
  <c r="BT55" i="1"/>
  <c r="BU47" i="1"/>
  <c r="BT47" i="1"/>
  <c r="BU39" i="1"/>
  <c r="BT39" i="1"/>
  <c r="BU31" i="1"/>
  <c r="BT31" i="1"/>
  <c r="BU23" i="1"/>
  <c r="BT23" i="1"/>
  <c r="BU15" i="1"/>
  <c r="BT15" i="1"/>
  <c r="BY136" i="1"/>
  <c r="BX136" i="1"/>
  <c r="BY128" i="1"/>
  <c r="BX128" i="1"/>
  <c r="BY120" i="1"/>
  <c r="BX120" i="1"/>
  <c r="BY104" i="1"/>
  <c r="BX104" i="1"/>
  <c r="BY96" i="1"/>
  <c r="BX96" i="1"/>
  <c r="BY80" i="1"/>
  <c r="BX80" i="1"/>
  <c r="BY48" i="1"/>
  <c r="BX48" i="1"/>
  <c r="BY40" i="1"/>
  <c r="BX40" i="1"/>
  <c r="BY32" i="1"/>
  <c r="BX32" i="1"/>
  <c r="BY16" i="1"/>
  <c r="BX16" i="1"/>
  <c r="BY8" i="1"/>
  <c r="BX8" i="1"/>
  <c r="CC145" i="1"/>
  <c r="CB145" i="1"/>
  <c r="CC137" i="1"/>
  <c r="CB137" i="1"/>
  <c r="CC129" i="1"/>
  <c r="CB129" i="1"/>
  <c r="CC121" i="1"/>
  <c r="CB121" i="1"/>
  <c r="CC113" i="1"/>
  <c r="CB113" i="1"/>
  <c r="CC105" i="1"/>
  <c r="CB105" i="1"/>
  <c r="CC97" i="1"/>
  <c r="CB97" i="1"/>
  <c r="CC89" i="1"/>
  <c r="CB89" i="1"/>
  <c r="CC81" i="1"/>
  <c r="CB81" i="1"/>
  <c r="CC73" i="1"/>
  <c r="CB73" i="1"/>
  <c r="CC65" i="1"/>
  <c r="CB65" i="1"/>
  <c r="CC57" i="1"/>
  <c r="CB57" i="1"/>
  <c r="CC49" i="1"/>
  <c r="CB49" i="1"/>
  <c r="CC41" i="1"/>
  <c r="CB41" i="1"/>
  <c r="CC33" i="1"/>
  <c r="CB33" i="1"/>
  <c r="CC25" i="1"/>
  <c r="CB25" i="1"/>
  <c r="CC17" i="1"/>
  <c r="CB17" i="1"/>
  <c r="CC9" i="1"/>
  <c r="CB9" i="1"/>
  <c r="CF146" i="1"/>
  <c r="CG146" i="1"/>
  <c r="CF138" i="1"/>
  <c r="CG138" i="1"/>
  <c r="CF130" i="1"/>
  <c r="CG130" i="1"/>
  <c r="CF122" i="1"/>
  <c r="CG122" i="1"/>
  <c r="CF114" i="1"/>
  <c r="CG114" i="1"/>
  <c r="CG106" i="1"/>
  <c r="CF106" i="1"/>
  <c r="CG98" i="1"/>
  <c r="CF98" i="1"/>
  <c r="CG90" i="1"/>
  <c r="CF90" i="1"/>
  <c r="CG82" i="1"/>
  <c r="CF82" i="1"/>
  <c r="CG74" i="1"/>
  <c r="CF74" i="1"/>
  <c r="CG66" i="1"/>
  <c r="CF66" i="1"/>
  <c r="CG58" i="1"/>
  <c r="CF58" i="1"/>
  <c r="CG50" i="1"/>
  <c r="CF50" i="1"/>
  <c r="CG34" i="1"/>
  <c r="CF34" i="1"/>
  <c r="CG26" i="1"/>
  <c r="CF26" i="1"/>
  <c r="CF18" i="1"/>
  <c r="CG18" i="1"/>
  <c r="CF10" i="1"/>
  <c r="CG10" i="1"/>
  <c r="CK2" i="1"/>
  <c r="CJ2" i="1"/>
  <c r="CJ139" i="1"/>
  <c r="CK139" i="1"/>
  <c r="CJ123" i="1"/>
  <c r="CK123" i="1"/>
  <c r="CK115" i="1"/>
  <c r="CJ115" i="1"/>
  <c r="CJ107" i="1"/>
  <c r="CK107" i="1"/>
  <c r="CK99" i="1"/>
  <c r="CJ99" i="1"/>
  <c r="CK91" i="1"/>
  <c r="CJ91" i="1"/>
  <c r="CK83" i="1"/>
  <c r="CJ83" i="1"/>
  <c r="CK75" i="1"/>
  <c r="CJ75" i="1"/>
  <c r="CK67" i="1"/>
  <c r="CJ67" i="1"/>
  <c r="CJ59" i="1"/>
  <c r="CK59" i="1"/>
  <c r="CK51" i="1"/>
  <c r="CJ51" i="1"/>
  <c r="CJ43" i="1"/>
  <c r="CK43" i="1"/>
  <c r="CJ35" i="1"/>
  <c r="CK35" i="1"/>
  <c r="CK27" i="1"/>
  <c r="CJ27" i="1"/>
  <c r="CK19" i="1"/>
  <c r="CJ19" i="1"/>
  <c r="CK11" i="1"/>
  <c r="CJ11" i="1"/>
  <c r="CK3" i="1"/>
  <c r="CJ3" i="1"/>
  <c r="CN140" i="1"/>
  <c r="CO140" i="1"/>
  <c r="CO132" i="1"/>
  <c r="CN132" i="1"/>
  <c r="CO124" i="1"/>
  <c r="CN124" i="1"/>
  <c r="CO116" i="1"/>
  <c r="CN116" i="1"/>
  <c r="CN108" i="1"/>
  <c r="CO108" i="1"/>
  <c r="CO100" i="1"/>
  <c r="CN100" i="1"/>
  <c r="CO92" i="1"/>
  <c r="CN92" i="1"/>
  <c r="CN84" i="1"/>
  <c r="CO84" i="1"/>
  <c r="CO76" i="1"/>
  <c r="CN76" i="1"/>
  <c r="CO68" i="1"/>
  <c r="CN68" i="1"/>
  <c r="CO60" i="1"/>
  <c r="CN60" i="1"/>
  <c r="CO52" i="1"/>
  <c r="CN52" i="1"/>
  <c r="CO44" i="1"/>
  <c r="CN44" i="1"/>
  <c r="CO36" i="1"/>
  <c r="CN36" i="1"/>
  <c r="CO28" i="1"/>
  <c r="CN28" i="1"/>
  <c r="CO20" i="1"/>
  <c r="CN20" i="1"/>
  <c r="CN12" i="1"/>
  <c r="CO12" i="1"/>
  <c r="CO4" i="1"/>
  <c r="CN4" i="1"/>
  <c r="CS141" i="1"/>
  <c r="CR141" i="1"/>
  <c r="CS133" i="1"/>
  <c r="CR133" i="1"/>
  <c r="CS125" i="1"/>
  <c r="CR125" i="1"/>
  <c r="CR117" i="1"/>
  <c r="CS117" i="1"/>
  <c r="CS109" i="1"/>
  <c r="CR109" i="1"/>
  <c r="CR101" i="1"/>
  <c r="CS101" i="1"/>
  <c r="CS93" i="1"/>
  <c r="CR93" i="1"/>
  <c r="CR85" i="1"/>
  <c r="CS85" i="1"/>
  <c r="CS77" i="1"/>
  <c r="CR77" i="1"/>
  <c r="CS69" i="1"/>
  <c r="CR69" i="1"/>
  <c r="CR61" i="1"/>
  <c r="CS61" i="1"/>
  <c r="CR45" i="1"/>
  <c r="CS45" i="1"/>
  <c r="CR29" i="1"/>
  <c r="CS29" i="1"/>
  <c r="CS21" i="1"/>
  <c r="CR21" i="1"/>
  <c r="CR13" i="1"/>
  <c r="CS13" i="1"/>
  <c r="CS5" i="1"/>
  <c r="CR5" i="1"/>
  <c r="CV142" i="1"/>
  <c r="CW142" i="1"/>
  <c r="CW134" i="1"/>
  <c r="CV134" i="1"/>
  <c r="CW126" i="1"/>
  <c r="CV126" i="1"/>
  <c r="CV118" i="1"/>
  <c r="CW118" i="1"/>
  <c r="CV110" i="1"/>
  <c r="CW110" i="1"/>
  <c r="CW94" i="1"/>
  <c r="CV94" i="1"/>
  <c r="CV86" i="1"/>
  <c r="CW86" i="1"/>
  <c r="CW78" i="1"/>
  <c r="CV78" i="1"/>
  <c r="CW70" i="1"/>
  <c r="CV70" i="1"/>
  <c r="CV54" i="1"/>
  <c r="CW54" i="1"/>
  <c r="CV46" i="1"/>
  <c r="CW46" i="1"/>
  <c r="CW30" i="1"/>
  <c r="CV30" i="1"/>
  <c r="CW22" i="1"/>
  <c r="CV22" i="1"/>
  <c r="CW14" i="1"/>
  <c r="CV14" i="1"/>
  <c r="CV6" i="1"/>
  <c r="CW6" i="1"/>
  <c r="DA143" i="1"/>
  <c r="CZ143" i="1"/>
  <c r="DA135" i="1"/>
  <c r="CZ135" i="1"/>
  <c r="DA127" i="1"/>
  <c r="CZ127" i="1"/>
  <c r="CZ119" i="1"/>
  <c r="DA119" i="1"/>
  <c r="DA111" i="1"/>
  <c r="CZ111" i="1"/>
  <c r="DA95" i="1"/>
  <c r="CZ95" i="1"/>
  <c r="DA87" i="1"/>
  <c r="CZ87" i="1"/>
  <c r="DA79" i="1"/>
  <c r="CZ79" i="1"/>
  <c r="DA71" i="1"/>
  <c r="CZ71" i="1"/>
  <c r="DA63" i="1"/>
  <c r="CZ63" i="1"/>
  <c r="CZ55" i="1"/>
  <c r="DA55" i="1"/>
  <c r="CZ47" i="1"/>
  <c r="DA47" i="1"/>
  <c r="DA39" i="1"/>
  <c r="CZ39" i="1"/>
  <c r="DA31" i="1"/>
  <c r="CZ31" i="1"/>
  <c r="DA23" i="1"/>
  <c r="CZ23" i="1"/>
  <c r="DA15" i="1"/>
  <c r="CZ15" i="1"/>
  <c r="DA7" i="1"/>
  <c r="CZ7" i="1"/>
  <c r="DD144" i="1"/>
  <c r="DE144" i="1"/>
  <c r="DE136" i="1"/>
  <c r="DD136" i="1"/>
  <c r="DD128" i="1"/>
  <c r="DE128" i="1"/>
  <c r="DE112" i="1"/>
  <c r="DD112" i="1"/>
  <c r="DE104" i="1"/>
  <c r="DD104" i="1"/>
  <c r="DE96" i="1"/>
  <c r="DD96" i="1"/>
  <c r="DE88" i="1"/>
  <c r="DD88" i="1"/>
  <c r="DD80" i="1"/>
  <c r="DE80" i="1"/>
  <c r="DE72" i="1"/>
  <c r="DD72" i="1"/>
  <c r="DE64" i="1"/>
  <c r="DD64" i="1"/>
  <c r="DD56" i="1"/>
  <c r="DE56" i="1"/>
  <c r="DE48" i="1"/>
  <c r="DD48" i="1"/>
  <c r="DD40" i="1"/>
  <c r="DE40" i="1"/>
  <c r="DD32" i="1"/>
  <c r="DE32" i="1"/>
  <c r="DD24" i="1"/>
  <c r="DE24" i="1"/>
  <c r="DE16" i="1"/>
  <c r="DD16" i="1"/>
  <c r="DE8" i="1"/>
  <c r="DD8" i="1"/>
  <c r="DI145" i="1"/>
  <c r="DH145" i="1"/>
  <c r="DI137" i="1"/>
  <c r="DH137" i="1"/>
  <c r="DI129" i="1"/>
  <c r="DH129" i="1"/>
  <c r="DI121" i="1"/>
  <c r="DH121" i="1"/>
  <c r="DI113" i="1"/>
  <c r="DH113" i="1"/>
  <c r="DI105" i="1"/>
  <c r="DH105" i="1"/>
  <c r="DI97" i="1"/>
  <c r="DH97" i="1"/>
  <c r="DI89" i="1"/>
  <c r="DH89" i="1"/>
  <c r="DI81" i="1"/>
  <c r="DH81" i="1"/>
  <c r="DI73" i="1"/>
  <c r="DH73" i="1"/>
  <c r="DI65" i="1"/>
  <c r="DH65" i="1"/>
  <c r="DI57" i="1"/>
  <c r="DH57" i="1"/>
  <c r="DI49" i="1"/>
  <c r="DH49" i="1"/>
  <c r="DI41" i="1"/>
  <c r="DH41" i="1"/>
  <c r="DI33" i="1"/>
  <c r="DH33" i="1"/>
  <c r="DI25" i="1"/>
  <c r="DH25" i="1"/>
  <c r="DI17" i="1"/>
  <c r="DH17" i="1"/>
  <c r="DI9" i="1"/>
  <c r="DH9" i="1"/>
  <c r="DM146" i="1"/>
  <c r="DL146" i="1"/>
  <c r="DM138" i="1"/>
  <c r="DL138" i="1"/>
  <c r="DM130" i="1"/>
  <c r="DL130" i="1"/>
  <c r="DM122" i="1"/>
  <c r="DL122" i="1"/>
  <c r="DL114" i="1"/>
  <c r="DM114" i="1"/>
  <c r="DL106" i="1"/>
  <c r="DM106" i="1"/>
  <c r="DL98" i="1"/>
  <c r="DM98" i="1"/>
  <c r="DL90" i="1"/>
  <c r="DM90" i="1"/>
  <c r="DL82" i="1"/>
  <c r="DM82" i="1"/>
  <c r="DM74" i="1"/>
  <c r="DL74" i="1"/>
  <c r="DM66" i="1"/>
  <c r="DL66" i="1"/>
  <c r="DM58" i="1"/>
  <c r="DL58" i="1"/>
  <c r="DM50" i="1"/>
  <c r="DL50" i="1"/>
  <c r="BU131" i="1"/>
  <c r="BT131" i="1"/>
  <c r="BU38" i="1"/>
  <c r="BT38" i="1"/>
  <c r="CB128" i="1"/>
  <c r="CC128" i="1"/>
  <c r="CB80" i="1"/>
  <c r="CC80" i="1"/>
  <c r="CB72" i="1"/>
  <c r="CC72" i="1"/>
  <c r="CB64" i="1"/>
  <c r="CC64" i="1"/>
  <c r="CB56" i="1"/>
  <c r="CC56" i="1"/>
  <c r="CB24" i="1"/>
  <c r="CC24" i="1"/>
  <c r="CG137" i="1"/>
  <c r="CF137" i="1"/>
  <c r="CG129" i="1"/>
  <c r="CF129" i="1"/>
  <c r="CG121" i="1"/>
  <c r="CF121" i="1"/>
  <c r="CF113" i="1"/>
  <c r="CG113" i="1"/>
  <c r="CF105" i="1"/>
  <c r="CG105" i="1"/>
  <c r="CF97" i="1"/>
  <c r="CG97" i="1"/>
  <c r="CF89" i="1"/>
  <c r="CG89" i="1"/>
  <c r="CF81" i="1"/>
  <c r="CG81" i="1"/>
  <c r="CF73" i="1"/>
  <c r="CG73" i="1"/>
  <c r="CF65" i="1"/>
  <c r="CG65" i="1"/>
  <c r="CF57" i="1"/>
  <c r="CG57" i="1"/>
  <c r="CF49" i="1"/>
  <c r="CG49" i="1"/>
  <c r="CG41" i="1"/>
  <c r="CF41" i="1"/>
  <c r="CG33" i="1"/>
  <c r="CF33" i="1"/>
  <c r="CG25" i="1"/>
  <c r="CF25" i="1"/>
  <c r="CG17" i="1"/>
  <c r="CF17" i="1"/>
  <c r="CF9" i="1"/>
  <c r="CG9" i="1"/>
  <c r="CJ146" i="1"/>
  <c r="CK146" i="1"/>
  <c r="CK138" i="1"/>
  <c r="CJ138" i="1"/>
  <c r="CK130" i="1"/>
  <c r="CJ130" i="1"/>
  <c r="CJ122" i="1"/>
  <c r="CK122" i="1"/>
  <c r="CK114" i="1"/>
  <c r="CJ114" i="1"/>
  <c r="CJ106" i="1"/>
  <c r="CK106" i="1"/>
  <c r="CK98" i="1"/>
  <c r="CJ98" i="1"/>
  <c r="CK90" i="1"/>
  <c r="CJ90" i="1"/>
  <c r="CK82" i="1"/>
  <c r="CJ82" i="1"/>
  <c r="CJ34" i="1"/>
  <c r="CK18" i="1"/>
  <c r="CJ10" i="1"/>
  <c r="CN131" i="1"/>
  <c r="CO99" i="1"/>
  <c r="CO91" i="1"/>
  <c r="CN51" i="1"/>
  <c r="CO35" i="1"/>
  <c r="CR108" i="1"/>
  <c r="BU66" i="1"/>
  <c r="BT66" i="1"/>
  <c r="BY95" i="1"/>
  <c r="BX95" i="1"/>
  <c r="CB144" i="1"/>
  <c r="CC144" i="1"/>
  <c r="CB32" i="1"/>
  <c r="CC32" i="1"/>
  <c r="BU146" i="1"/>
  <c r="BT146" i="1"/>
  <c r="BU138" i="1"/>
  <c r="BT138" i="1"/>
  <c r="BU130" i="1"/>
  <c r="BT130" i="1"/>
  <c r="BU114" i="1"/>
  <c r="BT114" i="1"/>
  <c r="BU106" i="1"/>
  <c r="BT106" i="1"/>
  <c r="BU98" i="1"/>
  <c r="BT98" i="1"/>
  <c r="BU90" i="1"/>
  <c r="BT90" i="1"/>
  <c r="BU82" i="1"/>
  <c r="BT82" i="1"/>
  <c r="BU74" i="1"/>
  <c r="BT74" i="1"/>
  <c r="BU65" i="1"/>
  <c r="BT65" i="1"/>
  <c r="BU53" i="1"/>
  <c r="BT53" i="1"/>
  <c r="BU45" i="1"/>
  <c r="BT45" i="1"/>
  <c r="BU37" i="1"/>
  <c r="BT37" i="1"/>
  <c r="BU29" i="1"/>
  <c r="BT29" i="1"/>
  <c r="BU21" i="1"/>
  <c r="BT21" i="1"/>
  <c r="BU13" i="1"/>
  <c r="BT13" i="1"/>
  <c r="BY142" i="1"/>
  <c r="BX142" i="1"/>
  <c r="BY134" i="1"/>
  <c r="BX134" i="1"/>
  <c r="BY126" i="1"/>
  <c r="BX126" i="1"/>
  <c r="BY110" i="1"/>
  <c r="BX110" i="1"/>
  <c r="BY102" i="1"/>
  <c r="BX102" i="1"/>
  <c r="BY94" i="1"/>
  <c r="BX94" i="1"/>
  <c r="BY86" i="1"/>
  <c r="BX86" i="1"/>
  <c r="BY78" i="1"/>
  <c r="BX78" i="1"/>
  <c r="BY62" i="1"/>
  <c r="BX62" i="1"/>
  <c r="BY54" i="1"/>
  <c r="BX54" i="1"/>
  <c r="BY46" i="1"/>
  <c r="BX46" i="1"/>
  <c r="BY38" i="1"/>
  <c r="BX38" i="1"/>
  <c r="BY30" i="1"/>
  <c r="BX30" i="1"/>
  <c r="BY14" i="1"/>
  <c r="BX14" i="1"/>
  <c r="BY6" i="1"/>
  <c r="BX6" i="1"/>
  <c r="CB143" i="1"/>
  <c r="CC143" i="1"/>
  <c r="CB135" i="1"/>
  <c r="CC135" i="1"/>
  <c r="CB127" i="1"/>
  <c r="CC127" i="1"/>
  <c r="CC119" i="1"/>
  <c r="CB119" i="1"/>
  <c r="CC111" i="1"/>
  <c r="CB111" i="1"/>
  <c r="CB103" i="1"/>
  <c r="CC103" i="1"/>
  <c r="CB95" i="1"/>
  <c r="CC95" i="1"/>
  <c r="CB87" i="1"/>
  <c r="CC87" i="1"/>
  <c r="CB79" i="1"/>
  <c r="CC79" i="1"/>
  <c r="CB71" i="1"/>
  <c r="CC71" i="1"/>
  <c r="CB63" i="1"/>
  <c r="CC63" i="1"/>
  <c r="CC55" i="1"/>
  <c r="CB55" i="1"/>
  <c r="CC47" i="1"/>
  <c r="CB47" i="1"/>
  <c r="CB39" i="1"/>
  <c r="CC39" i="1"/>
  <c r="CB31" i="1"/>
  <c r="CC31" i="1"/>
  <c r="CB23" i="1"/>
  <c r="CC23" i="1"/>
  <c r="CC15" i="1"/>
  <c r="CB15" i="1"/>
  <c r="CC7" i="1"/>
  <c r="CB7" i="1"/>
  <c r="CG144" i="1"/>
  <c r="CF144" i="1"/>
  <c r="CG136" i="1"/>
  <c r="CF136" i="1"/>
  <c r="CG128" i="1"/>
  <c r="CF128" i="1"/>
  <c r="CG120" i="1"/>
  <c r="CF120" i="1"/>
  <c r="CG112" i="1"/>
  <c r="CF112" i="1"/>
  <c r="CG104" i="1"/>
  <c r="CF104" i="1"/>
  <c r="CG96" i="1"/>
  <c r="CF96" i="1"/>
  <c r="CG88" i="1"/>
  <c r="CF88" i="1"/>
  <c r="CF80" i="1"/>
  <c r="CG80" i="1"/>
  <c r="CG72" i="1"/>
  <c r="CF72" i="1"/>
  <c r="CG64" i="1"/>
  <c r="CF64" i="1"/>
  <c r="CG56" i="1"/>
  <c r="CF56" i="1"/>
  <c r="CF48" i="1"/>
  <c r="CG48" i="1"/>
  <c r="CG40" i="1"/>
  <c r="CF40" i="1"/>
  <c r="CG32" i="1"/>
  <c r="CF32" i="1"/>
  <c r="CG24" i="1"/>
  <c r="CF24" i="1"/>
  <c r="CG16" i="1"/>
  <c r="CF16" i="1"/>
  <c r="CG8" i="1"/>
  <c r="CF8" i="1"/>
  <c r="CK145" i="1"/>
  <c r="CJ145" i="1"/>
  <c r="CK137" i="1"/>
  <c r="CJ137" i="1"/>
  <c r="CK121" i="1"/>
  <c r="CJ121" i="1"/>
  <c r="CK113" i="1"/>
  <c r="CJ113" i="1"/>
  <c r="CK105" i="1"/>
  <c r="CJ105" i="1"/>
  <c r="CK25" i="1"/>
  <c r="CJ17" i="1"/>
  <c r="CK9" i="1"/>
  <c r="CN138" i="1"/>
  <c r="CO130" i="1"/>
  <c r="CN122" i="1"/>
  <c r="BU139" i="1"/>
  <c r="BT139" i="1"/>
  <c r="BU46" i="1"/>
  <c r="BT46" i="1"/>
  <c r="BY87" i="1"/>
  <c r="BX87" i="1"/>
  <c r="CB136" i="1"/>
  <c r="CC136" i="1"/>
  <c r="CB40" i="1"/>
  <c r="CC40" i="1"/>
  <c r="BU145" i="1"/>
  <c r="BT145" i="1"/>
  <c r="BU137" i="1"/>
  <c r="BT137" i="1"/>
  <c r="BU129" i="1"/>
  <c r="BT129" i="1"/>
  <c r="BU113" i="1"/>
  <c r="BT113" i="1"/>
  <c r="BU105" i="1"/>
  <c r="BT105" i="1"/>
  <c r="BU97" i="1"/>
  <c r="BT97" i="1"/>
  <c r="BU89" i="1"/>
  <c r="BT89" i="1"/>
  <c r="BU81" i="1"/>
  <c r="BT81" i="1"/>
  <c r="BU64" i="1"/>
  <c r="BT64" i="1"/>
  <c r="BU52" i="1"/>
  <c r="BT52" i="1"/>
  <c r="BU44" i="1"/>
  <c r="BT44" i="1"/>
  <c r="BU28" i="1"/>
  <c r="BT28" i="1"/>
  <c r="BU20" i="1"/>
  <c r="BT20" i="1"/>
  <c r="BU12" i="1"/>
  <c r="BT12" i="1"/>
  <c r="BU4" i="1"/>
  <c r="BT4" i="1"/>
  <c r="BY141" i="1"/>
  <c r="BX141" i="1"/>
  <c r="BY133" i="1"/>
  <c r="BX133" i="1"/>
  <c r="BY125" i="1"/>
  <c r="BX125" i="1"/>
  <c r="BY109" i="1"/>
  <c r="BX109" i="1"/>
  <c r="BY101" i="1"/>
  <c r="BX101" i="1"/>
  <c r="BY93" i="1"/>
  <c r="BX93" i="1"/>
  <c r="BY77" i="1"/>
  <c r="BX77" i="1"/>
  <c r="BY53" i="1"/>
  <c r="BX53" i="1"/>
  <c r="BY45" i="1"/>
  <c r="BX45" i="1"/>
  <c r="BY37" i="1"/>
  <c r="BX37" i="1"/>
  <c r="BY29" i="1"/>
  <c r="BX29" i="1"/>
  <c r="BY21" i="1"/>
  <c r="BX21" i="1"/>
  <c r="BY13" i="1"/>
  <c r="BX13" i="1"/>
  <c r="BY5" i="1"/>
  <c r="BX5" i="1"/>
  <c r="CB142" i="1"/>
  <c r="CC142" i="1"/>
  <c r="CB134" i="1"/>
  <c r="CC134" i="1"/>
  <c r="CB126" i="1"/>
  <c r="CC126" i="1"/>
  <c r="CB118" i="1"/>
  <c r="CC118" i="1"/>
  <c r="CC110" i="1"/>
  <c r="CB110" i="1"/>
  <c r="CC102" i="1"/>
  <c r="CB102" i="1"/>
  <c r="CB94" i="1"/>
  <c r="CC94" i="1"/>
  <c r="CB86" i="1"/>
  <c r="CC86" i="1"/>
  <c r="CB78" i="1"/>
  <c r="CC78" i="1"/>
  <c r="CB70" i="1"/>
  <c r="CC70" i="1"/>
  <c r="CB62" i="1"/>
  <c r="CC62" i="1"/>
  <c r="CB54" i="1"/>
  <c r="CC54" i="1"/>
  <c r="CC46" i="1"/>
  <c r="CB46" i="1"/>
  <c r="CC38" i="1"/>
  <c r="CB38" i="1"/>
  <c r="CB30" i="1"/>
  <c r="CC30" i="1"/>
  <c r="CC22" i="1"/>
  <c r="CB22" i="1"/>
  <c r="CC14" i="1"/>
  <c r="CB14" i="1"/>
  <c r="CC6" i="1"/>
  <c r="CB6" i="1"/>
  <c r="CG143" i="1"/>
  <c r="CF143" i="1"/>
  <c r="CG135" i="1"/>
  <c r="CF135" i="1"/>
  <c r="CG127" i="1"/>
  <c r="CF127" i="1"/>
  <c r="CG119" i="1"/>
  <c r="CF119" i="1"/>
  <c r="CG111" i="1"/>
  <c r="CF111" i="1"/>
  <c r="CG103" i="1"/>
  <c r="CF103" i="1"/>
  <c r="CG95" i="1"/>
  <c r="CF95" i="1"/>
  <c r="CG87" i="1"/>
  <c r="CF87" i="1"/>
  <c r="CG79" i="1"/>
  <c r="CF79" i="1"/>
  <c r="CG71" i="1"/>
  <c r="CF71" i="1"/>
  <c r="CG63" i="1"/>
  <c r="CF63" i="1"/>
  <c r="CG55" i="1"/>
  <c r="CF55" i="1"/>
  <c r="CG39" i="1"/>
  <c r="CF39" i="1"/>
  <c r="CG31" i="1"/>
  <c r="CF31" i="1"/>
  <c r="CK128" i="1"/>
  <c r="CK120" i="1"/>
  <c r="CJ112" i="1"/>
  <c r="CK88" i="1"/>
  <c r="CJ80" i="1"/>
  <c r="CO113" i="1"/>
  <c r="CN105" i="1"/>
  <c r="CN97" i="1"/>
  <c r="CN81" i="1"/>
  <c r="CN25" i="1"/>
  <c r="CN9" i="1"/>
  <c r="BY39" i="1"/>
  <c r="BX39" i="1"/>
  <c r="CB120" i="1"/>
  <c r="CC120" i="1"/>
  <c r="CB48" i="1"/>
  <c r="CC48" i="1"/>
  <c r="BU144" i="1"/>
  <c r="BT144" i="1"/>
  <c r="BU88" i="1"/>
  <c r="BT88" i="1"/>
  <c r="BU19" i="1"/>
  <c r="BT19" i="1"/>
  <c r="BY100" i="1"/>
  <c r="BX100" i="1"/>
  <c r="BY52" i="1"/>
  <c r="BX52" i="1"/>
  <c r="BY12" i="1"/>
  <c r="BX12" i="1"/>
  <c r="CB133" i="1"/>
  <c r="CC133" i="1"/>
  <c r="CB77" i="1"/>
  <c r="CC77" i="1"/>
  <c r="CC29" i="1"/>
  <c r="CB29" i="1"/>
  <c r="CG134" i="1"/>
  <c r="CF134" i="1"/>
  <c r="CG70" i="1"/>
  <c r="CF70" i="1"/>
  <c r="CG22" i="1"/>
  <c r="CF22" i="1"/>
  <c r="CJ95" i="1"/>
  <c r="CK95" i="1"/>
  <c r="CJ71" i="1"/>
  <c r="CK71" i="1"/>
  <c r="CK7" i="1"/>
  <c r="CJ7" i="1"/>
  <c r="CN144" i="1"/>
  <c r="CO144" i="1"/>
  <c r="CN136" i="1"/>
  <c r="CO136" i="1"/>
  <c r="CN128" i="1"/>
  <c r="CO128" i="1"/>
  <c r="CN104" i="1"/>
  <c r="CO104" i="1"/>
  <c r="CO96" i="1"/>
  <c r="CN96" i="1"/>
  <c r="CO88" i="1"/>
  <c r="CN88" i="1"/>
  <c r="CO80" i="1"/>
  <c r="CN80" i="1"/>
  <c r="CO72" i="1"/>
  <c r="CN72" i="1"/>
  <c r="CO64" i="1"/>
  <c r="CN64" i="1"/>
  <c r="CO56" i="1"/>
  <c r="CN56" i="1"/>
  <c r="CO48" i="1"/>
  <c r="CN48" i="1"/>
  <c r="CO40" i="1"/>
  <c r="CN40" i="1"/>
  <c r="CO24" i="1"/>
  <c r="CN24" i="1"/>
  <c r="CO16" i="1"/>
  <c r="CN16" i="1"/>
  <c r="CN8" i="1"/>
  <c r="CO8" i="1"/>
  <c r="CR145" i="1"/>
  <c r="CS145" i="1"/>
  <c r="CR137" i="1"/>
  <c r="CS137" i="1"/>
  <c r="CS129" i="1"/>
  <c r="CR129" i="1"/>
  <c r="CR121" i="1"/>
  <c r="CS121" i="1"/>
  <c r="CR113" i="1"/>
  <c r="CS113" i="1"/>
  <c r="CR105" i="1"/>
  <c r="CS105" i="1"/>
  <c r="CR97" i="1"/>
  <c r="CS97" i="1"/>
  <c r="CR89" i="1"/>
  <c r="CS89" i="1"/>
  <c r="CR81" i="1"/>
  <c r="CS81" i="1"/>
  <c r="CS73" i="1"/>
  <c r="CR73" i="1"/>
  <c r="CS65" i="1"/>
  <c r="CR65" i="1"/>
  <c r="CS57" i="1"/>
  <c r="CR57" i="1"/>
  <c r="CR49" i="1"/>
  <c r="CS49" i="1"/>
  <c r="CS41" i="1"/>
  <c r="CR41" i="1"/>
  <c r="CR33" i="1"/>
  <c r="CS33" i="1"/>
  <c r="CR25" i="1"/>
  <c r="CS25" i="1"/>
  <c r="CS17" i="1"/>
  <c r="CR17" i="1"/>
  <c r="CS9" i="1"/>
  <c r="CR9" i="1"/>
  <c r="CW146" i="1"/>
  <c r="CV146" i="1"/>
  <c r="CW138" i="1"/>
  <c r="CV138" i="1"/>
  <c r="CW130" i="1"/>
  <c r="CV130" i="1"/>
  <c r="CV122" i="1"/>
  <c r="CW122" i="1"/>
  <c r="CV98" i="1"/>
  <c r="CW98" i="1"/>
  <c r="CV90" i="1"/>
  <c r="CW90" i="1"/>
  <c r="CV82" i="1"/>
  <c r="CW82" i="1"/>
  <c r="CV74" i="1"/>
  <c r="CW74" i="1"/>
  <c r="CW58" i="1"/>
  <c r="CV58" i="1"/>
  <c r="CW42" i="1"/>
  <c r="CV42" i="1"/>
  <c r="CV34" i="1"/>
  <c r="CW34" i="1"/>
  <c r="CV26" i="1"/>
  <c r="CW26" i="1"/>
  <c r="CV18" i="1"/>
  <c r="CW18" i="1"/>
  <c r="CW10" i="1"/>
  <c r="CV10" i="1"/>
  <c r="CZ2" i="1"/>
  <c r="DA2" i="1"/>
  <c r="CZ139" i="1"/>
  <c r="DA139" i="1"/>
  <c r="CZ131" i="1"/>
  <c r="DA131" i="1"/>
  <c r="CZ123" i="1"/>
  <c r="DA123" i="1"/>
  <c r="DA115" i="1"/>
  <c r="CZ115" i="1"/>
  <c r="DA107" i="1"/>
  <c r="CZ107" i="1"/>
  <c r="BU54" i="1"/>
  <c r="BT54" i="1"/>
  <c r="BU14" i="1"/>
  <c r="BT14" i="1"/>
  <c r="BY103" i="1"/>
  <c r="BX103" i="1"/>
  <c r="BY47" i="1"/>
  <c r="BX47" i="1"/>
  <c r="BY15" i="1"/>
  <c r="BX15" i="1"/>
  <c r="CB104" i="1"/>
  <c r="CC104" i="1"/>
  <c r="CB16" i="1"/>
  <c r="CC16" i="1"/>
  <c r="BU63" i="1"/>
  <c r="BT63" i="1"/>
  <c r="BU136" i="1"/>
  <c r="BT136" i="1"/>
  <c r="BU112" i="1"/>
  <c r="BT112" i="1"/>
  <c r="BU80" i="1"/>
  <c r="BT80" i="1"/>
  <c r="BY124" i="1"/>
  <c r="BX124" i="1"/>
  <c r="BY92" i="1"/>
  <c r="BX92" i="1"/>
  <c r="BY44" i="1"/>
  <c r="BX44" i="1"/>
  <c r="BY20" i="1"/>
  <c r="BX20" i="1"/>
  <c r="CB141" i="1"/>
  <c r="CC141" i="1"/>
  <c r="CB109" i="1"/>
  <c r="CC109" i="1"/>
  <c r="CC93" i="1"/>
  <c r="CB93" i="1"/>
  <c r="CB69" i="1"/>
  <c r="CC69" i="1"/>
  <c r="CB53" i="1"/>
  <c r="CC53" i="1"/>
  <c r="CC37" i="1"/>
  <c r="CB37" i="1"/>
  <c r="CC13" i="1"/>
  <c r="CB13" i="1"/>
  <c r="CG142" i="1"/>
  <c r="CF142" i="1"/>
  <c r="CG118" i="1"/>
  <c r="CF118" i="1"/>
  <c r="CG94" i="1"/>
  <c r="CF94" i="1"/>
  <c r="CG86" i="1"/>
  <c r="CF86" i="1"/>
  <c r="CG62" i="1"/>
  <c r="CF62" i="1"/>
  <c r="CF30" i="1"/>
  <c r="CG30" i="1"/>
  <c r="CG14" i="1"/>
  <c r="CF14" i="1"/>
  <c r="CK143" i="1"/>
  <c r="CJ143" i="1"/>
  <c r="CK119" i="1"/>
  <c r="CJ119" i="1"/>
  <c r="CK103" i="1"/>
  <c r="CJ103" i="1"/>
  <c r="CK79" i="1"/>
  <c r="CJ79" i="1"/>
  <c r="CJ55" i="1"/>
  <c r="CK55" i="1"/>
  <c r="CK39" i="1"/>
  <c r="CJ39" i="1"/>
  <c r="CK15" i="1"/>
  <c r="CJ15" i="1"/>
  <c r="CN120" i="1"/>
  <c r="CO120" i="1"/>
  <c r="BU135" i="1"/>
  <c r="BT135" i="1"/>
  <c r="BU119" i="1"/>
  <c r="BT119" i="1"/>
  <c r="BU103" i="1"/>
  <c r="BT103" i="1"/>
  <c r="BU87" i="1"/>
  <c r="BT87" i="1"/>
  <c r="BU71" i="1"/>
  <c r="BT71" i="1"/>
  <c r="BU50" i="1"/>
  <c r="BT50" i="1"/>
  <c r="BU34" i="1"/>
  <c r="BT34" i="1"/>
  <c r="BU18" i="1"/>
  <c r="BT18" i="1"/>
  <c r="BY2" i="1"/>
  <c r="BX2" i="1"/>
  <c r="BY131" i="1"/>
  <c r="BX131" i="1"/>
  <c r="BY115" i="1"/>
  <c r="BX115" i="1"/>
  <c r="BY99" i="1"/>
  <c r="BX99" i="1"/>
  <c r="BY83" i="1"/>
  <c r="BX83" i="1"/>
  <c r="BY67" i="1"/>
  <c r="BX67" i="1"/>
  <c r="BY43" i="1"/>
  <c r="BX43" i="1"/>
  <c r="BY27" i="1"/>
  <c r="BX27" i="1"/>
  <c r="BY11" i="1"/>
  <c r="BX11" i="1"/>
  <c r="CB140" i="1"/>
  <c r="CC140" i="1"/>
  <c r="CB124" i="1"/>
  <c r="CC124" i="1"/>
  <c r="CB108" i="1"/>
  <c r="CC108" i="1"/>
  <c r="CC92" i="1"/>
  <c r="CB92" i="1"/>
  <c r="CB76" i="1"/>
  <c r="CC76" i="1"/>
  <c r="CB60" i="1"/>
  <c r="CC60" i="1"/>
  <c r="CB44" i="1"/>
  <c r="CC44" i="1"/>
  <c r="CC20" i="1"/>
  <c r="CB20" i="1"/>
  <c r="CC4" i="1"/>
  <c r="CB4" i="1"/>
  <c r="CF133" i="1"/>
  <c r="CG133" i="1"/>
  <c r="CF125" i="1"/>
  <c r="CG125" i="1"/>
  <c r="CG109" i="1"/>
  <c r="CF109" i="1"/>
  <c r="CG93" i="1"/>
  <c r="CF93" i="1"/>
  <c r="CG77" i="1"/>
  <c r="CF77" i="1"/>
  <c r="CG61" i="1"/>
  <c r="CF61" i="1"/>
  <c r="CG29" i="1"/>
  <c r="CF29" i="1"/>
  <c r="CF5" i="1"/>
  <c r="CG5" i="1"/>
  <c r="CK134" i="1"/>
  <c r="CJ134" i="1"/>
  <c r="CK126" i="1"/>
  <c r="CJ126" i="1"/>
  <c r="CK110" i="1"/>
  <c r="CJ110" i="1"/>
  <c r="CK94" i="1"/>
  <c r="CJ94" i="1"/>
  <c r="CK78" i="1"/>
  <c r="CJ78" i="1"/>
  <c r="CJ70" i="1"/>
  <c r="CK70" i="1"/>
  <c r="CJ54" i="1"/>
  <c r="CK54" i="1"/>
  <c r="CJ38" i="1"/>
  <c r="CK38" i="1"/>
  <c r="CK22" i="1"/>
  <c r="CJ22" i="1"/>
  <c r="CK6" i="1"/>
  <c r="CJ6" i="1"/>
  <c r="CN135" i="1"/>
  <c r="CO135" i="1"/>
  <c r="CN127" i="1"/>
  <c r="CO127" i="1"/>
  <c r="CN119" i="1"/>
  <c r="CO119" i="1"/>
  <c r="CN111" i="1"/>
  <c r="CO111" i="1"/>
  <c r="CN103" i="1"/>
  <c r="CO103" i="1"/>
  <c r="CN95" i="1"/>
  <c r="CO95" i="1"/>
  <c r="CO87" i="1"/>
  <c r="CN87" i="1"/>
  <c r="CO71" i="1"/>
  <c r="CN71" i="1"/>
  <c r="CO63" i="1"/>
  <c r="CN63" i="1"/>
  <c r="CO55" i="1"/>
  <c r="CN55" i="1"/>
  <c r="CO47" i="1"/>
  <c r="CN47" i="1"/>
  <c r="CO39" i="1"/>
  <c r="CN39" i="1"/>
  <c r="CN31" i="1"/>
  <c r="CO31" i="1"/>
  <c r="CN23" i="1"/>
  <c r="CO23" i="1"/>
  <c r="CO7" i="1"/>
  <c r="CN7" i="1"/>
  <c r="CS144" i="1"/>
  <c r="CR144" i="1"/>
  <c r="CS136" i="1"/>
  <c r="CR136" i="1"/>
  <c r="CS128" i="1"/>
  <c r="CR128" i="1"/>
  <c r="CS120" i="1"/>
  <c r="CR120" i="1"/>
  <c r="CS112" i="1"/>
  <c r="CR112" i="1"/>
  <c r="CS104" i="1"/>
  <c r="CR104" i="1"/>
  <c r="CS96" i="1"/>
  <c r="CR96" i="1"/>
  <c r="CS88" i="1"/>
  <c r="CR88" i="1"/>
  <c r="CS72" i="1"/>
  <c r="CR72" i="1"/>
  <c r="CS64" i="1"/>
  <c r="CR64" i="1"/>
  <c r="CS56" i="1"/>
  <c r="CR56" i="1"/>
  <c r="CS48" i="1"/>
  <c r="CR48" i="1"/>
  <c r="CR40" i="1"/>
  <c r="CS40" i="1"/>
  <c r="CS32" i="1"/>
  <c r="CR32" i="1"/>
  <c r="CR24" i="1"/>
  <c r="CS24" i="1"/>
  <c r="CS8" i="1"/>
  <c r="CR8" i="1"/>
  <c r="CW137" i="1"/>
  <c r="CV137" i="1"/>
  <c r="CW129" i="1"/>
  <c r="CV129" i="1"/>
  <c r="CW121" i="1"/>
  <c r="CV121" i="1"/>
  <c r="CW97" i="1"/>
  <c r="CV97" i="1"/>
  <c r="CW89" i="1"/>
  <c r="CV89" i="1"/>
  <c r="CV73" i="1"/>
  <c r="CW73" i="1"/>
  <c r="CV65" i="1"/>
  <c r="CW65" i="1"/>
  <c r="CW57" i="1"/>
  <c r="CV57" i="1"/>
  <c r="CW49" i="1"/>
  <c r="CV49" i="1"/>
  <c r="CW41" i="1"/>
  <c r="CV41" i="1"/>
  <c r="CV33" i="1"/>
  <c r="CW33" i="1"/>
  <c r="CV25" i="1"/>
  <c r="CW25" i="1"/>
  <c r="CV17" i="1"/>
  <c r="CW17" i="1"/>
  <c r="CZ146" i="1"/>
  <c r="DA146" i="1"/>
  <c r="CZ138" i="1"/>
  <c r="DA138" i="1"/>
  <c r="CZ130" i="1"/>
  <c r="DA130" i="1"/>
  <c r="CZ122" i="1"/>
  <c r="DA122" i="1"/>
  <c r="CZ114" i="1"/>
  <c r="DA114" i="1"/>
  <c r="DA106" i="1"/>
  <c r="CZ106" i="1"/>
  <c r="CZ98" i="1"/>
  <c r="DA98" i="1"/>
  <c r="CZ90" i="1"/>
  <c r="DA90" i="1"/>
  <c r="CZ82" i="1"/>
  <c r="DA82" i="1"/>
  <c r="CZ74" i="1"/>
  <c r="DA74" i="1"/>
  <c r="CZ66" i="1"/>
  <c r="DA66" i="1"/>
  <c r="DA50" i="1"/>
  <c r="CZ50" i="1"/>
  <c r="BU2" i="1"/>
  <c r="BT2" i="1"/>
  <c r="BU91" i="1"/>
  <c r="BT91" i="1"/>
  <c r="BU30" i="1"/>
  <c r="BT30" i="1"/>
  <c r="BY135" i="1"/>
  <c r="BX135" i="1"/>
  <c r="BY111" i="1"/>
  <c r="BX111" i="1"/>
  <c r="BY7" i="1"/>
  <c r="BX7" i="1"/>
  <c r="CB96" i="1"/>
  <c r="CC96" i="1"/>
  <c r="CF145" i="1"/>
  <c r="CG145" i="1"/>
  <c r="BU128" i="1"/>
  <c r="BT128" i="1"/>
  <c r="BU104" i="1"/>
  <c r="BT104" i="1"/>
  <c r="BU72" i="1"/>
  <c r="BT72" i="1"/>
  <c r="BU43" i="1"/>
  <c r="BT43" i="1"/>
  <c r="BU3" i="1"/>
  <c r="BT3" i="1"/>
  <c r="BY132" i="1"/>
  <c r="BX132" i="1"/>
  <c r="BY36" i="1"/>
  <c r="BX36" i="1"/>
  <c r="BY4" i="1"/>
  <c r="BX4" i="1"/>
  <c r="CB125" i="1"/>
  <c r="CC125" i="1"/>
  <c r="CC101" i="1"/>
  <c r="CB101" i="1"/>
  <c r="CB85" i="1"/>
  <c r="CC85" i="1"/>
  <c r="CB61" i="1"/>
  <c r="CC61" i="1"/>
  <c r="CB45" i="1"/>
  <c r="CC45" i="1"/>
  <c r="CC21" i="1"/>
  <c r="CB21" i="1"/>
  <c r="CC5" i="1"/>
  <c r="CB5" i="1"/>
  <c r="CG126" i="1"/>
  <c r="CF126" i="1"/>
  <c r="CG102" i="1"/>
  <c r="CF102" i="1"/>
  <c r="CG78" i="1"/>
  <c r="CF78" i="1"/>
  <c r="CG54" i="1"/>
  <c r="CF54" i="1"/>
  <c r="CF38" i="1"/>
  <c r="CG38" i="1"/>
  <c r="CG6" i="1"/>
  <c r="CF6" i="1"/>
  <c r="CK135" i="1"/>
  <c r="CJ135" i="1"/>
  <c r="CJ111" i="1"/>
  <c r="CK111" i="1"/>
  <c r="CJ87" i="1"/>
  <c r="CK87" i="1"/>
  <c r="CK63" i="1"/>
  <c r="CJ63" i="1"/>
  <c r="CK47" i="1"/>
  <c r="CJ47" i="1"/>
  <c r="CK23" i="1"/>
  <c r="CJ23" i="1"/>
  <c r="CN112" i="1"/>
  <c r="CO112" i="1"/>
  <c r="BU143" i="1"/>
  <c r="BT143" i="1"/>
  <c r="BU127" i="1"/>
  <c r="BT127" i="1"/>
  <c r="BU79" i="1"/>
  <c r="BT79" i="1"/>
  <c r="BU58" i="1"/>
  <c r="BT58" i="1"/>
  <c r="BU42" i="1"/>
  <c r="BT42" i="1"/>
  <c r="BU10" i="1"/>
  <c r="BT10" i="1"/>
  <c r="BY139" i="1"/>
  <c r="BX139" i="1"/>
  <c r="BY91" i="1"/>
  <c r="BX91" i="1"/>
  <c r="BY75" i="1"/>
  <c r="BX75" i="1"/>
  <c r="BY59" i="1"/>
  <c r="BX59" i="1"/>
  <c r="BY51" i="1"/>
  <c r="BX51" i="1"/>
  <c r="BY35" i="1"/>
  <c r="BX35" i="1"/>
  <c r="BY19" i="1"/>
  <c r="BX19" i="1"/>
  <c r="CB132" i="1"/>
  <c r="CC132" i="1"/>
  <c r="CB116" i="1"/>
  <c r="CC116" i="1"/>
  <c r="CB100" i="1"/>
  <c r="CC100" i="1"/>
  <c r="CC84" i="1"/>
  <c r="CB84" i="1"/>
  <c r="CB68" i="1"/>
  <c r="CC68" i="1"/>
  <c r="CB52" i="1"/>
  <c r="CC52" i="1"/>
  <c r="CC36" i="1"/>
  <c r="CB36" i="1"/>
  <c r="CC28" i="1"/>
  <c r="CB28" i="1"/>
  <c r="CC12" i="1"/>
  <c r="CB12" i="1"/>
  <c r="CF141" i="1"/>
  <c r="CG141" i="1"/>
  <c r="CF117" i="1"/>
  <c r="CG117" i="1"/>
  <c r="CG101" i="1"/>
  <c r="CF101" i="1"/>
  <c r="CG85" i="1"/>
  <c r="CF85" i="1"/>
  <c r="CG69" i="1"/>
  <c r="CF69" i="1"/>
  <c r="CG53" i="1"/>
  <c r="CF53" i="1"/>
  <c r="CF37" i="1"/>
  <c r="CG37" i="1"/>
  <c r="CF21" i="1"/>
  <c r="CG21" i="1"/>
  <c r="CF13" i="1"/>
  <c r="CG13" i="1"/>
  <c r="CJ142" i="1"/>
  <c r="CK142" i="1"/>
  <c r="CK118" i="1"/>
  <c r="CJ118" i="1"/>
  <c r="CK102" i="1"/>
  <c r="CJ102" i="1"/>
  <c r="CK86" i="1"/>
  <c r="CJ86" i="1"/>
  <c r="CK62" i="1"/>
  <c r="CJ62" i="1"/>
  <c r="CK46" i="1"/>
  <c r="CJ46" i="1"/>
  <c r="CK30" i="1"/>
  <c r="CJ30" i="1"/>
  <c r="CK14" i="1"/>
  <c r="CJ14" i="1"/>
  <c r="CN143" i="1"/>
  <c r="CO143" i="1"/>
  <c r="CO79" i="1"/>
  <c r="CN79" i="1"/>
  <c r="BU142" i="1"/>
  <c r="BT142" i="1"/>
  <c r="BU134" i="1"/>
  <c r="BT134" i="1"/>
  <c r="BU126" i="1"/>
  <c r="BT126" i="1"/>
  <c r="BU118" i="1"/>
  <c r="BT118" i="1"/>
  <c r="BU110" i="1"/>
  <c r="BT110" i="1"/>
  <c r="BU102" i="1"/>
  <c r="BT102" i="1"/>
  <c r="BU94" i="1"/>
  <c r="BT94" i="1"/>
  <c r="BU86" i="1"/>
  <c r="BT86" i="1"/>
  <c r="BU78" i="1"/>
  <c r="BT78" i="1"/>
  <c r="BU70" i="1"/>
  <c r="BT70" i="1"/>
  <c r="BU57" i="1"/>
  <c r="BT57" i="1"/>
  <c r="BU41" i="1"/>
  <c r="BT41" i="1"/>
  <c r="BU33" i="1"/>
  <c r="BT33" i="1"/>
  <c r="BU25" i="1"/>
  <c r="BT25" i="1"/>
  <c r="BU17" i="1"/>
  <c r="BT17" i="1"/>
  <c r="BU9" i="1"/>
  <c r="BT9" i="1"/>
  <c r="BY122" i="1"/>
  <c r="BX122" i="1"/>
  <c r="BY114" i="1"/>
  <c r="BX114" i="1"/>
  <c r="BY106" i="1"/>
  <c r="BX106" i="1"/>
  <c r="BY98" i="1"/>
  <c r="BX98" i="1"/>
  <c r="BY90" i="1"/>
  <c r="BX90" i="1"/>
  <c r="BY74" i="1"/>
  <c r="BX74" i="1"/>
  <c r="BY66" i="1"/>
  <c r="BX66" i="1"/>
  <c r="BY58" i="1"/>
  <c r="BX58" i="1"/>
  <c r="BY50" i="1"/>
  <c r="BX50" i="1"/>
  <c r="BY18" i="1"/>
  <c r="BY10" i="1"/>
  <c r="CB107" i="1"/>
  <c r="CB99" i="1"/>
  <c r="CB91" i="1"/>
  <c r="CB83" i="1"/>
  <c r="CB43" i="1"/>
  <c r="CB35" i="1"/>
  <c r="CB27" i="1"/>
  <c r="CB19" i="1"/>
  <c r="CF132" i="1"/>
  <c r="CG108" i="1"/>
  <c r="CG76" i="1"/>
  <c r="CK21" i="1"/>
  <c r="CJ13" i="1"/>
  <c r="CN134" i="1"/>
  <c r="BU115" i="1"/>
  <c r="BT115" i="1"/>
  <c r="BU22" i="1"/>
  <c r="BT22" i="1"/>
  <c r="BY143" i="1"/>
  <c r="BX143" i="1"/>
  <c r="BY119" i="1"/>
  <c r="BX119" i="1"/>
  <c r="BY63" i="1"/>
  <c r="BX63" i="1"/>
  <c r="BY23" i="1"/>
  <c r="BX23" i="1"/>
  <c r="CB112" i="1"/>
  <c r="CC112" i="1"/>
  <c r="CB8" i="1"/>
  <c r="CC8" i="1"/>
  <c r="BU120" i="1"/>
  <c r="BT120" i="1"/>
  <c r="BU59" i="1"/>
  <c r="BT59" i="1"/>
  <c r="BU35" i="1"/>
  <c r="BT35" i="1"/>
  <c r="BU11" i="1"/>
  <c r="BT11" i="1"/>
  <c r="BY116" i="1"/>
  <c r="BX116" i="1"/>
  <c r="BY76" i="1"/>
  <c r="BX76" i="1"/>
  <c r="CB117" i="1"/>
  <c r="CC117" i="1"/>
  <c r="BU141" i="1"/>
  <c r="BT141" i="1"/>
  <c r="BU133" i="1"/>
  <c r="BT133" i="1"/>
  <c r="BU125" i="1"/>
  <c r="BT125" i="1"/>
  <c r="BU117" i="1"/>
  <c r="BT117" i="1"/>
  <c r="BU109" i="1"/>
  <c r="BT109" i="1"/>
  <c r="BU101" i="1"/>
  <c r="BT101" i="1"/>
  <c r="BU93" i="1"/>
  <c r="BT93" i="1"/>
  <c r="BU85" i="1"/>
  <c r="BT85" i="1"/>
  <c r="BU77" i="1"/>
  <c r="BT77" i="1"/>
  <c r="BU69" i="1"/>
  <c r="BT69" i="1"/>
  <c r="BU56" i="1"/>
  <c r="BT56" i="1"/>
  <c r="BU40" i="1"/>
  <c r="BT40" i="1"/>
  <c r="BU32" i="1"/>
  <c r="BT32" i="1"/>
  <c r="BU24" i="1"/>
  <c r="BT24" i="1"/>
  <c r="BU16" i="1"/>
  <c r="BT16" i="1"/>
  <c r="BU8" i="1"/>
  <c r="BT8" i="1"/>
  <c r="BY145" i="1"/>
  <c r="BX145" i="1"/>
  <c r="BY137" i="1"/>
  <c r="BX137" i="1"/>
  <c r="BY129" i="1"/>
  <c r="BX129" i="1"/>
  <c r="BY121" i="1"/>
  <c r="BX121" i="1"/>
  <c r="BY113" i="1"/>
  <c r="BX113" i="1"/>
  <c r="BY105" i="1"/>
  <c r="BX105" i="1"/>
  <c r="BY89" i="1"/>
  <c r="BX89" i="1"/>
  <c r="BY81" i="1"/>
  <c r="BX81" i="1"/>
  <c r="BY73" i="1"/>
  <c r="BX73" i="1"/>
  <c r="BY49" i="1"/>
  <c r="BX49" i="1"/>
  <c r="BY41" i="1"/>
  <c r="BX41" i="1"/>
  <c r="BY33" i="1"/>
  <c r="BX33" i="1"/>
  <c r="BY17" i="1"/>
  <c r="BX17" i="1"/>
  <c r="BY9" i="1"/>
  <c r="BX9" i="1"/>
  <c r="CB146" i="1"/>
  <c r="CC146" i="1"/>
  <c r="CC138" i="1"/>
  <c r="CB138" i="1"/>
  <c r="CC130" i="1"/>
  <c r="CB130" i="1"/>
  <c r="CB122" i="1"/>
  <c r="CC122" i="1"/>
  <c r="CB114" i="1"/>
  <c r="CC114" i="1"/>
  <c r="CB106" i="1"/>
  <c r="CC106" i="1"/>
  <c r="CB98" i="1"/>
  <c r="CC98" i="1"/>
  <c r="CB90" i="1"/>
  <c r="CC90" i="1"/>
  <c r="CB82" i="1"/>
  <c r="CC82" i="1"/>
  <c r="CC74" i="1"/>
  <c r="CB74" i="1"/>
  <c r="CC66" i="1"/>
  <c r="CB66" i="1"/>
  <c r="CB58" i="1"/>
  <c r="CC58" i="1"/>
  <c r="CB50" i="1"/>
  <c r="CC50" i="1"/>
  <c r="CB42" i="1"/>
  <c r="CC42" i="1"/>
  <c r="CB34" i="1"/>
  <c r="CC34" i="1"/>
  <c r="CC26" i="1"/>
  <c r="CB26" i="1"/>
  <c r="CB18" i="1"/>
  <c r="CC18" i="1"/>
  <c r="CC10" i="1"/>
  <c r="CB10" i="1"/>
  <c r="CG2" i="1"/>
  <c r="CF2" i="1"/>
  <c r="CG139" i="1"/>
  <c r="CF139" i="1"/>
  <c r="CG131" i="1"/>
  <c r="CF131" i="1"/>
  <c r="CG123" i="1"/>
  <c r="CF123" i="1"/>
  <c r="CG115" i="1"/>
  <c r="CF115" i="1"/>
  <c r="CF107" i="1"/>
  <c r="CG107" i="1"/>
  <c r="CG99" i="1"/>
  <c r="CF99" i="1"/>
  <c r="CF91" i="1"/>
  <c r="CG91" i="1"/>
  <c r="CG83" i="1"/>
  <c r="CF83" i="1"/>
  <c r="CF75" i="1"/>
  <c r="CG75" i="1"/>
  <c r="CG67" i="1"/>
  <c r="CF67" i="1"/>
  <c r="CF59" i="1"/>
  <c r="CG59" i="1"/>
  <c r="CG51" i="1"/>
  <c r="CF51" i="1"/>
  <c r="CF35" i="1"/>
  <c r="CG35" i="1"/>
  <c r="CF27" i="1"/>
  <c r="CG27" i="1"/>
  <c r="CG19" i="1"/>
  <c r="CF19" i="1"/>
  <c r="CG11" i="1"/>
  <c r="CF11" i="1"/>
  <c r="CG3" i="1"/>
  <c r="CF3" i="1"/>
  <c r="CK140" i="1"/>
  <c r="CJ140" i="1"/>
  <c r="CK132" i="1"/>
  <c r="CJ132" i="1"/>
  <c r="CK124" i="1"/>
  <c r="CJ124" i="1"/>
  <c r="CK116" i="1"/>
  <c r="CJ116" i="1"/>
  <c r="CK108" i="1"/>
  <c r="CJ108" i="1"/>
  <c r="CK100" i="1"/>
  <c r="CJ100" i="1"/>
  <c r="CK84" i="1"/>
  <c r="CJ84" i="1"/>
  <c r="CJ76" i="1"/>
  <c r="CK76" i="1"/>
  <c r="CJ68" i="1"/>
  <c r="CK68" i="1"/>
  <c r="CK60" i="1"/>
  <c r="CJ60" i="1"/>
  <c r="CJ52" i="1"/>
  <c r="CK52" i="1"/>
  <c r="CK44" i="1"/>
  <c r="CJ44" i="1"/>
  <c r="CK36" i="1"/>
  <c r="CJ36" i="1"/>
  <c r="CK28" i="1"/>
  <c r="CJ28" i="1"/>
  <c r="CJ20" i="1"/>
  <c r="CK20" i="1"/>
  <c r="CK12" i="1"/>
  <c r="CJ12" i="1"/>
  <c r="CJ4" i="1"/>
  <c r="CK4" i="1"/>
  <c r="CO141" i="1"/>
  <c r="CN141" i="1"/>
  <c r="CO133" i="1"/>
  <c r="CN133" i="1"/>
  <c r="CO125" i="1"/>
  <c r="CN125" i="1"/>
  <c r="CN117" i="1"/>
  <c r="CO117" i="1"/>
  <c r="CN109" i="1"/>
  <c r="CO109" i="1"/>
  <c r="CO101" i="1"/>
  <c r="CN101" i="1"/>
  <c r="CN93" i="1"/>
  <c r="CO93" i="1"/>
  <c r="CO85" i="1"/>
  <c r="CN85" i="1"/>
  <c r="CN77" i="1"/>
  <c r="CO77" i="1"/>
  <c r="CO69" i="1"/>
  <c r="CN69" i="1"/>
  <c r="CO61" i="1"/>
  <c r="CN61" i="1"/>
  <c r="CN53" i="1"/>
  <c r="CO53" i="1"/>
  <c r="CN45" i="1"/>
  <c r="CO45" i="1"/>
  <c r="CN37" i="1"/>
  <c r="CO37" i="1"/>
  <c r="CO29" i="1"/>
  <c r="CN29" i="1"/>
  <c r="CO21" i="1"/>
  <c r="CN21" i="1"/>
  <c r="CN13" i="1"/>
  <c r="CO13" i="1"/>
  <c r="CN5" i="1"/>
  <c r="CO5" i="1"/>
  <c r="CS142" i="1"/>
  <c r="CR142" i="1"/>
  <c r="CS134" i="1"/>
  <c r="CR134" i="1"/>
  <c r="CS126" i="1"/>
  <c r="CR126" i="1"/>
  <c r="CS118" i="1"/>
  <c r="CR118" i="1"/>
  <c r="CS110" i="1"/>
  <c r="CR110" i="1"/>
  <c r="CS102" i="1"/>
  <c r="CR102" i="1"/>
  <c r="CS94" i="1"/>
  <c r="CR94" i="1"/>
  <c r="CS86" i="1"/>
  <c r="CR86" i="1"/>
  <c r="CR78" i="1"/>
  <c r="CS78" i="1"/>
  <c r="CR70" i="1"/>
  <c r="CS70" i="1"/>
  <c r="CS62" i="1"/>
  <c r="CR62" i="1"/>
  <c r="CR46" i="1"/>
  <c r="CS46" i="1"/>
  <c r="CS38" i="1"/>
  <c r="CR38" i="1"/>
  <c r="CS30" i="1"/>
  <c r="CR30" i="1"/>
  <c r="CS22" i="1"/>
  <c r="CR22" i="1"/>
  <c r="CS14" i="1"/>
  <c r="CR14" i="1"/>
  <c r="CR6" i="1"/>
  <c r="CS6" i="1"/>
  <c r="CV143" i="1"/>
  <c r="CW143" i="1"/>
  <c r="CW135" i="1"/>
  <c r="CV135" i="1"/>
  <c r="CW127" i="1"/>
  <c r="CV127" i="1"/>
  <c r="CW119" i="1"/>
  <c r="CV119" i="1"/>
  <c r="CV111" i="1"/>
  <c r="CW111" i="1"/>
  <c r="CV103" i="1"/>
  <c r="CW103" i="1"/>
  <c r="CW95" i="1"/>
  <c r="CV95" i="1"/>
  <c r="CW87" i="1"/>
  <c r="CV87" i="1"/>
  <c r="CW79" i="1"/>
  <c r="CV79" i="1"/>
  <c r="CV63" i="1"/>
  <c r="CW63" i="1"/>
  <c r="CW55" i="1"/>
  <c r="CV55" i="1"/>
  <c r="CV47" i="1"/>
  <c r="CW47" i="1"/>
  <c r="CW31" i="1"/>
  <c r="CV31" i="1"/>
  <c r="CW23" i="1"/>
  <c r="CV23" i="1"/>
  <c r="CW15" i="1"/>
  <c r="CV15" i="1"/>
  <c r="CV7" i="1"/>
  <c r="CW7" i="1"/>
  <c r="DA144" i="1"/>
  <c r="CZ144" i="1"/>
  <c r="DA136" i="1"/>
  <c r="CZ136" i="1"/>
  <c r="DA128" i="1"/>
  <c r="CZ128" i="1"/>
  <c r="DA120" i="1"/>
  <c r="CZ120" i="1"/>
  <c r="DA112" i="1"/>
  <c r="CZ112" i="1"/>
  <c r="DA104" i="1"/>
  <c r="CZ104" i="1"/>
  <c r="DA96" i="1"/>
  <c r="CZ96" i="1"/>
  <c r="DA88" i="1"/>
  <c r="CZ88" i="1"/>
  <c r="DA80" i="1"/>
  <c r="CZ80" i="1"/>
  <c r="CZ72" i="1"/>
  <c r="DA72" i="1"/>
  <c r="DA64" i="1"/>
  <c r="CZ64" i="1"/>
  <c r="CZ56" i="1"/>
  <c r="DA56" i="1"/>
  <c r="CZ48" i="1"/>
  <c r="DA48" i="1"/>
  <c r="DA40" i="1"/>
  <c r="CZ40" i="1"/>
  <c r="DA32" i="1"/>
  <c r="CZ32" i="1"/>
  <c r="DA99" i="1"/>
  <c r="CZ99" i="1"/>
  <c r="DA91" i="1"/>
  <c r="CZ91" i="1"/>
  <c r="DA83" i="1"/>
  <c r="CZ83" i="1"/>
  <c r="DA75" i="1"/>
  <c r="CZ75" i="1"/>
  <c r="DA67" i="1"/>
  <c r="CZ67" i="1"/>
  <c r="DA51" i="1"/>
  <c r="CZ51" i="1"/>
  <c r="DA43" i="1"/>
  <c r="CZ43" i="1"/>
  <c r="DA35" i="1"/>
  <c r="CZ35" i="1"/>
  <c r="CZ27" i="1"/>
  <c r="DA27" i="1"/>
  <c r="CZ19" i="1"/>
  <c r="DA19" i="1"/>
  <c r="CZ11" i="1"/>
  <c r="DA11" i="1"/>
  <c r="CZ3" i="1"/>
  <c r="DA3" i="1"/>
  <c r="DD140" i="1"/>
  <c r="DE140" i="1"/>
  <c r="DE132" i="1"/>
  <c r="DD132" i="1"/>
  <c r="DD124" i="1"/>
  <c r="DE124" i="1"/>
  <c r="DE116" i="1"/>
  <c r="DD116" i="1"/>
  <c r="DD108" i="1"/>
  <c r="DE108" i="1"/>
  <c r="DE100" i="1"/>
  <c r="DD100" i="1"/>
  <c r="DD92" i="1"/>
  <c r="DE92" i="1"/>
  <c r="DE84" i="1"/>
  <c r="DD84" i="1"/>
  <c r="DE68" i="1"/>
  <c r="DD68" i="1"/>
  <c r="DD60" i="1"/>
  <c r="DE60" i="1"/>
  <c r="DE52" i="1"/>
  <c r="DD52" i="1"/>
  <c r="DE44" i="1"/>
  <c r="DD44" i="1"/>
  <c r="DE36" i="1"/>
  <c r="DD36" i="1"/>
  <c r="DD28" i="1"/>
  <c r="DE28" i="1"/>
  <c r="DE20" i="1"/>
  <c r="DD20" i="1"/>
  <c r="DD12" i="1"/>
  <c r="DE12" i="1"/>
  <c r="DH141" i="1"/>
  <c r="DI141" i="1"/>
  <c r="DH133" i="1"/>
  <c r="DI133" i="1"/>
  <c r="DH125" i="1"/>
  <c r="DI125" i="1"/>
  <c r="DH117" i="1"/>
  <c r="DI117" i="1"/>
  <c r="DH109" i="1"/>
  <c r="DI109" i="1"/>
  <c r="DH101" i="1"/>
  <c r="DI101" i="1"/>
  <c r="DH93" i="1"/>
  <c r="DI93" i="1"/>
  <c r="DH85" i="1"/>
  <c r="DI85" i="1"/>
  <c r="DI77" i="1"/>
  <c r="DH77" i="1"/>
  <c r="DH69" i="1"/>
  <c r="DI69" i="1"/>
  <c r="DH61" i="1"/>
  <c r="DI61" i="1"/>
  <c r="DI53" i="1"/>
  <c r="DH53" i="1"/>
  <c r="DI45" i="1"/>
  <c r="DH45" i="1"/>
  <c r="DI37" i="1"/>
  <c r="DH37" i="1"/>
  <c r="DH29" i="1"/>
  <c r="DI29" i="1"/>
  <c r="DH21" i="1"/>
  <c r="DI21" i="1"/>
  <c r="DI13" i="1"/>
  <c r="DH13" i="1"/>
  <c r="BU62" i="1"/>
  <c r="DA42" i="1"/>
  <c r="CZ42" i="1"/>
  <c r="DA34" i="1"/>
  <c r="CZ34" i="1"/>
  <c r="DA26" i="1"/>
  <c r="CZ26" i="1"/>
  <c r="DA18" i="1"/>
  <c r="CZ18" i="1"/>
  <c r="DA10" i="1"/>
  <c r="CZ10" i="1"/>
  <c r="DE2" i="1"/>
  <c r="DD2" i="1"/>
  <c r="DE139" i="1"/>
  <c r="DD139" i="1"/>
  <c r="DE131" i="1"/>
  <c r="DD131" i="1"/>
  <c r="DD123" i="1"/>
  <c r="DE123" i="1"/>
  <c r="DE115" i="1"/>
  <c r="DD115" i="1"/>
  <c r="DE107" i="1"/>
  <c r="DD107" i="1"/>
  <c r="DD99" i="1"/>
  <c r="DE99" i="1"/>
  <c r="DE91" i="1"/>
  <c r="DD91" i="1"/>
  <c r="DE83" i="1"/>
  <c r="DD83" i="1"/>
  <c r="DE75" i="1"/>
  <c r="DD75" i="1"/>
  <c r="DE67" i="1"/>
  <c r="DD67" i="1"/>
  <c r="DE59" i="1"/>
  <c r="DD59" i="1"/>
  <c r="DE51" i="1"/>
  <c r="DD51" i="1"/>
  <c r="DE43" i="1"/>
  <c r="DD43" i="1"/>
  <c r="DE35" i="1"/>
  <c r="DD35" i="1"/>
  <c r="DE27" i="1"/>
  <c r="DD27" i="1"/>
  <c r="DE19" i="1"/>
  <c r="DD19" i="1"/>
  <c r="DE11" i="1"/>
  <c r="DD11" i="1"/>
  <c r="DD3" i="1"/>
  <c r="DE3" i="1"/>
  <c r="DI140" i="1"/>
  <c r="DH140" i="1"/>
  <c r="DI132" i="1"/>
  <c r="DH132" i="1"/>
  <c r="DH124" i="1"/>
  <c r="DI124" i="1"/>
  <c r="DI116" i="1"/>
  <c r="DH116" i="1"/>
  <c r="DI108" i="1"/>
  <c r="DH108" i="1"/>
  <c r="DI100" i="1"/>
  <c r="DH100" i="1"/>
  <c r="DH92" i="1"/>
  <c r="DI92" i="1"/>
  <c r="DI84" i="1"/>
  <c r="DH84" i="1"/>
  <c r="DI76" i="1"/>
  <c r="DH76" i="1"/>
  <c r="DI68" i="1"/>
  <c r="DH68" i="1"/>
  <c r="DH60" i="1"/>
  <c r="DI60" i="1"/>
  <c r="DH52" i="1"/>
  <c r="DI52" i="1"/>
  <c r="DI44" i="1"/>
  <c r="DH44" i="1"/>
  <c r="DI36" i="1"/>
  <c r="DH36" i="1"/>
  <c r="DI28" i="1"/>
  <c r="DH28" i="1"/>
  <c r="DH20" i="1"/>
  <c r="DI20" i="1"/>
  <c r="DI12" i="1"/>
  <c r="DH12" i="1"/>
  <c r="DI4" i="1"/>
  <c r="DH4" i="1"/>
  <c r="DL61" i="1"/>
  <c r="BU61" i="1"/>
  <c r="BX10" i="1"/>
  <c r="CC99" i="1"/>
  <c r="CC19" i="1"/>
  <c r="CO131" i="1"/>
  <c r="BY42" i="1"/>
  <c r="BX42" i="1"/>
  <c r="BY34" i="1"/>
  <c r="BX34" i="1"/>
  <c r="BY26" i="1"/>
  <c r="BX26" i="1"/>
  <c r="CC2" i="1"/>
  <c r="CC139" i="1"/>
  <c r="CB139" i="1"/>
  <c r="CB131" i="1"/>
  <c r="CC131" i="1"/>
  <c r="CB123" i="1"/>
  <c r="CC123" i="1"/>
  <c r="CB115" i="1"/>
  <c r="CC83" i="1"/>
  <c r="CC75" i="1"/>
  <c r="CB75" i="1"/>
  <c r="CB67" i="1"/>
  <c r="CC67" i="1"/>
  <c r="CB59" i="1"/>
  <c r="CC59" i="1"/>
  <c r="CB51" i="1"/>
  <c r="CC27" i="1"/>
  <c r="CC11" i="1"/>
  <c r="CB11" i="1"/>
  <c r="CB3" i="1"/>
  <c r="CF140" i="1"/>
  <c r="CG132" i="1"/>
  <c r="CF124" i="1"/>
  <c r="CG116" i="1"/>
  <c r="CF108" i="1"/>
  <c r="CF100" i="1"/>
  <c r="CG100" i="1"/>
  <c r="CF92" i="1"/>
  <c r="CF84" i="1"/>
  <c r="CG84" i="1"/>
  <c r="CF76" i="1"/>
  <c r="CF68" i="1"/>
  <c r="CG68" i="1"/>
  <c r="CF60" i="1"/>
  <c r="CF52" i="1"/>
  <c r="CG52" i="1"/>
  <c r="CG36" i="1"/>
  <c r="CF36" i="1"/>
  <c r="CG28" i="1"/>
  <c r="CF20" i="1"/>
  <c r="CG12" i="1"/>
  <c r="CF4" i="1"/>
  <c r="CJ141" i="1"/>
  <c r="CK133" i="1"/>
  <c r="CK125" i="1"/>
  <c r="CJ125" i="1"/>
  <c r="CK117" i="1"/>
  <c r="CJ117" i="1"/>
  <c r="CK109" i="1"/>
  <c r="CJ109" i="1"/>
  <c r="CK101" i="1"/>
  <c r="CJ101" i="1"/>
  <c r="CJ85" i="1"/>
  <c r="CK77" i="1"/>
  <c r="CK69" i="1"/>
  <c r="CJ69" i="1"/>
  <c r="CK61" i="1"/>
  <c r="CJ61" i="1"/>
  <c r="CK53" i="1"/>
  <c r="CJ53" i="1"/>
  <c r="CK45" i="1"/>
  <c r="CJ45" i="1"/>
  <c r="CJ37" i="1"/>
  <c r="CK29" i="1"/>
  <c r="CJ21" i="1"/>
  <c r="CK13" i="1"/>
  <c r="CJ5" i="1"/>
  <c r="CO142" i="1"/>
  <c r="CN142" i="1"/>
  <c r="CO134" i="1"/>
  <c r="CO126" i="1"/>
  <c r="CN126" i="1"/>
  <c r="CO118" i="1"/>
  <c r="CO110" i="1"/>
  <c r="CN110" i="1"/>
  <c r="CO102" i="1"/>
  <c r="CN102" i="1"/>
  <c r="CO94" i="1"/>
  <c r="CN94" i="1"/>
  <c r="CO86" i="1"/>
  <c r="CN86" i="1"/>
  <c r="CO78" i="1"/>
  <c r="CN78" i="1"/>
  <c r="CO70" i="1"/>
  <c r="CN70" i="1"/>
  <c r="CO62" i="1"/>
  <c r="CN62" i="1"/>
  <c r="CO54" i="1"/>
  <c r="CN54" i="1"/>
  <c r="CO46" i="1"/>
  <c r="CO38" i="1"/>
  <c r="CN38" i="1"/>
  <c r="CN30" i="1"/>
  <c r="CO22" i="1"/>
  <c r="CN22" i="1"/>
  <c r="CN6" i="1"/>
  <c r="CO6" i="1"/>
  <c r="CR143" i="1"/>
  <c r="CS143" i="1"/>
  <c r="CR135" i="1"/>
  <c r="CS135" i="1"/>
  <c r="CS127" i="1"/>
  <c r="CR127" i="1"/>
  <c r="CR119" i="1"/>
  <c r="CS119" i="1"/>
  <c r="CS111" i="1"/>
  <c r="CR111" i="1"/>
  <c r="CS103" i="1"/>
  <c r="CR103" i="1"/>
  <c r="CS95" i="1"/>
  <c r="CR95" i="1"/>
  <c r="CR87" i="1"/>
  <c r="CS87" i="1"/>
  <c r="CS79" i="1"/>
  <c r="CR79" i="1"/>
  <c r="CS71" i="1"/>
  <c r="CR71" i="1"/>
  <c r="CS63" i="1"/>
  <c r="CR63" i="1"/>
  <c r="CS55" i="1"/>
  <c r="CR55" i="1"/>
  <c r="CR47" i="1"/>
  <c r="CS47" i="1"/>
  <c r="CS39" i="1"/>
  <c r="CR39" i="1"/>
  <c r="CS31" i="1"/>
  <c r="CR31" i="1"/>
  <c r="CS23" i="1"/>
  <c r="CR23" i="1"/>
  <c r="CR15" i="1"/>
  <c r="CS15" i="1"/>
  <c r="CS7" i="1"/>
  <c r="CR7" i="1"/>
  <c r="CV144" i="1"/>
  <c r="CW144" i="1"/>
  <c r="CW136" i="1"/>
  <c r="CV136" i="1"/>
  <c r="CW128" i="1"/>
  <c r="CV128" i="1"/>
  <c r="CW120" i="1"/>
  <c r="CV120" i="1"/>
  <c r="CW112" i="1"/>
  <c r="CV112" i="1"/>
  <c r="CW104" i="1"/>
  <c r="CV104" i="1"/>
  <c r="CW96" i="1"/>
  <c r="CV96" i="1"/>
  <c r="CW88" i="1"/>
  <c r="CV88" i="1"/>
  <c r="CW80" i="1"/>
  <c r="CV80" i="1"/>
  <c r="CV72" i="1"/>
  <c r="CW72" i="1"/>
  <c r="CV64" i="1"/>
  <c r="CW64" i="1"/>
  <c r="CW56" i="1"/>
  <c r="CV56" i="1"/>
  <c r="CW48" i="1"/>
  <c r="CV48" i="1"/>
  <c r="CW40" i="1"/>
  <c r="CV40" i="1"/>
  <c r="CW32" i="1"/>
  <c r="CV32" i="1"/>
  <c r="CV24" i="1"/>
  <c r="CW24" i="1"/>
  <c r="CV16" i="1"/>
  <c r="CW16" i="1"/>
  <c r="DA145" i="1"/>
  <c r="CZ145" i="1"/>
  <c r="CZ137" i="1"/>
  <c r="DA137" i="1"/>
  <c r="CZ129" i="1"/>
  <c r="DA129" i="1"/>
  <c r="CZ121" i="1"/>
  <c r="DA121" i="1"/>
  <c r="CZ113" i="1"/>
  <c r="DA113" i="1"/>
  <c r="DA105" i="1"/>
  <c r="CZ105" i="1"/>
  <c r="CZ97" i="1"/>
  <c r="DA97" i="1"/>
  <c r="CZ89" i="1"/>
  <c r="DA89" i="1"/>
  <c r="CZ81" i="1"/>
  <c r="DA81" i="1"/>
  <c r="CZ73" i="1"/>
  <c r="DA73" i="1"/>
  <c r="CZ65" i="1"/>
  <c r="DA65" i="1"/>
  <c r="DA57" i="1"/>
  <c r="CZ57" i="1"/>
  <c r="DA49" i="1"/>
  <c r="CZ49" i="1"/>
  <c r="DA33" i="1"/>
  <c r="CZ33" i="1"/>
  <c r="DA25" i="1"/>
  <c r="CZ25" i="1"/>
  <c r="DA17" i="1"/>
  <c r="CZ17" i="1"/>
  <c r="DA9" i="1"/>
  <c r="CZ9" i="1"/>
  <c r="DE146" i="1"/>
  <c r="DD146" i="1"/>
  <c r="DE138" i="1"/>
  <c r="DD138" i="1"/>
  <c r="DD130" i="1"/>
  <c r="DE130" i="1"/>
  <c r="DE122" i="1"/>
  <c r="DD122" i="1"/>
  <c r="DE114" i="1"/>
  <c r="DD114" i="1"/>
  <c r="DE106" i="1"/>
  <c r="DD106" i="1"/>
  <c r="DD90" i="1"/>
  <c r="DE90" i="1"/>
  <c r="DD82" i="1"/>
  <c r="DE82" i="1"/>
  <c r="DE74" i="1"/>
  <c r="DD74" i="1"/>
  <c r="DE66" i="1"/>
  <c r="DD66" i="1"/>
  <c r="DE58" i="1"/>
  <c r="DD58" i="1"/>
  <c r="DE50" i="1"/>
  <c r="DD50" i="1"/>
  <c r="DE42" i="1"/>
  <c r="DD42" i="1"/>
  <c r="DE34" i="1"/>
  <c r="DD34" i="1"/>
  <c r="DE26" i="1"/>
  <c r="DD26" i="1"/>
  <c r="DE18" i="1"/>
  <c r="DD18" i="1"/>
  <c r="DE10" i="1"/>
  <c r="DD10" i="1"/>
  <c r="DI2" i="1"/>
  <c r="DH2" i="1"/>
  <c r="DI139" i="1"/>
  <c r="DH139" i="1"/>
  <c r="DI131" i="1"/>
  <c r="DH131" i="1"/>
  <c r="DI123" i="1"/>
  <c r="DH123" i="1"/>
  <c r="DI115" i="1"/>
  <c r="DH115" i="1"/>
  <c r="DI107" i="1"/>
  <c r="DH107" i="1"/>
  <c r="DI99" i="1"/>
  <c r="DH99" i="1"/>
  <c r="DI91" i="1"/>
  <c r="DH91" i="1"/>
  <c r="DI83" i="1"/>
  <c r="DH83" i="1"/>
  <c r="DI75" i="1"/>
  <c r="DH75" i="1"/>
  <c r="DH67" i="1"/>
  <c r="DI67" i="1"/>
  <c r="DI59" i="1"/>
  <c r="DH59" i="1"/>
  <c r="DH51" i="1"/>
  <c r="DI51" i="1"/>
  <c r="DI43" i="1"/>
  <c r="DH43" i="1"/>
  <c r="DI35" i="1"/>
  <c r="DH35" i="1"/>
  <c r="DI27" i="1"/>
  <c r="DH27" i="1"/>
  <c r="DI19" i="1"/>
  <c r="DH19" i="1"/>
  <c r="DI11" i="1"/>
  <c r="DH11" i="1"/>
  <c r="DI3" i="1"/>
  <c r="DH3" i="1"/>
  <c r="BU60" i="1"/>
  <c r="CC43" i="1"/>
  <c r="CF28" i="1"/>
  <c r="CG140" i="1"/>
  <c r="CG4" i="1"/>
  <c r="DA24" i="1"/>
  <c r="CZ24" i="1"/>
  <c r="DA16" i="1"/>
  <c r="CZ16" i="1"/>
  <c r="DA8" i="1"/>
  <c r="CZ8" i="1"/>
  <c r="DD145" i="1"/>
  <c r="DE145" i="1"/>
  <c r="DE137" i="1"/>
  <c r="DD137" i="1"/>
  <c r="DD129" i="1"/>
  <c r="DE129" i="1"/>
  <c r="DD121" i="1"/>
  <c r="DE121" i="1"/>
  <c r="DD113" i="1"/>
  <c r="DE113" i="1"/>
  <c r="DE105" i="1"/>
  <c r="DD105" i="1"/>
  <c r="DD97" i="1"/>
  <c r="DE97" i="1"/>
  <c r="DE89" i="1"/>
  <c r="DD89" i="1"/>
  <c r="DE81" i="1"/>
  <c r="DD81" i="1"/>
  <c r="DE73" i="1"/>
  <c r="DD73" i="1"/>
  <c r="DE65" i="1"/>
  <c r="DD65" i="1"/>
  <c r="DE57" i="1"/>
  <c r="DD57" i="1"/>
  <c r="DE49" i="1"/>
  <c r="DD49" i="1"/>
  <c r="DE41" i="1"/>
  <c r="DD41" i="1"/>
  <c r="DE33" i="1"/>
  <c r="DD33" i="1"/>
  <c r="DE25" i="1"/>
  <c r="DD25" i="1"/>
  <c r="DE17" i="1"/>
  <c r="DD17" i="1"/>
  <c r="DE9" i="1"/>
  <c r="DD9" i="1"/>
  <c r="DI146" i="1"/>
  <c r="DH146" i="1"/>
  <c r="DI138" i="1"/>
  <c r="DH138" i="1"/>
  <c r="DI130" i="1"/>
  <c r="DH130" i="1"/>
  <c r="DI122" i="1"/>
  <c r="DH122" i="1"/>
  <c r="DI114" i="1"/>
  <c r="DH114" i="1"/>
  <c r="DI106" i="1"/>
  <c r="DH106" i="1"/>
  <c r="DI98" i="1"/>
  <c r="DH98" i="1"/>
  <c r="DI90" i="1"/>
  <c r="DH90" i="1"/>
  <c r="DI82" i="1"/>
  <c r="DH82" i="1"/>
  <c r="DI74" i="1"/>
  <c r="DH74" i="1"/>
  <c r="DH66" i="1"/>
  <c r="DI66" i="1"/>
  <c r="DH58" i="1"/>
  <c r="DI58" i="1"/>
  <c r="DH50" i="1"/>
  <c r="DI50" i="1"/>
  <c r="DH42" i="1"/>
  <c r="DI42" i="1"/>
  <c r="DH34" i="1"/>
  <c r="DI34" i="1"/>
  <c r="DI26" i="1"/>
  <c r="DH26" i="1"/>
  <c r="DI18" i="1"/>
  <c r="DH18" i="1"/>
  <c r="DI10" i="1"/>
  <c r="DH10" i="1"/>
  <c r="DM2" i="1"/>
  <c r="DL2" i="1"/>
  <c r="CC115" i="1"/>
  <c r="CJ77" i="1"/>
  <c r="CK85" i="1"/>
  <c r="CO30" i="1"/>
  <c r="DM42" i="1"/>
  <c r="DL42" i="1"/>
  <c r="DM34" i="1"/>
  <c r="DL34" i="1"/>
  <c r="DM26" i="1"/>
  <c r="DL26" i="1"/>
  <c r="DL18" i="1"/>
  <c r="DM18" i="1"/>
  <c r="DL10" i="1"/>
  <c r="DM10" i="1"/>
  <c r="DQ2" i="1"/>
  <c r="DP2" i="1"/>
  <c r="DQ139" i="1"/>
  <c r="DP139" i="1"/>
  <c r="DQ131" i="1"/>
  <c r="DP131" i="1"/>
  <c r="DQ123" i="1"/>
  <c r="DP123" i="1"/>
  <c r="DQ115" i="1"/>
  <c r="DP115" i="1"/>
  <c r="DQ107" i="1"/>
  <c r="DP107" i="1"/>
  <c r="DQ99" i="1"/>
  <c r="DP99" i="1"/>
  <c r="DQ91" i="1"/>
  <c r="DP91" i="1"/>
  <c r="DQ83" i="1"/>
  <c r="DP83" i="1"/>
  <c r="DQ75" i="1"/>
  <c r="DP75" i="1"/>
  <c r="DQ67" i="1"/>
  <c r="DP67" i="1"/>
  <c r="DQ59" i="1"/>
  <c r="DP59" i="1"/>
  <c r="DQ51" i="1"/>
  <c r="DP51" i="1"/>
  <c r="DQ43" i="1"/>
  <c r="DP43" i="1"/>
  <c r="DQ35" i="1"/>
  <c r="DP35" i="1"/>
  <c r="DQ27" i="1"/>
  <c r="DP27" i="1"/>
  <c r="DQ19" i="1"/>
  <c r="DP19" i="1"/>
  <c r="DQ11" i="1"/>
  <c r="DP11" i="1"/>
  <c r="DQ3" i="1"/>
  <c r="DP3" i="1"/>
  <c r="DT140" i="1"/>
  <c r="DU140" i="1"/>
  <c r="DT124" i="1"/>
  <c r="DU124" i="1"/>
  <c r="DT116" i="1"/>
  <c r="DU116" i="1"/>
  <c r="DT108" i="1"/>
  <c r="DU108" i="1"/>
  <c r="DT100" i="1"/>
  <c r="DU100" i="1"/>
  <c r="DT92" i="1"/>
  <c r="DU92" i="1"/>
  <c r="DU84" i="1"/>
  <c r="DT84" i="1"/>
  <c r="DU76" i="1"/>
  <c r="DT76" i="1"/>
  <c r="DU68" i="1"/>
  <c r="DT68" i="1"/>
  <c r="DU60" i="1"/>
  <c r="DT60" i="1"/>
  <c r="DU52" i="1"/>
  <c r="DT52" i="1"/>
  <c r="DU44" i="1"/>
  <c r="DT44" i="1"/>
  <c r="DU36" i="1"/>
  <c r="DT36" i="1"/>
  <c r="DU28" i="1"/>
  <c r="DT28" i="1"/>
  <c r="DU20" i="1"/>
  <c r="DT20" i="1"/>
  <c r="DU12" i="1"/>
  <c r="DT12" i="1"/>
  <c r="DU4" i="1"/>
  <c r="DT4" i="1"/>
  <c r="CB2" i="1"/>
  <c r="CC91" i="1"/>
  <c r="CC35" i="1"/>
  <c r="CK66" i="1"/>
  <c r="CJ66" i="1"/>
  <c r="CK58" i="1"/>
  <c r="CJ58" i="1"/>
  <c r="CK50" i="1"/>
  <c r="CJ50" i="1"/>
  <c r="CK42" i="1"/>
  <c r="CJ42" i="1"/>
  <c r="CK34" i="1"/>
  <c r="CK26" i="1"/>
  <c r="CJ18" i="1"/>
  <c r="CK10" i="1"/>
  <c r="CO2" i="1"/>
  <c r="CO139" i="1"/>
  <c r="CN139" i="1"/>
  <c r="CO123" i="1"/>
  <c r="CN123" i="1"/>
  <c r="CO115" i="1"/>
  <c r="CO107" i="1"/>
  <c r="CN107" i="1"/>
  <c r="CN99" i="1"/>
  <c r="CN91" i="1"/>
  <c r="CO83" i="1"/>
  <c r="CN75" i="1"/>
  <c r="CO75" i="1"/>
  <c r="CN67" i="1"/>
  <c r="CO59" i="1"/>
  <c r="CN59" i="1"/>
  <c r="CO51" i="1"/>
  <c r="CO43" i="1"/>
  <c r="CN35" i="1"/>
  <c r="CO27" i="1"/>
  <c r="CN27" i="1"/>
  <c r="CO19" i="1"/>
  <c r="CN19" i="1"/>
  <c r="CO11" i="1"/>
  <c r="CN11" i="1"/>
  <c r="CO3" i="1"/>
  <c r="CS140" i="1"/>
  <c r="CS132" i="1"/>
  <c r="CR132" i="1"/>
  <c r="CS124" i="1"/>
  <c r="CR124" i="1"/>
  <c r="CR116" i="1"/>
  <c r="CS116" i="1"/>
  <c r="CS108" i="1"/>
  <c r="CS100" i="1"/>
  <c r="CR100" i="1"/>
  <c r="CS92" i="1"/>
  <c r="CR92" i="1"/>
  <c r="CS84" i="1"/>
  <c r="CR84" i="1"/>
  <c r="CR76" i="1"/>
  <c r="CS76" i="1"/>
  <c r="CR68" i="1"/>
  <c r="CS68" i="1"/>
  <c r="CS60" i="1"/>
  <c r="CR60" i="1"/>
  <c r="CS44" i="1"/>
  <c r="CR44" i="1"/>
  <c r="CR36" i="1"/>
  <c r="CS36" i="1"/>
  <c r="CS28" i="1"/>
  <c r="CR28" i="1"/>
  <c r="CS12" i="1"/>
  <c r="CR12" i="1"/>
  <c r="CR4" i="1"/>
  <c r="CS4" i="1"/>
  <c r="CW133" i="1"/>
  <c r="CV133" i="1"/>
  <c r="CW117" i="1"/>
  <c r="CV117" i="1"/>
  <c r="CV101" i="1"/>
  <c r="CW101" i="1"/>
  <c r="CW93" i="1"/>
  <c r="CV93" i="1"/>
  <c r="CV85" i="1"/>
  <c r="CW85" i="1"/>
  <c r="CV77" i="1"/>
  <c r="CW77" i="1"/>
  <c r="CW69" i="1"/>
  <c r="CV69" i="1"/>
  <c r="CV61" i="1"/>
  <c r="CW61" i="1"/>
  <c r="CV53" i="1"/>
  <c r="CW53" i="1"/>
  <c r="CV45" i="1"/>
  <c r="CW45" i="1"/>
  <c r="CV37" i="1"/>
  <c r="CW37" i="1"/>
  <c r="CW21" i="1"/>
  <c r="CV21" i="1"/>
  <c r="CV5" i="1"/>
  <c r="CW5" i="1"/>
  <c r="DA142" i="1"/>
  <c r="CZ142" i="1"/>
  <c r="DA134" i="1"/>
  <c r="CZ134" i="1"/>
  <c r="DA126" i="1"/>
  <c r="CZ126" i="1"/>
  <c r="DA118" i="1"/>
  <c r="CZ118" i="1"/>
  <c r="DA110" i="1"/>
  <c r="CZ110" i="1"/>
  <c r="DA102" i="1"/>
  <c r="CZ102" i="1"/>
  <c r="CZ94" i="1"/>
  <c r="DA94" i="1"/>
  <c r="DA86" i="1"/>
  <c r="CZ86" i="1"/>
  <c r="DA78" i="1"/>
  <c r="CZ78" i="1"/>
  <c r="DA70" i="1"/>
  <c r="CZ70" i="1"/>
  <c r="DA62" i="1"/>
  <c r="CZ62" i="1"/>
  <c r="CZ54" i="1"/>
  <c r="DA54" i="1"/>
  <c r="CZ46" i="1"/>
  <c r="DA46" i="1"/>
  <c r="CZ38" i="1"/>
  <c r="DA38" i="1"/>
  <c r="DA22" i="1"/>
  <c r="CZ22" i="1"/>
  <c r="DA14" i="1"/>
  <c r="CZ14" i="1"/>
  <c r="DA6" i="1"/>
  <c r="CZ6" i="1"/>
  <c r="DD143" i="1"/>
  <c r="DE143" i="1"/>
  <c r="DE135" i="1"/>
  <c r="DD135" i="1"/>
  <c r="DE127" i="1"/>
  <c r="DD127" i="1"/>
  <c r="DD111" i="1"/>
  <c r="DE111" i="1"/>
  <c r="DD103" i="1"/>
  <c r="DE103" i="1"/>
  <c r="DE95" i="1"/>
  <c r="DD95" i="1"/>
  <c r="DD79" i="1"/>
  <c r="DE79" i="1"/>
  <c r="DE71" i="1"/>
  <c r="DD71" i="1"/>
  <c r="DD63" i="1"/>
  <c r="DE63" i="1"/>
  <c r="DE55" i="1"/>
  <c r="DD55" i="1"/>
  <c r="DD47" i="1"/>
  <c r="DE47" i="1"/>
  <c r="DE39" i="1"/>
  <c r="DD39" i="1"/>
  <c r="DD31" i="1"/>
  <c r="DE31" i="1"/>
  <c r="DD23" i="1"/>
  <c r="DE23" i="1"/>
  <c r="DD15" i="1"/>
  <c r="DE15" i="1"/>
  <c r="DE7" i="1"/>
  <c r="DD7" i="1"/>
  <c r="DH144" i="1"/>
  <c r="DI144" i="1"/>
  <c r="DH136" i="1"/>
  <c r="DI136" i="1"/>
  <c r="DH128" i="1"/>
  <c r="DI128" i="1"/>
  <c r="DH120" i="1"/>
  <c r="DI120" i="1"/>
  <c r="DH112" i="1"/>
  <c r="DI112" i="1"/>
  <c r="DH104" i="1"/>
  <c r="DI104" i="1"/>
  <c r="DH96" i="1"/>
  <c r="DI96" i="1"/>
  <c r="DH88" i="1"/>
  <c r="DI88" i="1"/>
  <c r="DI80" i="1"/>
  <c r="DH80" i="1"/>
  <c r="DH72" i="1"/>
  <c r="DI72" i="1"/>
  <c r="DH64" i="1"/>
  <c r="DI64" i="1"/>
  <c r="DH56" i="1"/>
  <c r="DI56" i="1"/>
  <c r="DH48" i="1"/>
  <c r="DI48" i="1"/>
  <c r="DH40" i="1"/>
  <c r="DI40" i="1"/>
  <c r="DH32" i="1"/>
  <c r="DI32" i="1"/>
  <c r="DH24" i="1"/>
  <c r="DI24" i="1"/>
  <c r="DI16" i="1"/>
  <c r="DH16" i="1"/>
  <c r="DH8" i="1"/>
  <c r="DI8" i="1"/>
  <c r="DM145" i="1"/>
  <c r="DL145" i="1"/>
  <c r="DL137" i="1"/>
  <c r="DM137" i="1"/>
  <c r="DL129" i="1"/>
  <c r="DM129" i="1"/>
  <c r="DM121" i="1"/>
  <c r="DL121" i="1"/>
  <c r="DM113" i="1"/>
  <c r="DL113" i="1"/>
  <c r="DM105" i="1"/>
  <c r="DL105" i="1"/>
  <c r="DM97" i="1"/>
  <c r="DL97" i="1"/>
  <c r="DM89" i="1"/>
  <c r="DL89" i="1"/>
  <c r="DM81" i="1"/>
  <c r="DL81" i="1"/>
  <c r="DM73" i="1"/>
  <c r="DL73" i="1"/>
  <c r="DM65" i="1"/>
  <c r="DL65" i="1"/>
  <c r="DM57" i="1"/>
  <c r="DL57" i="1"/>
  <c r="DM49" i="1"/>
  <c r="DL49" i="1"/>
  <c r="DM41" i="1"/>
  <c r="DL41" i="1"/>
  <c r="DM33" i="1"/>
  <c r="DL33" i="1"/>
  <c r="DM25" i="1"/>
  <c r="DL25" i="1"/>
  <c r="DM17" i="1"/>
  <c r="DL17" i="1"/>
  <c r="DM9" i="1"/>
  <c r="DL9" i="1"/>
  <c r="DQ146" i="1"/>
  <c r="DP146" i="1"/>
  <c r="DQ138" i="1"/>
  <c r="DP138" i="1"/>
  <c r="DQ130" i="1"/>
  <c r="DP130" i="1"/>
  <c r="DQ122" i="1"/>
  <c r="DP122" i="1"/>
  <c r="DQ114" i="1"/>
  <c r="DP114" i="1"/>
  <c r="DQ106" i="1"/>
  <c r="DP106" i="1"/>
  <c r="DQ98" i="1"/>
  <c r="DP98" i="1"/>
  <c r="DQ90" i="1"/>
  <c r="DP90" i="1"/>
  <c r="DQ82" i="1"/>
  <c r="DP82" i="1"/>
  <c r="DQ74" i="1"/>
  <c r="DP74" i="1"/>
  <c r="DQ66" i="1"/>
  <c r="DP66" i="1"/>
  <c r="DQ58" i="1"/>
  <c r="DP58" i="1"/>
  <c r="DQ50" i="1"/>
  <c r="DP50" i="1"/>
  <c r="DQ42" i="1"/>
  <c r="DP42" i="1"/>
  <c r="DQ34" i="1"/>
  <c r="DP34" i="1"/>
  <c r="DQ26" i="1"/>
  <c r="DP26" i="1"/>
  <c r="DQ18" i="1"/>
  <c r="DP18" i="1"/>
  <c r="DQ10" i="1"/>
  <c r="DP10" i="1"/>
  <c r="DT2" i="1"/>
  <c r="DU2" i="1"/>
  <c r="DT139" i="1"/>
  <c r="DU139" i="1"/>
  <c r="DT131" i="1"/>
  <c r="DU131" i="1"/>
  <c r="DT123" i="1"/>
  <c r="DU123" i="1"/>
  <c r="DT115" i="1"/>
  <c r="DU115" i="1"/>
  <c r="DT107" i="1"/>
  <c r="DU107" i="1"/>
  <c r="DT99" i="1"/>
  <c r="DU99" i="1"/>
  <c r="DT91" i="1"/>
  <c r="DU91" i="1"/>
  <c r="DU83" i="1"/>
  <c r="DT83" i="1"/>
  <c r="DU75" i="1"/>
  <c r="DT75" i="1"/>
  <c r="DT67" i="1"/>
  <c r="DU67" i="1"/>
  <c r="DT59" i="1"/>
  <c r="DU59" i="1"/>
  <c r="DT51" i="1"/>
  <c r="DU51" i="1"/>
  <c r="DU43" i="1"/>
  <c r="DT43" i="1"/>
  <c r="DU35" i="1"/>
  <c r="DT35" i="1"/>
  <c r="DU27" i="1"/>
  <c r="DT27" i="1"/>
  <c r="DU19" i="1"/>
  <c r="DT19" i="1"/>
  <c r="DU11" i="1"/>
  <c r="DT11" i="1"/>
  <c r="DU3" i="1"/>
  <c r="DT3" i="1"/>
  <c r="BX18" i="1"/>
  <c r="CC3" i="1"/>
  <c r="CF116" i="1"/>
  <c r="CF12" i="1"/>
  <c r="CG92" i="1"/>
  <c r="CG60" i="1"/>
  <c r="CJ29" i="1"/>
  <c r="CK5" i="1"/>
  <c r="CN118" i="1"/>
  <c r="CN83" i="1"/>
  <c r="CN46" i="1"/>
  <c r="CK97" i="1"/>
  <c r="CJ97" i="1"/>
  <c r="CK81" i="1"/>
  <c r="CJ81" i="1"/>
  <c r="CK73" i="1"/>
  <c r="CJ73" i="1"/>
  <c r="CK65" i="1"/>
  <c r="CJ65" i="1"/>
  <c r="CK57" i="1"/>
  <c r="CJ57" i="1"/>
  <c r="CK49" i="1"/>
  <c r="CJ49" i="1"/>
  <c r="CK41" i="1"/>
  <c r="CJ41" i="1"/>
  <c r="CK33" i="1"/>
  <c r="CJ33" i="1"/>
  <c r="CJ25" i="1"/>
  <c r="CK17" i="1"/>
  <c r="CJ9" i="1"/>
  <c r="CN146" i="1"/>
  <c r="CO138" i="1"/>
  <c r="CN130" i="1"/>
  <c r="CO122" i="1"/>
  <c r="CO114" i="1"/>
  <c r="CN114" i="1"/>
  <c r="CN106" i="1"/>
  <c r="CO106" i="1"/>
  <c r="CN98" i="1"/>
  <c r="CO98" i="1"/>
  <c r="CN90" i="1"/>
  <c r="CO90" i="1"/>
  <c r="CN82" i="1"/>
  <c r="CO82" i="1"/>
  <c r="CN74" i="1"/>
  <c r="CO74" i="1"/>
  <c r="CN66" i="1"/>
  <c r="CO66" i="1"/>
  <c r="CN58" i="1"/>
  <c r="CO58" i="1"/>
  <c r="CN50" i="1"/>
  <c r="CO50" i="1"/>
  <c r="CN42" i="1"/>
  <c r="CO42" i="1"/>
  <c r="CN26" i="1"/>
  <c r="CO26" i="1"/>
  <c r="CN18" i="1"/>
  <c r="CO18" i="1"/>
  <c r="CO10" i="1"/>
  <c r="CN10" i="1"/>
  <c r="CS139" i="1"/>
  <c r="CR139" i="1"/>
  <c r="CS131" i="1"/>
  <c r="CR131" i="1"/>
  <c r="CS123" i="1"/>
  <c r="CR123" i="1"/>
  <c r="CR115" i="1"/>
  <c r="CS115" i="1"/>
  <c r="CR107" i="1"/>
  <c r="CS107" i="1"/>
  <c r="CR99" i="1"/>
  <c r="CS99" i="1"/>
  <c r="CS83" i="1"/>
  <c r="CR83" i="1"/>
  <c r="CS75" i="1"/>
  <c r="CR67" i="1"/>
  <c r="CS67" i="1"/>
  <c r="CS59" i="1"/>
  <c r="CR59" i="1"/>
  <c r="CR51" i="1"/>
  <c r="CS51" i="1"/>
  <c r="CR43" i="1"/>
  <c r="CS43" i="1"/>
  <c r="CR27" i="1"/>
  <c r="CS27" i="1"/>
  <c r="CR11" i="1"/>
  <c r="CS11" i="1"/>
  <c r="CS3" i="1"/>
  <c r="CR3" i="1"/>
  <c r="CV140" i="1"/>
  <c r="CW140" i="1"/>
  <c r="CV132" i="1"/>
  <c r="CW132" i="1"/>
  <c r="CW108" i="1"/>
  <c r="CV108" i="1"/>
  <c r="CV100" i="1"/>
  <c r="CW100" i="1"/>
  <c r="CV92" i="1"/>
  <c r="CW92" i="1"/>
  <c r="CV84" i="1"/>
  <c r="CW84" i="1"/>
  <c r="CW76" i="1"/>
  <c r="CV76" i="1"/>
  <c r="CW68" i="1"/>
  <c r="CV68" i="1"/>
  <c r="CV60" i="1"/>
  <c r="CW60" i="1"/>
  <c r="CV52" i="1"/>
  <c r="CW52" i="1"/>
  <c r="CV44" i="1"/>
  <c r="CW44" i="1"/>
  <c r="CW36" i="1"/>
  <c r="CV36" i="1"/>
  <c r="CV28" i="1"/>
  <c r="CW28" i="1"/>
  <c r="CW20" i="1"/>
  <c r="CV20" i="1"/>
  <c r="CV4" i="1"/>
  <c r="CW4" i="1"/>
  <c r="CZ141" i="1"/>
  <c r="DA141" i="1"/>
  <c r="DA133" i="1"/>
  <c r="CZ133" i="1"/>
  <c r="DA125" i="1"/>
  <c r="CZ125" i="1"/>
  <c r="DA117" i="1"/>
  <c r="CZ117" i="1"/>
  <c r="DA109" i="1"/>
  <c r="CZ109" i="1"/>
  <c r="DA101" i="1"/>
  <c r="CZ101" i="1"/>
  <c r="CZ93" i="1"/>
  <c r="DA93" i="1"/>
  <c r="CZ85" i="1"/>
  <c r="DA85" i="1"/>
  <c r="DA77" i="1"/>
  <c r="CZ77" i="1"/>
  <c r="DA69" i="1"/>
  <c r="CZ69" i="1"/>
  <c r="DA61" i="1"/>
  <c r="CZ61" i="1"/>
  <c r="CZ53" i="1"/>
  <c r="DA53" i="1"/>
  <c r="CZ45" i="1"/>
  <c r="DA45" i="1"/>
  <c r="CZ37" i="1"/>
  <c r="DA37" i="1"/>
  <c r="DA29" i="1"/>
  <c r="CZ29" i="1"/>
  <c r="CZ21" i="1"/>
  <c r="DA21" i="1"/>
  <c r="DA13" i="1"/>
  <c r="CZ13" i="1"/>
  <c r="DA5" i="1"/>
  <c r="CZ5" i="1"/>
  <c r="DD134" i="1"/>
  <c r="DE134" i="1"/>
  <c r="DD118" i="1"/>
  <c r="DE118" i="1"/>
  <c r="DD110" i="1"/>
  <c r="DE110" i="1"/>
  <c r="DD102" i="1"/>
  <c r="DE102" i="1"/>
  <c r="DE94" i="1"/>
  <c r="DD94" i="1"/>
  <c r="DE70" i="1"/>
  <c r="DD70" i="1"/>
  <c r="DE62" i="1"/>
  <c r="DD62" i="1"/>
  <c r="DE54" i="1"/>
  <c r="DD54" i="1"/>
  <c r="DE46" i="1"/>
  <c r="DD46" i="1"/>
  <c r="DE38" i="1"/>
  <c r="DD38" i="1"/>
  <c r="DE30" i="1"/>
  <c r="DD30" i="1"/>
  <c r="DE22" i="1"/>
  <c r="DD22" i="1"/>
  <c r="DE14" i="1"/>
  <c r="DD14" i="1"/>
  <c r="DH143" i="1"/>
  <c r="DI143" i="1"/>
  <c r="DI135" i="1"/>
  <c r="DH135" i="1"/>
  <c r="DH127" i="1"/>
  <c r="DI127" i="1"/>
  <c r="DI119" i="1"/>
  <c r="DH119" i="1"/>
  <c r="DH111" i="1"/>
  <c r="DI111" i="1"/>
  <c r="DI103" i="1"/>
  <c r="DH103" i="1"/>
  <c r="DH95" i="1"/>
  <c r="DI95" i="1"/>
  <c r="DI87" i="1"/>
  <c r="DH87" i="1"/>
  <c r="DI79" i="1"/>
  <c r="DH79" i="1"/>
  <c r="DI71" i="1"/>
  <c r="DH71" i="1"/>
  <c r="DI63" i="1"/>
  <c r="DH63" i="1"/>
  <c r="DI55" i="1"/>
  <c r="DH55" i="1"/>
  <c r="DI47" i="1"/>
  <c r="DH47" i="1"/>
  <c r="DI39" i="1"/>
  <c r="DH39" i="1"/>
  <c r="DI31" i="1"/>
  <c r="DH31" i="1"/>
  <c r="DH23" i="1"/>
  <c r="DI23" i="1"/>
  <c r="DH15" i="1"/>
  <c r="DI15" i="1"/>
  <c r="DI7" i="1"/>
  <c r="DH7" i="1"/>
  <c r="DL144" i="1"/>
  <c r="DM144" i="1"/>
  <c r="DM136" i="1"/>
  <c r="DL136" i="1"/>
  <c r="DL128" i="1"/>
  <c r="DM128" i="1"/>
  <c r="DM120" i="1"/>
  <c r="DL120" i="1"/>
  <c r="DM112" i="1"/>
  <c r="DL112" i="1"/>
  <c r="DM104" i="1"/>
  <c r="DL104" i="1"/>
  <c r="DM96" i="1"/>
  <c r="DL96" i="1"/>
  <c r="DL88" i="1"/>
  <c r="DM88" i="1"/>
  <c r="DM80" i="1"/>
  <c r="DL80" i="1"/>
  <c r="DM72" i="1"/>
  <c r="DL72" i="1"/>
  <c r="DM64" i="1"/>
  <c r="DL64" i="1"/>
  <c r="DM56" i="1"/>
  <c r="DL56" i="1"/>
  <c r="DM48" i="1"/>
  <c r="DL48" i="1"/>
  <c r="DM40" i="1"/>
  <c r="DL40" i="1"/>
  <c r="DM32" i="1"/>
  <c r="DL32" i="1"/>
  <c r="DM24" i="1"/>
  <c r="DL24" i="1"/>
  <c r="DM16" i="1"/>
  <c r="DL16" i="1"/>
  <c r="DM8" i="1"/>
  <c r="DL8" i="1"/>
  <c r="DQ145" i="1"/>
  <c r="DP145" i="1"/>
  <c r="DQ137" i="1"/>
  <c r="DP137" i="1"/>
  <c r="DQ129" i="1"/>
  <c r="DP129" i="1"/>
  <c r="DQ121" i="1"/>
  <c r="DP121" i="1"/>
  <c r="DQ113" i="1"/>
  <c r="DP113" i="1"/>
  <c r="DQ105" i="1"/>
  <c r="DP105" i="1"/>
  <c r="DQ97" i="1"/>
  <c r="DP97" i="1"/>
  <c r="DQ89" i="1"/>
  <c r="DP89" i="1"/>
  <c r="DQ81" i="1"/>
  <c r="DP81" i="1"/>
  <c r="DQ73" i="1"/>
  <c r="DP73" i="1"/>
  <c r="DQ65" i="1"/>
  <c r="DP65" i="1"/>
  <c r="DQ57" i="1"/>
  <c r="DP57" i="1"/>
  <c r="DQ49" i="1"/>
  <c r="DP49" i="1"/>
  <c r="DQ41" i="1"/>
  <c r="DP41" i="1"/>
  <c r="DQ33" i="1"/>
  <c r="DP33" i="1"/>
  <c r="DQ25" i="1"/>
  <c r="DP25" i="1"/>
  <c r="DQ17" i="1"/>
  <c r="DP17" i="1"/>
  <c r="DQ9" i="1"/>
  <c r="DP9" i="1"/>
  <c r="DT146" i="1"/>
  <c r="DU146" i="1"/>
  <c r="DT138" i="1"/>
  <c r="DU138" i="1"/>
  <c r="DU130" i="1"/>
  <c r="DT130" i="1"/>
  <c r="DT122" i="1"/>
  <c r="DU122" i="1"/>
  <c r="DT114" i="1"/>
  <c r="DU114" i="1"/>
  <c r="DT106" i="1"/>
  <c r="DU106" i="1"/>
  <c r="DT98" i="1"/>
  <c r="DU98" i="1"/>
  <c r="DT90" i="1"/>
  <c r="DU90" i="1"/>
  <c r="DT82" i="1"/>
  <c r="DU82" i="1"/>
  <c r="DT74" i="1"/>
  <c r="DU74" i="1"/>
  <c r="DT66" i="1"/>
  <c r="DU66" i="1"/>
  <c r="DU58" i="1"/>
  <c r="DT58" i="1"/>
  <c r="DU50" i="1"/>
  <c r="DT50" i="1"/>
  <c r="DU42" i="1"/>
  <c r="DT42" i="1"/>
  <c r="DU34" i="1"/>
  <c r="DT34" i="1"/>
  <c r="DU26" i="1"/>
  <c r="DT26" i="1"/>
  <c r="DU18" i="1"/>
  <c r="DT18" i="1"/>
  <c r="DU10" i="1"/>
  <c r="DT10" i="1"/>
  <c r="BU68" i="1"/>
  <c r="BT68" i="1"/>
  <c r="CC107" i="1"/>
  <c r="CG124" i="1"/>
  <c r="CG20" i="1"/>
  <c r="CJ133" i="1"/>
  <c r="CK141" i="1"/>
  <c r="CK37" i="1"/>
  <c r="CN3" i="1"/>
  <c r="CO67" i="1"/>
  <c r="CR75" i="1"/>
  <c r="CG15" i="1"/>
  <c r="CF15" i="1"/>
  <c r="CG7" i="1"/>
  <c r="CF7" i="1"/>
  <c r="CK144" i="1"/>
  <c r="CJ144" i="1"/>
  <c r="CK136" i="1"/>
  <c r="CJ136" i="1"/>
  <c r="CJ128" i="1"/>
  <c r="CJ120" i="1"/>
  <c r="CK112" i="1"/>
  <c r="CJ104" i="1"/>
  <c r="CK96" i="1"/>
  <c r="CJ88" i="1"/>
  <c r="CK80" i="1"/>
  <c r="CK72" i="1"/>
  <c r="CJ72" i="1"/>
  <c r="CK64" i="1"/>
  <c r="CJ64" i="1"/>
  <c r="CK56" i="1"/>
  <c r="CJ56" i="1"/>
  <c r="CK48" i="1"/>
  <c r="CJ48" i="1"/>
  <c r="CK32" i="1"/>
  <c r="CJ32" i="1"/>
  <c r="CK24" i="1"/>
  <c r="CJ24" i="1"/>
  <c r="CK16" i="1"/>
  <c r="CJ16" i="1"/>
  <c r="CK8" i="1"/>
  <c r="CJ8" i="1"/>
  <c r="CN145" i="1"/>
  <c r="CO145" i="1"/>
  <c r="CN137" i="1"/>
  <c r="CO137" i="1"/>
  <c r="CN129" i="1"/>
  <c r="CO129" i="1"/>
  <c r="CN121" i="1"/>
  <c r="CO121" i="1"/>
  <c r="CN113" i="1"/>
  <c r="CO105" i="1"/>
  <c r="CO97" i="1"/>
  <c r="CO89" i="1"/>
  <c r="CN89" i="1"/>
  <c r="CO81" i="1"/>
  <c r="CO73" i="1"/>
  <c r="CN73" i="1"/>
  <c r="CN65" i="1"/>
  <c r="CO57" i="1"/>
  <c r="CN57" i="1"/>
  <c r="CN49" i="1"/>
  <c r="CO49" i="1"/>
  <c r="CO41" i="1"/>
  <c r="CN41" i="1"/>
  <c r="CO25" i="1"/>
  <c r="CO17" i="1"/>
  <c r="CN17" i="1"/>
  <c r="CO9" i="1"/>
  <c r="CS146" i="1"/>
  <c r="CR146" i="1"/>
  <c r="CS138" i="1"/>
  <c r="CR138" i="1"/>
  <c r="CS130" i="1"/>
  <c r="CR130" i="1"/>
  <c r="CS122" i="1"/>
  <c r="CR122" i="1"/>
  <c r="CS114" i="1"/>
  <c r="CR114" i="1"/>
  <c r="CS106" i="1"/>
  <c r="CR106" i="1"/>
  <c r="CS98" i="1"/>
  <c r="CR98" i="1"/>
  <c r="CS82" i="1"/>
  <c r="CR82" i="1"/>
  <c r="CS74" i="1"/>
  <c r="CR74" i="1"/>
  <c r="CR66" i="1"/>
  <c r="CS66" i="1"/>
  <c r="CS58" i="1"/>
  <c r="CR58" i="1"/>
  <c r="CS50" i="1"/>
  <c r="CR50" i="1"/>
  <c r="CS42" i="1"/>
  <c r="CR42" i="1"/>
  <c r="CS34" i="1"/>
  <c r="CR34" i="1"/>
  <c r="CS26" i="1"/>
  <c r="CR26" i="1"/>
  <c r="CW2" i="1"/>
  <c r="CV2" i="1"/>
  <c r="CW139" i="1"/>
  <c r="CV139" i="1"/>
  <c r="CW131" i="1"/>
  <c r="CV131" i="1"/>
  <c r="CV123" i="1"/>
  <c r="CW123" i="1"/>
  <c r="CW107" i="1"/>
  <c r="CV107" i="1"/>
  <c r="CV99" i="1"/>
  <c r="CW99" i="1"/>
  <c r="CV91" i="1"/>
  <c r="CW91" i="1"/>
  <c r="CV83" i="1"/>
  <c r="CW83" i="1"/>
  <c r="CW59" i="1"/>
  <c r="CV59" i="1"/>
  <c r="CW51" i="1"/>
  <c r="CV51" i="1"/>
  <c r="CV43" i="1"/>
  <c r="CW43" i="1"/>
  <c r="CV35" i="1"/>
  <c r="CW35" i="1"/>
  <c r="CV27" i="1"/>
  <c r="CW27" i="1"/>
  <c r="CW19" i="1"/>
  <c r="CV19" i="1"/>
  <c r="CV3" i="1"/>
  <c r="CW3" i="1"/>
  <c r="DA140" i="1"/>
  <c r="CZ140" i="1"/>
  <c r="DA132" i="1"/>
  <c r="CZ132" i="1"/>
  <c r="DA124" i="1"/>
  <c r="CZ124" i="1"/>
  <c r="DA116" i="1"/>
  <c r="CZ116" i="1"/>
  <c r="DA108" i="1"/>
  <c r="CZ108" i="1"/>
  <c r="DA100" i="1"/>
  <c r="CZ100" i="1"/>
  <c r="CZ92" i="1"/>
  <c r="DA92" i="1"/>
  <c r="DA84" i="1"/>
  <c r="CZ84" i="1"/>
  <c r="DA76" i="1"/>
  <c r="CZ76" i="1"/>
  <c r="DA68" i="1"/>
  <c r="CZ68" i="1"/>
  <c r="DA60" i="1"/>
  <c r="CZ60" i="1"/>
  <c r="DA52" i="1"/>
  <c r="CZ52" i="1"/>
  <c r="DA44" i="1"/>
  <c r="CZ44" i="1"/>
  <c r="CZ36" i="1"/>
  <c r="DA36" i="1"/>
  <c r="DA28" i="1"/>
  <c r="CZ28" i="1"/>
  <c r="CZ20" i="1"/>
  <c r="DA20" i="1"/>
  <c r="DA12" i="1"/>
  <c r="CZ12" i="1"/>
  <c r="DA4" i="1"/>
  <c r="CZ4" i="1"/>
  <c r="DD141" i="1"/>
  <c r="DE141" i="1"/>
  <c r="DE133" i="1"/>
  <c r="DD133" i="1"/>
  <c r="DE125" i="1"/>
  <c r="DD125" i="1"/>
  <c r="DD117" i="1"/>
  <c r="DE117" i="1"/>
  <c r="DE109" i="1"/>
  <c r="DD109" i="1"/>
  <c r="DD93" i="1"/>
  <c r="DE93" i="1"/>
  <c r="DE85" i="1"/>
  <c r="DD85" i="1"/>
  <c r="DD69" i="1"/>
  <c r="DE69" i="1"/>
  <c r="DD61" i="1"/>
  <c r="DE61" i="1"/>
  <c r="DD53" i="1"/>
  <c r="DE53" i="1"/>
  <c r="DD45" i="1"/>
  <c r="DE45" i="1"/>
  <c r="DD37" i="1"/>
  <c r="DE37" i="1"/>
  <c r="DD29" i="1"/>
  <c r="DE29" i="1"/>
  <c r="DD21" i="1"/>
  <c r="DE21" i="1"/>
  <c r="DD13" i="1"/>
  <c r="DE13" i="1"/>
  <c r="DE5" i="1"/>
  <c r="DD5" i="1"/>
  <c r="DI142" i="1"/>
  <c r="DH142" i="1"/>
  <c r="DI134" i="1"/>
  <c r="DH134" i="1"/>
  <c r="DI126" i="1"/>
  <c r="DH126" i="1"/>
  <c r="DI118" i="1"/>
  <c r="DH118" i="1"/>
  <c r="DI110" i="1"/>
  <c r="DH110" i="1"/>
  <c r="DI102" i="1"/>
  <c r="DH102" i="1"/>
  <c r="DI94" i="1"/>
  <c r="DH94" i="1"/>
  <c r="DI86" i="1"/>
  <c r="DH86" i="1"/>
  <c r="DH78" i="1"/>
  <c r="DI78" i="1"/>
  <c r="DH70" i="1"/>
  <c r="DI70" i="1"/>
  <c r="DI62" i="1"/>
  <c r="DH62" i="1"/>
  <c r="DI54" i="1"/>
  <c r="DH54" i="1"/>
  <c r="DI46" i="1"/>
  <c r="DH46" i="1"/>
  <c r="DH38" i="1"/>
  <c r="DI38" i="1"/>
  <c r="DI30" i="1"/>
  <c r="DH30" i="1"/>
  <c r="DI22" i="1"/>
  <c r="DH22" i="1"/>
  <c r="DI14" i="1"/>
  <c r="DH14" i="1"/>
  <c r="DH6" i="1"/>
  <c r="DI6" i="1"/>
  <c r="DM143" i="1"/>
  <c r="DL143" i="1"/>
  <c r="DM135" i="1"/>
  <c r="DL135" i="1"/>
  <c r="DM127" i="1"/>
  <c r="DL127" i="1"/>
  <c r="DM119" i="1"/>
  <c r="DL119" i="1"/>
  <c r="DL111" i="1"/>
  <c r="DM111" i="1"/>
  <c r="DM103" i="1"/>
  <c r="DL103" i="1"/>
  <c r="DM95" i="1"/>
  <c r="DL95" i="1"/>
  <c r="DM87" i="1"/>
  <c r="DL87" i="1"/>
  <c r="DL79" i="1"/>
  <c r="DM79" i="1"/>
  <c r="DL71" i="1"/>
  <c r="DM71" i="1"/>
  <c r="DM63" i="1"/>
  <c r="DL63" i="1"/>
  <c r="DL55" i="1"/>
  <c r="DM55" i="1"/>
  <c r="DL47" i="1"/>
  <c r="DM47" i="1"/>
  <c r="DM39" i="1"/>
  <c r="DL39" i="1"/>
  <c r="DM31" i="1"/>
  <c r="DL31" i="1"/>
  <c r="DM23" i="1"/>
  <c r="DL23" i="1"/>
  <c r="DM15" i="1"/>
  <c r="DL15" i="1"/>
  <c r="DM7" i="1"/>
  <c r="DL7" i="1"/>
  <c r="DP144" i="1"/>
  <c r="DQ144" i="1"/>
  <c r="DP136" i="1"/>
  <c r="DQ136" i="1"/>
  <c r="DP128" i="1"/>
  <c r="DQ128" i="1"/>
  <c r="DP120" i="1"/>
  <c r="DQ120" i="1"/>
  <c r="DP112" i="1"/>
  <c r="DQ112" i="1"/>
  <c r="DP104" i="1"/>
  <c r="DQ104" i="1"/>
  <c r="DP96" i="1"/>
  <c r="DQ96" i="1"/>
  <c r="DP88" i="1"/>
  <c r="DQ88" i="1"/>
  <c r="DP80" i="1"/>
  <c r="DQ80" i="1"/>
  <c r="DP72" i="1"/>
  <c r="DQ72" i="1"/>
  <c r="DP64" i="1"/>
  <c r="DQ64" i="1"/>
  <c r="DP56" i="1"/>
  <c r="DQ56" i="1"/>
  <c r="DP48" i="1"/>
  <c r="DQ48" i="1"/>
  <c r="DP40" i="1"/>
  <c r="DQ40" i="1"/>
  <c r="DP32" i="1"/>
  <c r="DQ32" i="1"/>
  <c r="DP24" i="1"/>
  <c r="DQ24" i="1"/>
  <c r="DP16" i="1"/>
  <c r="DQ16" i="1"/>
  <c r="DP8" i="1"/>
  <c r="DQ8" i="1"/>
  <c r="DU145" i="1"/>
  <c r="DT145" i="1"/>
  <c r="DU129" i="1"/>
  <c r="DT129" i="1"/>
  <c r="DU121" i="1"/>
  <c r="DT121" i="1"/>
  <c r="DU113" i="1"/>
  <c r="DT113" i="1"/>
  <c r="DU105" i="1"/>
  <c r="DT105" i="1"/>
  <c r="DT97" i="1"/>
  <c r="DU97" i="1"/>
  <c r="DT89" i="1"/>
  <c r="DU89" i="1"/>
  <c r="DT81" i="1"/>
  <c r="DU81" i="1"/>
  <c r="DT73" i="1"/>
  <c r="DU73" i="1"/>
  <c r="DT65" i="1"/>
  <c r="DU65" i="1"/>
  <c r="DT57" i="1"/>
  <c r="DU57" i="1"/>
  <c r="DT49" i="1"/>
  <c r="DU49" i="1"/>
  <c r="DT41" i="1"/>
  <c r="DU41" i="1"/>
  <c r="DT33" i="1"/>
  <c r="DU33" i="1"/>
  <c r="DT25" i="1"/>
  <c r="DU25" i="1"/>
  <c r="DU9" i="1"/>
  <c r="DT9" i="1"/>
  <c r="CC51" i="1"/>
  <c r="CJ96" i="1"/>
  <c r="CJ26" i="1"/>
  <c r="CK104" i="1"/>
  <c r="CN2" i="1"/>
  <c r="CN115" i="1"/>
  <c r="CN43" i="1"/>
  <c r="CO146" i="1"/>
  <c r="CO65" i="1"/>
  <c r="CR140" i="1"/>
  <c r="DM139" i="1"/>
  <c r="DL139" i="1"/>
  <c r="DM131" i="1"/>
  <c r="DL131" i="1"/>
  <c r="DM123" i="1"/>
  <c r="DL123" i="1"/>
  <c r="DL115" i="1"/>
  <c r="DM115" i="1"/>
  <c r="DL107" i="1"/>
  <c r="DM107" i="1"/>
  <c r="DL99" i="1"/>
  <c r="DM99" i="1"/>
  <c r="DL91" i="1"/>
  <c r="DM91" i="1"/>
  <c r="DL83" i="1"/>
  <c r="DM83" i="1"/>
  <c r="DL75" i="1"/>
  <c r="DM75" i="1"/>
  <c r="DL67" i="1"/>
  <c r="DM67" i="1"/>
  <c r="DL59" i="1"/>
  <c r="DM59" i="1"/>
  <c r="DM51" i="1"/>
  <c r="DL51" i="1"/>
  <c r="DL43" i="1"/>
  <c r="DM43" i="1"/>
  <c r="DL35" i="1"/>
  <c r="DM35" i="1"/>
  <c r="DM27" i="1"/>
  <c r="DL27" i="1"/>
  <c r="DL19" i="1"/>
  <c r="DM19" i="1"/>
  <c r="DM11" i="1"/>
  <c r="DL11" i="1"/>
  <c r="DL3" i="1"/>
  <c r="DM3" i="1"/>
  <c r="DQ140" i="1"/>
  <c r="DP140" i="1"/>
  <c r="DP132" i="1"/>
  <c r="DQ132" i="1"/>
  <c r="DQ124" i="1"/>
  <c r="DP124" i="1"/>
  <c r="DQ116" i="1"/>
  <c r="DP116" i="1"/>
  <c r="DP108" i="1"/>
  <c r="DQ108" i="1"/>
  <c r="DQ100" i="1"/>
  <c r="DP100" i="1"/>
  <c r="DP92" i="1"/>
  <c r="DQ92" i="1"/>
  <c r="DQ84" i="1"/>
  <c r="DP84" i="1"/>
  <c r="DP76" i="1"/>
  <c r="DQ76" i="1"/>
  <c r="DP68" i="1"/>
  <c r="DQ68" i="1"/>
  <c r="DQ60" i="1"/>
  <c r="DP60" i="1"/>
  <c r="DQ52" i="1"/>
  <c r="DP52" i="1"/>
  <c r="DP44" i="1"/>
  <c r="DQ44" i="1"/>
  <c r="DQ36" i="1"/>
  <c r="DP36" i="1"/>
  <c r="DP28" i="1"/>
  <c r="DQ28" i="1"/>
  <c r="DQ20" i="1"/>
  <c r="DP20" i="1"/>
  <c r="DQ12" i="1"/>
  <c r="DP12" i="1"/>
  <c r="DP4" i="1"/>
  <c r="DQ4" i="1"/>
  <c r="DU141" i="1"/>
  <c r="DT141" i="1"/>
  <c r="DU125" i="1"/>
  <c r="DT125" i="1"/>
  <c r="DU117" i="1"/>
  <c r="DT117" i="1"/>
  <c r="DU109" i="1"/>
  <c r="DT109" i="1"/>
  <c r="DU101" i="1"/>
  <c r="DT101" i="1"/>
  <c r="DU93" i="1"/>
  <c r="DT93" i="1"/>
  <c r="DU85" i="1"/>
  <c r="DT85" i="1"/>
  <c r="DU77" i="1"/>
  <c r="DT77" i="1"/>
  <c r="DU69" i="1"/>
  <c r="DT69" i="1"/>
  <c r="DU61" i="1"/>
  <c r="DT61" i="1"/>
  <c r="DU53" i="1"/>
  <c r="DT53" i="1"/>
  <c r="DU45" i="1"/>
  <c r="DT45" i="1"/>
  <c r="DU37" i="1"/>
  <c r="DT37" i="1"/>
  <c r="DU29" i="1"/>
  <c r="DT29" i="1"/>
  <c r="DU21" i="1"/>
  <c r="DT21" i="1"/>
  <c r="DU13" i="1"/>
  <c r="DT13" i="1"/>
  <c r="DU5" i="1"/>
  <c r="DT5" i="1"/>
  <c r="DH5" i="1"/>
  <c r="DI5" i="1"/>
  <c r="DL142" i="1"/>
  <c r="DM142" i="1"/>
  <c r="DM134" i="1"/>
  <c r="DL134" i="1"/>
  <c r="DM126" i="1"/>
  <c r="DL126" i="1"/>
  <c r="DM118" i="1"/>
  <c r="DL118" i="1"/>
  <c r="DL110" i="1"/>
  <c r="DM110" i="1"/>
  <c r="DL102" i="1"/>
  <c r="DM102" i="1"/>
  <c r="DM94" i="1"/>
  <c r="DL94" i="1"/>
  <c r="DM86" i="1"/>
  <c r="DL86" i="1"/>
  <c r="DM78" i="1"/>
  <c r="DL78" i="1"/>
  <c r="DM70" i="1"/>
  <c r="DL70" i="1"/>
  <c r="DM62" i="1"/>
  <c r="DL62" i="1"/>
  <c r="DM54" i="1"/>
  <c r="DL54" i="1"/>
  <c r="DL46" i="1"/>
  <c r="DM46" i="1"/>
  <c r="DM38" i="1"/>
  <c r="DL38" i="1"/>
  <c r="DM30" i="1"/>
  <c r="DL30" i="1"/>
  <c r="DL22" i="1"/>
  <c r="DM22" i="1"/>
  <c r="DL14" i="1"/>
  <c r="DM14" i="1"/>
  <c r="DL6" i="1"/>
  <c r="DM6" i="1"/>
  <c r="DP143" i="1"/>
  <c r="DQ143" i="1"/>
  <c r="DQ135" i="1"/>
  <c r="DP135" i="1"/>
  <c r="DQ127" i="1"/>
  <c r="DP127" i="1"/>
  <c r="DP119" i="1"/>
  <c r="DQ119" i="1"/>
  <c r="DQ111" i="1"/>
  <c r="DP111" i="1"/>
  <c r="DP103" i="1"/>
  <c r="DQ103" i="1"/>
  <c r="DQ95" i="1"/>
  <c r="DP95" i="1"/>
  <c r="DQ87" i="1"/>
  <c r="DP87" i="1"/>
  <c r="DP79" i="1"/>
  <c r="DQ79" i="1"/>
  <c r="DQ71" i="1"/>
  <c r="DP71" i="1"/>
  <c r="DQ63" i="1"/>
  <c r="DP63" i="1"/>
  <c r="DP55" i="1"/>
  <c r="DQ55" i="1"/>
  <c r="DQ47" i="1"/>
  <c r="DP47" i="1"/>
  <c r="DP39" i="1"/>
  <c r="DQ39" i="1"/>
  <c r="DQ31" i="1"/>
  <c r="DP31" i="1"/>
  <c r="DP23" i="1"/>
  <c r="DQ23" i="1"/>
  <c r="DP15" i="1"/>
  <c r="DQ15" i="1"/>
  <c r="DQ7" i="1"/>
  <c r="DP7" i="1"/>
  <c r="DU144" i="1"/>
  <c r="DT144" i="1"/>
  <c r="DU120" i="1"/>
  <c r="DT120" i="1"/>
  <c r="DU112" i="1"/>
  <c r="DT112" i="1"/>
  <c r="DU96" i="1"/>
  <c r="DT96" i="1"/>
  <c r="DT88" i="1"/>
  <c r="DU88" i="1"/>
  <c r="DT80" i="1"/>
  <c r="DU80" i="1"/>
  <c r="DT72" i="1"/>
  <c r="DU72" i="1"/>
  <c r="DT64" i="1"/>
  <c r="DU64" i="1"/>
  <c r="DT56" i="1"/>
  <c r="DU56" i="1"/>
  <c r="DT48" i="1"/>
  <c r="DU48" i="1"/>
  <c r="DT40" i="1"/>
  <c r="DU40" i="1"/>
  <c r="DT32" i="1"/>
  <c r="DU32" i="1"/>
  <c r="DT24" i="1"/>
  <c r="DU24" i="1"/>
  <c r="DT16" i="1"/>
  <c r="DU16" i="1"/>
  <c r="DT8" i="1"/>
  <c r="DU8" i="1"/>
  <c r="BT62" i="1"/>
  <c r="DL141" i="1"/>
  <c r="DM141" i="1"/>
  <c r="DM133" i="1"/>
  <c r="DL133" i="1"/>
  <c r="DM125" i="1"/>
  <c r="DL125" i="1"/>
  <c r="DM117" i="1"/>
  <c r="DL117" i="1"/>
  <c r="DM109" i="1"/>
  <c r="DL109" i="1"/>
  <c r="DL101" i="1"/>
  <c r="DM101" i="1"/>
  <c r="DM93" i="1"/>
  <c r="DL93" i="1"/>
  <c r="DM85" i="1"/>
  <c r="DL85" i="1"/>
  <c r="DM77" i="1"/>
  <c r="DL77" i="1"/>
  <c r="DL69" i="1"/>
  <c r="DM69" i="1"/>
  <c r="DM61" i="1"/>
  <c r="DM53" i="1"/>
  <c r="DL53" i="1"/>
  <c r="DM45" i="1"/>
  <c r="DL45" i="1"/>
  <c r="DM37" i="1"/>
  <c r="DL37" i="1"/>
  <c r="DM29" i="1"/>
  <c r="DL29" i="1"/>
  <c r="DM13" i="1"/>
  <c r="DL13" i="1"/>
  <c r="DM5" i="1"/>
  <c r="DL5" i="1"/>
  <c r="DP142" i="1"/>
  <c r="DQ142" i="1"/>
  <c r="DQ134" i="1"/>
  <c r="DP134" i="1"/>
  <c r="DP126" i="1"/>
  <c r="DQ126" i="1"/>
  <c r="DP118" i="1"/>
  <c r="DQ118" i="1"/>
  <c r="DQ110" i="1"/>
  <c r="DP110" i="1"/>
  <c r="DQ102" i="1"/>
  <c r="DP102" i="1"/>
  <c r="DP94" i="1"/>
  <c r="DQ94" i="1"/>
  <c r="DQ86" i="1"/>
  <c r="DP86" i="1"/>
  <c r="DP78" i="1"/>
  <c r="DQ78" i="1"/>
  <c r="DQ70" i="1"/>
  <c r="DP70" i="1"/>
  <c r="DQ62" i="1"/>
  <c r="DP62" i="1"/>
  <c r="DP54" i="1"/>
  <c r="DQ54" i="1"/>
  <c r="DQ46" i="1"/>
  <c r="DP46" i="1"/>
  <c r="DQ38" i="1"/>
  <c r="DP38" i="1"/>
  <c r="DP30" i="1"/>
  <c r="DQ30" i="1"/>
  <c r="DQ22" i="1"/>
  <c r="DP22" i="1"/>
  <c r="DP14" i="1"/>
  <c r="DQ14" i="1"/>
  <c r="DQ6" i="1"/>
  <c r="DU127" i="1"/>
  <c r="DT127" i="1"/>
  <c r="DU119" i="1"/>
  <c r="DT119" i="1"/>
  <c r="DU111" i="1"/>
  <c r="DT111" i="1"/>
  <c r="DU103" i="1"/>
  <c r="DT103" i="1"/>
  <c r="DU95" i="1"/>
  <c r="DT95" i="1"/>
  <c r="DU87" i="1"/>
  <c r="DT87" i="1"/>
  <c r="DU79" i="1"/>
  <c r="DT79" i="1"/>
  <c r="DU71" i="1"/>
  <c r="DT71" i="1"/>
  <c r="DT55" i="1"/>
  <c r="DU55" i="1"/>
  <c r="DT47" i="1"/>
  <c r="DU47" i="1"/>
  <c r="DT39" i="1"/>
  <c r="DU39" i="1"/>
  <c r="DT31" i="1"/>
  <c r="DU31" i="1"/>
  <c r="DT23" i="1"/>
  <c r="DU23" i="1"/>
  <c r="DT15" i="1"/>
  <c r="DU15" i="1"/>
  <c r="DT7" i="1"/>
  <c r="DU7" i="1"/>
  <c r="BT61" i="1"/>
  <c r="DP6" i="1"/>
  <c r="DM140" i="1"/>
  <c r="DL140" i="1"/>
  <c r="DM132" i="1"/>
  <c r="DL132" i="1"/>
  <c r="DM124" i="1"/>
  <c r="DL124" i="1"/>
  <c r="DL116" i="1"/>
  <c r="DM116" i="1"/>
  <c r="DL108" i="1"/>
  <c r="DM108" i="1"/>
  <c r="DL100" i="1"/>
  <c r="DM100" i="1"/>
  <c r="DL92" i="1"/>
  <c r="DM92" i="1"/>
  <c r="DL84" i="1"/>
  <c r="DM84" i="1"/>
  <c r="DM76" i="1"/>
  <c r="DL76" i="1"/>
  <c r="DL68" i="1"/>
  <c r="DM68" i="1"/>
  <c r="DL60" i="1"/>
  <c r="DM60" i="1"/>
  <c r="DM52" i="1"/>
  <c r="DL52" i="1"/>
  <c r="DL44" i="1"/>
  <c r="DM44" i="1"/>
  <c r="DL36" i="1"/>
  <c r="DM36" i="1"/>
  <c r="DM28" i="1"/>
  <c r="DL28" i="1"/>
  <c r="DL20" i="1"/>
  <c r="DM20" i="1"/>
  <c r="DM12" i="1"/>
  <c r="DL12" i="1"/>
  <c r="DL4" i="1"/>
  <c r="DM4" i="1"/>
  <c r="DQ141" i="1"/>
  <c r="DP141" i="1"/>
  <c r="DP133" i="1"/>
  <c r="DQ125" i="1"/>
  <c r="DP125" i="1"/>
  <c r="DP117" i="1"/>
  <c r="DQ117" i="1"/>
  <c r="DQ109" i="1"/>
  <c r="DP109" i="1"/>
  <c r="DP101" i="1"/>
  <c r="DQ101" i="1"/>
  <c r="DP93" i="1"/>
  <c r="DQ93" i="1"/>
  <c r="DQ85" i="1"/>
  <c r="DP85" i="1"/>
  <c r="DQ77" i="1"/>
  <c r="DP77" i="1"/>
  <c r="DP69" i="1"/>
  <c r="DQ69" i="1"/>
  <c r="DQ61" i="1"/>
  <c r="DP61" i="1"/>
  <c r="DP53" i="1"/>
  <c r="DQ53" i="1"/>
  <c r="DQ45" i="1"/>
  <c r="DP45" i="1"/>
  <c r="DQ37" i="1"/>
  <c r="DP37" i="1"/>
  <c r="DP29" i="1"/>
  <c r="DQ29" i="1"/>
  <c r="DQ21" i="1"/>
  <c r="DP21" i="1"/>
  <c r="DQ13" i="1"/>
  <c r="DP13" i="1"/>
  <c r="DP5" i="1"/>
  <c r="DQ5" i="1"/>
  <c r="DU142" i="1"/>
  <c r="DT142" i="1"/>
  <c r="DT126" i="1"/>
  <c r="DU126" i="1"/>
  <c r="DT118" i="1"/>
  <c r="DU118" i="1"/>
  <c r="DU110" i="1"/>
  <c r="DT110" i="1"/>
  <c r="DU102" i="1"/>
  <c r="DT102" i="1"/>
  <c r="DU86" i="1"/>
  <c r="DT86" i="1"/>
  <c r="DU78" i="1"/>
  <c r="DT78" i="1"/>
  <c r="DU70" i="1"/>
  <c r="DT70" i="1"/>
  <c r="DU62" i="1"/>
  <c r="DT62" i="1"/>
  <c r="DU54" i="1"/>
  <c r="DT54" i="1"/>
  <c r="DU46" i="1"/>
  <c r="DT46" i="1"/>
  <c r="DU38" i="1"/>
  <c r="DT38" i="1"/>
  <c r="DU30" i="1"/>
  <c r="DT30" i="1"/>
  <c r="DU22" i="1"/>
  <c r="DT22" i="1"/>
  <c r="DT14" i="1"/>
  <c r="DU14" i="1"/>
  <c r="DT6" i="1"/>
  <c r="DU6" i="1"/>
  <c r="BT60" i="1"/>
  <c r="DQ133" i="1"/>
</calcChain>
</file>

<file path=xl/sharedStrings.xml><?xml version="1.0" encoding="utf-8"?>
<sst xmlns="http://schemas.openxmlformats.org/spreadsheetml/2006/main" count="619" uniqueCount="424">
  <si>
    <t>...1</t>
  </si>
  <si>
    <t>X</t>
  </si>
  <si>
    <t>ID</t>
  </si>
  <si>
    <t>Q3_interview_beach</t>
  </si>
  <si>
    <t>correspond.</t>
  </si>
  <si>
    <t>Q4_Origin</t>
  </si>
  <si>
    <t>Q5_Quartiere</t>
  </si>
  <si>
    <t>Q6_Category</t>
  </si>
  <si>
    <t>Q10_Alloggio</t>
  </si>
  <si>
    <t>Q10_altro</t>
  </si>
  <si>
    <t>Q11_alloggio_name</t>
  </si>
  <si>
    <t>n_s1</t>
  </si>
  <si>
    <t>n_s2</t>
  </si>
  <si>
    <t>n_s3</t>
  </si>
  <si>
    <t>n_s4</t>
  </si>
  <si>
    <t>n_s5</t>
  </si>
  <si>
    <t>n_s6</t>
  </si>
  <si>
    <t>n_s7</t>
  </si>
  <si>
    <t>n_s8</t>
  </si>
  <si>
    <t>n_s9</t>
  </si>
  <si>
    <t>n_s10</t>
  </si>
  <si>
    <t>n_s11</t>
  </si>
  <si>
    <t>n_s12</t>
  </si>
  <si>
    <t>n_s13</t>
  </si>
  <si>
    <t>n_s14</t>
  </si>
  <si>
    <t>n_s15</t>
  </si>
  <si>
    <t>n_s16</t>
  </si>
  <si>
    <t>n_s17</t>
  </si>
  <si>
    <t>n_s18</t>
  </si>
  <si>
    <t>n_s19</t>
  </si>
  <si>
    <t>noccasion</t>
  </si>
  <si>
    <t>nDays_today</t>
  </si>
  <si>
    <t>nDays_total</t>
  </si>
  <si>
    <t>Q20_nHours</t>
  </si>
  <si>
    <t>Age</t>
  </si>
  <si>
    <t>TimeA_AMP</t>
  </si>
  <si>
    <t>DistA_AMP</t>
  </si>
  <si>
    <t>TimeA_1</t>
  </si>
  <si>
    <t>DistA_1</t>
  </si>
  <si>
    <t>TimeA_2</t>
  </si>
  <si>
    <t>DistA_2</t>
  </si>
  <si>
    <t>TimeA_3</t>
  </si>
  <si>
    <t>DistA_3</t>
  </si>
  <si>
    <t>TimeA_4</t>
  </si>
  <si>
    <t>DistA_4</t>
  </si>
  <si>
    <t>TimeA_5</t>
  </si>
  <si>
    <t>DistA_5</t>
  </si>
  <si>
    <t>TimeA_6</t>
  </si>
  <si>
    <t>DistA_6</t>
  </si>
  <si>
    <t>TimeA_7</t>
  </si>
  <si>
    <t>DistA_7</t>
  </si>
  <si>
    <t>TimeA_8</t>
  </si>
  <si>
    <t>DistA_8</t>
  </si>
  <si>
    <t>TimeA_9</t>
  </si>
  <si>
    <t>DistA_9</t>
  </si>
  <si>
    <t>TimeA_10</t>
  </si>
  <si>
    <t>DistA_10</t>
  </si>
  <si>
    <t>TimeA_14</t>
  </si>
  <si>
    <t>DistA_14</t>
  </si>
  <si>
    <t>TimeA_15</t>
  </si>
  <si>
    <t>DistA_15</t>
  </si>
  <si>
    <t>TimeA_16</t>
  </si>
  <si>
    <t>DistA_16</t>
  </si>
  <si>
    <t>TimeA_17</t>
  </si>
  <si>
    <t>DistA_17</t>
  </si>
  <si>
    <t>TimeA_18</t>
  </si>
  <si>
    <t>DistA_18</t>
  </si>
  <si>
    <t>NewIncome</t>
  </si>
  <si>
    <t>n_people</t>
  </si>
  <si>
    <t>Use</t>
  </si>
  <si>
    <t>Parking</t>
  </si>
  <si>
    <t>Parking2</t>
  </si>
  <si>
    <t>TimeV</t>
  </si>
  <si>
    <t>Parking3</t>
  </si>
  <si>
    <t>TC_AMP</t>
  </si>
  <si>
    <t>Min_time</t>
  </si>
  <si>
    <t>Dist_alt</t>
  </si>
  <si>
    <t>TravelCost_AMP</t>
  </si>
  <si>
    <t>Site_alt</t>
  </si>
  <si>
    <t>Parking_alt</t>
  </si>
  <si>
    <t>TC_Alt</t>
  </si>
  <si>
    <t>car</t>
  </si>
  <si>
    <t>ntot</t>
  </si>
  <si>
    <t>sex</t>
  </si>
  <si>
    <t>educ</t>
  </si>
  <si>
    <t>nhours</t>
  </si>
  <si>
    <t>ndays</t>
  </si>
  <si>
    <t>VTT</t>
  </si>
  <si>
    <t>TT_AMP</t>
  </si>
  <si>
    <t>TTC_AMP</t>
  </si>
  <si>
    <t>TT_Alt</t>
  </si>
  <si>
    <t>TTC_Alt</t>
  </si>
  <si>
    <t>TC8</t>
  </si>
  <si>
    <t>TT8</t>
  </si>
  <si>
    <t>TTC8</t>
  </si>
  <si>
    <t>TCalt8</t>
  </si>
  <si>
    <t>TTalt8</t>
  </si>
  <si>
    <t>TTCalt8</t>
  </si>
  <si>
    <t>Livorno</t>
  </si>
  <si>
    <t>Montenero</t>
  </si>
  <si>
    <t>Pineta al mare</t>
  </si>
  <si>
    <t>Torino</t>
  </si>
  <si>
    <t>Santa Rita</t>
  </si>
  <si>
    <t>The doors apulia ad Ostuni</t>
  </si>
  <si>
    <t>Modena</t>
  </si>
  <si>
    <t>Magreta</t>
  </si>
  <si>
    <t>B&amp;B la finestra degli ulivi</t>
  </si>
  <si>
    <t>Spagna</t>
  </si>
  <si>
    <t>Madrid</t>
  </si>
  <si>
    <t>Masseria San martino</t>
  </si>
  <si>
    <t>Cit turin</t>
  </si>
  <si>
    <t>Agriturismo biologico</t>
  </si>
  <si>
    <t>Mater</t>
  </si>
  <si>
    <t>Viganò</t>
  </si>
  <si>
    <t>Monopoli</t>
  </si>
  <si>
    <t>Pordenone</t>
  </si>
  <si>
    <t>FONTANAFREDDA</t>
  </si>
  <si>
    <t>Carovigno</t>
  </si>
  <si>
    <t>Bari</t>
  </si>
  <si>
    <t>Japigia</t>
  </si>
  <si>
    <t>Residence</t>
  </si>
  <si>
    <t>Riva Marina 1</t>
  </si>
  <si>
    <t>Centro</t>
  </si>
  <si>
    <t>Riva Marina</t>
  </si>
  <si>
    <t>Merano</t>
  </si>
  <si>
    <t>Torre guaceto oasis</t>
  </si>
  <si>
    <t>Pino torinese</t>
  </si>
  <si>
    <t>Casa vacanze</t>
  </si>
  <si>
    <t>Oasi deglo ulivi</t>
  </si>
  <si>
    <t>Alba</t>
  </si>
  <si>
    <t>Via Pietro Ferrero</t>
  </si>
  <si>
    <t>Carovigno oasi degli ulivi</t>
  </si>
  <si>
    <t>Colonna rm</t>
  </si>
  <si>
    <t>Villaggio turistico</t>
  </si>
  <si>
    <t>Welcome to bahia carovigno</t>
  </si>
  <si>
    <t>Frascati</t>
  </si>
  <si>
    <t>Vermicino</t>
  </si>
  <si>
    <t>Bahia</t>
  </si>
  <si>
    <t>Falchera</t>
  </si>
  <si>
    <t>Riva Marina Resort</t>
  </si>
  <si>
    <t>Rocca Di Papa</t>
  </si>
  <si>
    <t>No</t>
  </si>
  <si>
    <t>Brindisi</t>
  </si>
  <si>
    <t>roma</t>
  </si>
  <si>
    <t>villa gordiani</t>
  </si>
  <si>
    <t>riva marina resort</t>
  </si>
  <si>
    <t>Roma</t>
  </si>
  <si>
    <t>Riva marina resort</t>
  </si>
  <si>
    <t>Villa Gordiani</t>
  </si>
  <si>
    <t>Riva Marina resort</t>
  </si>
  <si>
    <t>Brescia</t>
  </si>
  <si>
    <t>Pezzaze</t>
  </si>
  <si>
    <t>Case bianche</t>
  </si>
  <si>
    <t>Salaria</t>
  </si>
  <si>
    <t>Contrada chiobbica ostuni</t>
  </si>
  <si>
    <t>Modugno</t>
  </si>
  <si>
    <t>Periferia</t>
  </si>
  <si>
    <t>Cala dei ginepri</t>
  </si>
  <si>
    <t>Milano</t>
  </si>
  <si>
    <t>Nolo</t>
  </si>
  <si>
    <t>Borgonuovo Suite</t>
  </si>
  <si>
    <t xml:space="preserve">
Sidney</t>
  </si>
  <si>
    <t>Marrichville</t>
  </si>
  <si>
    <t>Borgonovo suite</t>
  </si>
  <si>
    <t>Città Studi</t>
  </si>
  <si>
    <t>Il Fiorone Torre Canne</t>
  </si>
  <si>
    <t>milano</t>
  </si>
  <si>
    <t>il fiorone torrecanne</t>
  </si>
  <si>
    <t>Verona</t>
  </si>
  <si>
    <t>Fumane</t>
  </si>
  <si>
    <t>Ostuni</t>
  </si>
  <si>
    <t>Villa Linda</t>
  </si>
  <si>
    <t>Siracusa</t>
  </si>
  <si>
    <t>Augusta</t>
  </si>
  <si>
    <t>Villaggio</t>
  </si>
  <si>
    <t>Meditur</t>
  </si>
  <si>
    <t>Ferrara</t>
  </si>
  <si>
    <t>Via Bologna</t>
  </si>
  <si>
    <t>Santa Sabina</t>
  </si>
  <si>
    <t>Tor vergata</t>
  </si>
  <si>
    <t>Hotel club Santa Sabina</t>
  </si>
  <si>
    <t>Ceriano Laghetto</t>
  </si>
  <si>
    <t>Hotel Reverse</t>
  </si>
  <si>
    <t>Lissone</t>
  </si>
  <si>
    <t>Via volontari del sangue</t>
  </si>
  <si>
    <t>Giardini dell'agave</t>
  </si>
  <si>
    <t>Riva marina 2</t>
  </si>
  <si>
    <t>Napoli</t>
  </si>
  <si>
    <t>Villaricca</t>
  </si>
  <si>
    <t>Villa Enea</t>
  </si>
  <si>
    <t>Rivamarina</t>
  </si>
  <si>
    <t>Polignano</t>
  </si>
  <si>
    <t>Sant'Anna</t>
  </si>
  <si>
    <t>Resort</t>
  </si>
  <si>
    <t>Oasis Torre Guaceto</t>
  </si>
  <si>
    <t>Caserta</t>
  </si>
  <si>
    <t>Caserta centro</t>
  </si>
  <si>
    <t>Palermo</t>
  </si>
  <si>
    <t>Palla vicino</t>
  </si>
  <si>
    <t>Antico ortale</t>
  </si>
  <si>
    <t>Tor Tre Teste</t>
  </si>
  <si>
    <t>Prati</t>
  </si>
  <si>
    <t>Costa Merlata</t>
  </si>
  <si>
    <t>Aurelio</t>
  </si>
  <si>
    <t>Costa merlata</t>
  </si>
  <si>
    <t>Londra</t>
  </si>
  <si>
    <t>Fulham</t>
  </si>
  <si>
    <t>San paolo</t>
  </si>
  <si>
    <t>Garbatella</t>
  </si>
  <si>
    <t>Residence costa merlata</t>
  </si>
  <si>
    <t>Firenze</t>
  </si>
  <si>
    <t>Novoli</t>
  </si>
  <si>
    <t>Cordenus</t>
  </si>
  <si>
    <t>Dimora del Fasio</t>
  </si>
  <si>
    <t>Udine</t>
  </si>
  <si>
    <t>Villa Raffaele</t>
  </si>
  <si>
    <t>Lussemburgo</t>
  </si>
  <si>
    <t>Turi BA</t>
  </si>
  <si>
    <t>Catania</t>
  </si>
  <si>
    <t>Auto</t>
  </si>
  <si>
    <t>Specchiolla</t>
  </si>
  <si>
    <t>Benevento</t>
  </si>
  <si>
    <t>Carovigno
Carovigno</t>
  </si>
  <si>
    <t>Cremona</t>
  </si>
  <si>
    <t>Cremona città</t>
  </si>
  <si>
    <t>Feudi Mandolivo, Ostuni</t>
  </si>
  <si>
    <t>Treviso</t>
  </si>
  <si>
    <t>Feudi Mandolivo</t>
  </si>
  <si>
    <t>Bologna</t>
  </si>
  <si>
    <t>Bologna Centro</t>
  </si>
  <si>
    <t>Casedda</t>
  </si>
  <si>
    <t>Montemario</t>
  </si>
  <si>
    <t>Lecco</t>
  </si>
  <si>
    <t>Annone di Brianza</t>
  </si>
  <si>
    <t>Casa le Mure</t>
  </si>
  <si>
    <t>Bergamo</t>
  </si>
  <si>
    <t>Treviglio</t>
  </si>
  <si>
    <t>Casa le mura</t>
  </si>
  <si>
    <t>Porto Saragozza</t>
  </si>
  <si>
    <t>Sangiovanni</t>
  </si>
  <si>
    <t>Palazzo Virgilio</t>
  </si>
  <si>
    <t>Civo</t>
  </si>
  <si>
    <t>Cadelsasso</t>
  </si>
  <si>
    <t>Sona</t>
  </si>
  <si>
    <t>San Vitale</t>
  </si>
  <si>
    <t>Genova</t>
  </si>
  <si>
    <t>Albaro</t>
  </si>
  <si>
    <t>Como</t>
  </si>
  <si>
    <t>Barriera di Milano</t>
  </si>
  <si>
    <t>Mungivacca</t>
  </si>
  <si>
    <t>Torre Canne</t>
  </si>
  <si>
    <t>Marino</t>
  </si>
  <si>
    <t>Frattocchie</t>
  </si>
  <si>
    <t>Th Ostuni</t>
  </si>
  <si>
    <t>San Michele Salentino</t>
  </si>
  <si>
    <t>Tiburtina</t>
  </si>
  <si>
    <t>Casalabate</t>
  </si>
  <si>
    <t>Centocelle</t>
  </si>
  <si>
    <t>Grosseto</t>
  </si>
  <si>
    <t>Eur</t>
  </si>
  <si>
    <t>Taranto</t>
  </si>
  <si>
    <t>Tre caravelle</t>
  </si>
  <si>
    <t>Venezia</t>
  </si>
  <si>
    <t>Marghera</t>
  </si>
  <si>
    <t>Masseria De Michele</t>
  </si>
  <si>
    <t>Moncalieri</t>
  </si>
  <si>
    <t>Casa Cleto</t>
  </si>
  <si>
    <t>Ceglie messapica</t>
  </si>
  <si>
    <t>modena</t>
  </si>
  <si>
    <t>carpi</t>
  </si>
  <si>
    <t>campi salentina</t>
  </si>
  <si>
    <t>Mesagne</t>
  </si>
  <si>
    <t>Vienna</t>
  </si>
  <si>
    <t>Ventesimo distretto</t>
  </si>
  <si>
    <t>Villanova</t>
  </si>
  <si>
    <t>Fiumicino</t>
  </si>
  <si>
    <t>Isola sacra</t>
  </si>
  <si>
    <t>Hotel corallo</t>
  </si>
  <si>
    <t>Milan</t>
  </si>
  <si>
    <t>Famagosta</t>
  </si>
  <si>
    <t>Castelnuovo di Farfa</t>
  </si>
  <si>
    <t>Colli</t>
  </si>
  <si>
    <t>Hotel Corallo</t>
  </si>
  <si>
    <t>Monteleone sabino</t>
  </si>
  <si>
    <t>Masseria Scianolecchia</t>
  </si>
  <si>
    <t>Salita Tarsia</t>
  </si>
  <si>
    <t>Villa Antonelli Monopoli</t>
  </si>
  <si>
    <t>Villa antonelli</t>
  </si>
  <si>
    <t>Agropoli</t>
  </si>
  <si>
    <t>Frascinelle</t>
  </si>
  <si>
    <t>Milano est</t>
  </si>
  <si>
    <t>Napoli centro</t>
  </si>
  <si>
    <t>Villa Antonelli</t>
  </si>
  <si>
    <t>Reggio Emilia</t>
  </si>
  <si>
    <t>Villa dario</t>
  </si>
  <si>
    <t>Capurso (
Capurso (BA)</t>
  </si>
  <si>
    <t>Saviano</t>
  </si>
  <si>
    <t>Reggio Calabria</t>
  </si>
  <si>
    <t>Ravagnese</t>
  </si>
  <si>
    <t>Casa in affitto</t>
  </si>
  <si>
    <t>Villa rosemary</t>
  </si>
  <si>
    <t>Navigli</t>
  </si>
  <si>
    <t>Blumarine Villanova</t>
  </si>
  <si>
    <t>Corso Sempione</t>
  </si>
  <si>
    <t>Vomero</t>
  </si>
  <si>
    <t>San Michele salentino</t>
  </si>
  <si>
    <t xml:space="preserve">Napoli
</t>
  </si>
  <si>
    <t>Arianella</t>
  </si>
  <si>
    <t>Masseria Santa Lucia</t>
  </si>
  <si>
    <t>Vasto</t>
  </si>
  <si>
    <t>Sant'Onofrio</t>
  </si>
  <si>
    <t>Pietrapesara locorotondo</t>
  </si>
  <si>
    <t>Noale</t>
  </si>
  <si>
    <t>Belluno</t>
  </si>
  <si>
    <t>Cavarzano</t>
  </si>
  <si>
    <t>Dorgali</t>
  </si>
  <si>
    <t>Campagna</t>
  </si>
  <si>
    <t>Carvazani</t>
  </si>
  <si>
    <t>Borgo piave</t>
  </si>
  <si>
    <t>Zona fiera</t>
  </si>
  <si>
    <t>Genzano</t>
  </si>
  <si>
    <t>ZerOstuni</t>
  </si>
  <si>
    <t>Zona ospedaliera</t>
  </si>
  <si>
    <t>Agriturismo Terre d’Otranto</t>
  </si>
  <si>
    <t>Latina</t>
  </si>
  <si>
    <t>Nicolosi</t>
  </si>
  <si>
    <t>Masseria cillarese</t>
  </si>
  <si>
    <t>Levante</t>
  </si>
  <si>
    <t>Villa Sant'Anna</t>
  </si>
  <si>
    <t>Matera</t>
  </si>
  <si>
    <t>Masseria</t>
  </si>
  <si>
    <t>Torre pietre</t>
  </si>
  <si>
    <t>San Benedetto del Tronto</t>
  </si>
  <si>
    <t>Caselli</t>
  </si>
  <si>
    <t>Bussi sul tirino</t>
  </si>
  <si>
    <t>Lamia</t>
  </si>
  <si>
    <t>Apani</t>
  </si>
  <si>
    <t>Sanità</t>
  </si>
  <si>
    <t>Carovigno, Piazza Nzegna</t>
  </si>
  <si>
    <t>Crotone</t>
  </si>
  <si>
    <t>Brescia antica</t>
  </si>
  <si>
    <t>Martinsicuro</t>
  </si>
  <si>
    <t>Il tulipano bianco, Ostuni</t>
  </si>
  <si>
    <t>Crocetta</t>
  </si>
  <si>
    <t>Lamaforca</t>
  </si>
  <si>
    <t>San Giovanni teatino</t>
  </si>
  <si>
    <t>Acqua pazza brindisi</t>
  </si>
  <si>
    <t>Chieti</t>
  </si>
  <si>
    <t>Chieti scalo</t>
  </si>
  <si>
    <t>Scalo</t>
  </si>
  <si>
    <t>Manzoni brindisi</t>
  </si>
  <si>
    <t>Dimora nettare brindisi</t>
  </si>
  <si>
    <t>Siena</t>
  </si>
  <si>
    <t>Asciano</t>
  </si>
  <si>
    <t>San pasquale</t>
  </si>
  <si>
    <t>Le lamie di Ostuni</t>
  </si>
  <si>
    <t>Pistoia</t>
  </si>
  <si>
    <t>TC3</t>
  </si>
  <si>
    <t>TT3</t>
  </si>
  <si>
    <t>TTC3</t>
  </si>
  <si>
    <t>TCalt3</t>
  </si>
  <si>
    <t>TTalt3</t>
  </si>
  <si>
    <t>TTCalt3</t>
  </si>
  <si>
    <t>mintime1</t>
  </si>
  <si>
    <t>alt1</t>
  </si>
  <si>
    <t>distalt1</t>
  </si>
  <si>
    <t>mintime2</t>
  </si>
  <si>
    <t>alt2</t>
  </si>
  <si>
    <t>distal2</t>
  </si>
  <si>
    <t>mintime3</t>
  </si>
  <si>
    <t>alt3</t>
  </si>
  <si>
    <t>distal3</t>
  </si>
  <si>
    <t>mintime4</t>
  </si>
  <si>
    <t>alt4</t>
  </si>
  <si>
    <t>distal5</t>
  </si>
  <si>
    <t>mintime5</t>
  </si>
  <si>
    <t>alt5</t>
  </si>
  <si>
    <t>mintime6</t>
  </si>
  <si>
    <t>alt6</t>
  </si>
  <si>
    <t>distalt6</t>
  </si>
  <si>
    <t>mintime7</t>
  </si>
  <si>
    <t>alt7</t>
  </si>
  <si>
    <t>distalt7</t>
  </si>
  <si>
    <t>mintime8</t>
  </si>
  <si>
    <t>alt8</t>
  </si>
  <si>
    <t>distalt8</t>
  </si>
  <si>
    <t>mintime9</t>
  </si>
  <si>
    <t>alt9</t>
  </si>
  <si>
    <t>distalt9</t>
  </si>
  <si>
    <t>mintime10</t>
  </si>
  <si>
    <t>alt10</t>
  </si>
  <si>
    <t>distalt10</t>
  </si>
  <si>
    <t>mintime14</t>
  </si>
  <si>
    <t>alt14</t>
  </si>
  <si>
    <t>distalt14</t>
  </si>
  <si>
    <t>mintime15</t>
  </si>
  <si>
    <t>alt15</t>
  </si>
  <si>
    <t>distalt15</t>
  </si>
  <si>
    <t>mintime16</t>
  </si>
  <si>
    <t>alt16</t>
  </si>
  <si>
    <t>distalt16</t>
  </si>
  <si>
    <t>mintime17</t>
  </si>
  <si>
    <t>alt17</t>
  </si>
  <si>
    <t>distalt17</t>
  </si>
  <si>
    <t>mintime18</t>
  </si>
  <si>
    <t>alt18</t>
  </si>
  <si>
    <t>distalt18</t>
  </si>
  <si>
    <t>AMP</t>
  </si>
  <si>
    <t>distal4</t>
  </si>
  <si>
    <t>palt18</t>
  </si>
  <si>
    <t>palt17</t>
  </si>
  <si>
    <t>palt16</t>
  </si>
  <si>
    <t>palt15</t>
  </si>
  <si>
    <t>palt14</t>
  </si>
  <si>
    <t>palt10</t>
  </si>
  <si>
    <t>palt9</t>
  </si>
  <si>
    <t>palt8</t>
  </si>
  <si>
    <t>palt7</t>
  </si>
  <si>
    <t>palt6</t>
  </si>
  <si>
    <t>palt5</t>
  </si>
  <si>
    <t>palt4</t>
  </si>
  <si>
    <t>palt3</t>
  </si>
  <si>
    <t>palt2</t>
  </si>
  <si>
    <t>palt1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</si>
</sst>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747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H146"/>
  <sheetViews>
    <sheetView tabSelected="1" topLeftCell="DI1" zoomScale="117" zoomScaleNormal="63" workbookViewId="0">
      <pane ySplit="1" topLeftCell="A2" activePane="bottomLeft" state="frozen"/>
      <selection activeCell="AJ1" sqref="AJ1"/>
      <selection pane="bottomLeft" activeCell="DW1" sqref="DW1:DW1048576"/>
    </sheetView>
  </sheetViews>
  <sheetFormatPr baseColWidth="10" defaultRowHeight="15" x14ac:dyDescent="0.2"/>
  <cols>
    <col min="137" max="137" width="14.83203125" customWidth="1"/>
  </cols>
  <sheetData>
    <row r="1" spans="1:16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363</v>
      </c>
      <c r="BP1" t="s">
        <v>364</v>
      </c>
      <c r="BQ1" t="s">
        <v>365</v>
      </c>
      <c r="BR1" t="s">
        <v>423</v>
      </c>
      <c r="BS1" t="s">
        <v>366</v>
      </c>
      <c r="BT1" t="s">
        <v>367</v>
      </c>
      <c r="BU1" t="s">
        <v>368</v>
      </c>
      <c r="BV1" t="s">
        <v>422</v>
      </c>
      <c r="BW1" t="s">
        <v>369</v>
      </c>
      <c r="BX1" t="s">
        <v>370</v>
      </c>
      <c r="BY1" t="s">
        <v>371</v>
      </c>
      <c r="BZ1" t="s">
        <v>421</v>
      </c>
      <c r="CA1" t="s">
        <v>372</v>
      </c>
      <c r="CB1" t="s">
        <v>373</v>
      </c>
      <c r="CC1" t="s">
        <v>408</v>
      </c>
      <c r="CD1" t="s">
        <v>420</v>
      </c>
      <c r="CE1" t="s">
        <v>375</v>
      </c>
      <c r="CF1" t="s">
        <v>376</v>
      </c>
      <c r="CG1" t="s">
        <v>374</v>
      </c>
      <c r="CH1" t="s">
        <v>419</v>
      </c>
      <c r="CI1" t="s">
        <v>377</v>
      </c>
      <c r="CJ1" t="s">
        <v>378</v>
      </c>
      <c r="CK1" t="s">
        <v>379</v>
      </c>
      <c r="CL1" t="s">
        <v>418</v>
      </c>
      <c r="CM1" t="s">
        <v>380</v>
      </c>
      <c r="CN1" t="s">
        <v>381</v>
      </c>
      <c r="CO1" t="s">
        <v>382</v>
      </c>
      <c r="CP1" t="s">
        <v>417</v>
      </c>
      <c r="CQ1" t="s">
        <v>383</v>
      </c>
      <c r="CR1" t="s">
        <v>384</v>
      </c>
      <c r="CS1" t="s">
        <v>385</v>
      </c>
      <c r="CT1" t="s">
        <v>416</v>
      </c>
      <c r="CU1" t="s">
        <v>386</v>
      </c>
      <c r="CV1" t="s">
        <v>387</v>
      </c>
      <c r="CW1" t="s">
        <v>388</v>
      </c>
      <c r="CX1" t="s">
        <v>415</v>
      </c>
      <c r="CY1" t="s">
        <v>389</v>
      </c>
      <c r="CZ1" t="s">
        <v>390</v>
      </c>
      <c r="DA1" t="s">
        <v>391</v>
      </c>
      <c r="DB1" t="s">
        <v>414</v>
      </c>
      <c r="DC1" t="s">
        <v>392</v>
      </c>
      <c r="DD1" t="s">
        <v>393</v>
      </c>
      <c r="DE1" t="s">
        <v>394</v>
      </c>
      <c r="DF1" t="s">
        <v>413</v>
      </c>
      <c r="DG1" t="s">
        <v>395</v>
      </c>
      <c r="DH1" t="s">
        <v>396</v>
      </c>
      <c r="DI1" t="s">
        <v>397</v>
      </c>
      <c r="DJ1" t="s">
        <v>412</v>
      </c>
      <c r="DK1" t="s">
        <v>398</v>
      </c>
      <c r="DL1" t="s">
        <v>399</v>
      </c>
      <c r="DM1" t="s">
        <v>400</v>
      </c>
      <c r="DN1" t="s">
        <v>411</v>
      </c>
      <c r="DO1" t="s">
        <v>401</v>
      </c>
      <c r="DP1" t="s">
        <v>402</v>
      </c>
      <c r="DQ1" t="s">
        <v>403</v>
      </c>
      <c r="DR1" t="s">
        <v>410</v>
      </c>
      <c r="DS1" t="s">
        <v>404</v>
      </c>
      <c r="DT1" t="s">
        <v>405</v>
      </c>
      <c r="DU1" t="s">
        <v>406</v>
      </c>
      <c r="DV1" t="s">
        <v>409</v>
      </c>
      <c r="DW1" t="s">
        <v>67</v>
      </c>
      <c r="DX1" t="s">
        <v>68</v>
      </c>
      <c r="DY1" t="s">
        <v>69</v>
      </c>
      <c r="DZ1" t="s">
        <v>70</v>
      </c>
      <c r="EA1" t="s">
        <v>71</v>
      </c>
      <c r="EB1" t="s">
        <v>72</v>
      </c>
      <c r="EC1" t="s">
        <v>73</v>
      </c>
      <c r="ED1" t="s">
        <v>74</v>
      </c>
      <c r="EE1" t="s">
        <v>75</v>
      </c>
      <c r="EF1" t="s">
        <v>76</v>
      </c>
      <c r="EG1" t="s">
        <v>77</v>
      </c>
      <c r="EH1" t="s">
        <v>78</v>
      </c>
      <c r="EI1" t="s">
        <v>79</v>
      </c>
      <c r="EJ1" t="s">
        <v>80</v>
      </c>
      <c r="EK1" t="s">
        <v>81</v>
      </c>
      <c r="EL1" t="s">
        <v>82</v>
      </c>
      <c r="EM1" t="s">
        <v>34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  <c r="EX1" t="s">
        <v>93</v>
      </c>
      <c r="EY1" t="s">
        <v>94</v>
      </c>
      <c r="EZ1" t="s">
        <v>95</v>
      </c>
      <c r="FA1" t="s">
        <v>96</v>
      </c>
      <c r="FB1" t="s">
        <v>97</v>
      </c>
      <c r="FC1" t="s">
        <v>357</v>
      </c>
      <c r="FD1" t="s">
        <v>358</v>
      </c>
      <c r="FE1" t="s">
        <v>359</v>
      </c>
      <c r="FF1" t="s">
        <v>360</v>
      </c>
      <c r="FG1" t="s">
        <v>361</v>
      </c>
      <c r="FH1" t="s">
        <v>362</v>
      </c>
    </row>
    <row r="2" spans="1:164" x14ac:dyDescent="0.2">
      <c r="A2">
        <v>1</v>
      </c>
      <c r="B2">
        <v>1</v>
      </c>
      <c r="C2">
        <v>5</v>
      </c>
      <c r="D2">
        <v>3</v>
      </c>
      <c r="E2">
        <v>12</v>
      </c>
      <c r="F2" t="s">
        <v>98</v>
      </c>
      <c r="G2" t="s">
        <v>99</v>
      </c>
      <c r="H2">
        <v>3</v>
      </c>
      <c r="I2">
        <v>2</v>
      </c>
      <c r="K2" t="s">
        <v>100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</v>
      </c>
      <c r="W2">
        <v>0</v>
      </c>
      <c r="X2">
        <v>0</v>
      </c>
      <c r="Y2">
        <v>0</v>
      </c>
      <c r="Z2">
        <v>0</v>
      </c>
      <c r="AA2">
        <v>0</v>
      </c>
      <c r="AB2">
        <v>3</v>
      </c>
      <c r="AC2">
        <v>0</v>
      </c>
      <c r="AD2">
        <v>13</v>
      </c>
      <c r="AE2">
        <v>18</v>
      </c>
      <c r="AF2">
        <v>9</v>
      </c>
      <c r="AG2">
        <v>15</v>
      </c>
      <c r="AH2">
        <v>12</v>
      </c>
      <c r="AI2">
        <v>0.148852777777778</v>
      </c>
      <c r="AJ2">
        <v>5.3047000000000004</v>
      </c>
      <c r="AK2">
        <v>0.364102777777778</v>
      </c>
      <c r="AL2">
        <v>20.123429999999999</v>
      </c>
      <c r="AM2">
        <v>0.25821388888888902</v>
      </c>
      <c r="AN2">
        <v>17.653289999999998</v>
      </c>
      <c r="AO2">
        <v>0.254355555555556</v>
      </c>
      <c r="AP2">
        <v>15.2798</v>
      </c>
      <c r="AQ2">
        <v>0.27765555555555599</v>
      </c>
      <c r="AR2">
        <v>15.60769</v>
      </c>
      <c r="AS2">
        <v>0.24284166666666701</v>
      </c>
      <c r="AT2">
        <v>12.10783</v>
      </c>
      <c r="AU2">
        <v>0.139980555555556</v>
      </c>
      <c r="AV2">
        <v>6.4346500000000004</v>
      </c>
      <c r="AW2">
        <v>0.104761111111111</v>
      </c>
      <c r="AX2">
        <v>3.3224900000000002</v>
      </c>
      <c r="AY2">
        <v>5.0305555555555598E-3</v>
      </c>
      <c r="AZ2">
        <v>0.17613000000000001</v>
      </c>
      <c r="BA2">
        <v>2.5347222222222202E-2</v>
      </c>
      <c r="BB2">
        <v>0.86799000000000004</v>
      </c>
      <c r="BC2">
        <v>0.12897500000000001</v>
      </c>
      <c r="BD2">
        <v>3.2660900000000002</v>
      </c>
      <c r="BE2">
        <v>0.21409722222222199</v>
      </c>
      <c r="BF2">
        <v>11.855460000000001</v>
      </c>
      <c r="BG2">
        <v>0.27796944444444399</v>
      </c>
      <c r="BH2">
        <v>15.25831</v>
      </c>
      <c r="BI2">
        <v>0.32179722222222201</v>
      </c>
      <c r="BJ2">
        <v>17.232230000000001</v>
      </c>
      <c r="BK2">
        <v>0.38993611111111098</v>
      </c>
      <c r="BL2">
        <v>24.047879999999999</v>
      </c>
      <c r="BM2">
        <v>0.431441666666667</v>
      </c>
      <c r="BN2">
        <v>26.04055</v>
      </c>
      <c r="BO2">
        <f>MIN(AI2,AM2,AO2,AQ2,AS2,AU2,AW2,AY2,BA2,BC2,BE2,BG2,BI2,BK2,BM2)</f>
        <v>5.0305555555555598E-3</v>
      </c>
      <c r="BP2">
        <v>8</v>
      </c>
      <c r="BQ2">
        <v>0.17613000000000001</v>
      </c>
      <c r="BR2">
        <f>IF(BP2=1,5,IF(BP2=7,3,0))</f>
        <v>0</v>
      </c>
      <c r="BS2">
        <f>MIN(AI2,AK2,AO2,AQ2,AS2,AU2,AW2,AY2,BA2,BC2,BE2,BG2,BI2,BK2,BM2)</f>
        <v>5.0305555555555598E-3</v>
      </c>
      <c r="BT2">
        <f>IF(BS2=BO2,BP2,0)</f>
        <v>8</v>
      </c>
      <c r="BU2">
        <f>IF(BS2=BO2,BQ2,0)</f>
        <v>0.17613000000000001</v>
      </c>
      <c r="BV2">
        <f>IF(BT2=1,5,IF(BT2=7,3,0))</f>
        <v>0</v>
      </c>
      <c r="BW2">
        <f>MIN(AI2,AK2,AM2,AQ2,AS2,AU2,AW2,AY2,BA2,BC2,BE2,BG2,BI2,BK2,BM2)</f>
        <v>5.0305555555555598E-3</v>
      </c>
      <c r="BX2">
        <f>IF(BW2=BO2,BP2,IF(BW2=BS2,BT2,0))</f>
        <v>8</v>
      </c>
      <c r="BY2">
        <f>IF(BW2=BO2,BQ2,IF(BW2=BS2,BU2,0))</f>
        <v>0.17613000000000001</v>
      </c>
      <c r="BZ2">
        <f>IF(BX2=1,5,IF(BX2=7,3,0))</f>
        <v>0</v>
      </c>
      <c r="CA2">
        <f>MIN(AI2,AK2,AM2,AO2,AS2,AU2,AW2,AY2,BA2,BC2,BE2,BG2,BI2,BK2,BM2)</f>
        <v>5.0305555555555598E-3</v>
      </c>
      <c r="CB2">
        <f>IF(CA2=BO2,BP2,IF(CA2=BS2,BT2,IF(CA2=BW2,BX2,0)))</f>
        <v>8</v>
      </c>
      <c r="CC2">
        <f>IF(CA2=BO2,BQ2,IF(CA2=BS2,BU2,IF(CA2=BW2,BY2,0)))</f>
        <v>0.17613000000000001</v>
      </c>
      <c r="CD2">
        <f>IF(CB2=1,5,IF(CB2=7,3,0))</f>
        <v>0</v>
      </c>
      <c r="CE2">
        <f>MIN(AI2,AK2,AM2,AO2,AQ2,AU2,AW2,AY2,BA2,BC2,BE2,BG2,BI2,BK2,BM2)</f>
        <v>5.0305555555555598E-3</v>
      </c>
      <c r="CF2">
        <f>IF(CE2=BO2,BP2,IF(CE2=BS2,BT2,IF(CE2=BW2,BX2,IF(CE2=CA2,CB2,0))))</f>
        <v>8</v>
      </c>
      <c r="CG2">
        <f>IF(CE2=BO2,BQ2,IF(CE2=BS2,BU2,IF(CE2=BW2,BY2,IF(CE2=CA2,CC2,0))))</f>
        <v>0.17613000000000001</v>
      </c>
      <c r="CH2">
        <f>IF(CF2=1,5,IF(CF2=7,3,0))</f>
        <v>0</v>
      </c>
      <c r="CI2">
        <f>MIN(AI2,AK2,AM2,AO2,AQ2,AS2,AW2,AY2,BA2,BC2,BE2,BG2,BI2,BK2,BM2)</f>
        <v>5.0305555555555598E-3</v>
      </c>
      <c r="CJ2">
        <f>IF(CI2=BO2,BP2,IF(CI2=BS2,BT2,IF(CI2=BW2,BX2,IF(CI2=CA2,CB2,IF(CI2=CE2,CF2,0)))))</f>
        <v>8</v>
      </c>
      <c r="CK2">
        <f>IF(CI2=BO2,BQ2,IF(CI2=BS2,BU2,IF(CI2=BW2,BY2,IF(CI2=CA2,CC2,IF(CI2=CE2,CG2,0)))))</f>
        <v>0.17613000000000001</v>
      </c>
      <c r="CL2">
        <f>IF(CJ2=1,5,IF(CJ2=7,3,0))</f>
        <v>0</v>
      </c>
      <c r="CM2">
        <f>MIN(AI2,AK2,AM2,AO2,AQ2,AS2,AU2,AY2,BA2,BC2,BE2,BG2,BI2,BK2,BM2)</f>
        <v>5.0305555555555598E-3</v>
      </c>
      <c r="CN2">
        <f>IF(CM2=BO2,BP2,IF(CM2=BS2,BT2,IF(CM2=BW2,BX2,IF(CM2=CA2,CB2,IF(CM2=CE2,CF2,IF(CM2=CI2,CJ2,0))))))</f>
        <v>8</v>
      </c>
      <c r="CO2">
        <f>IF(CM2=BO2,BQ2,IF(CM2=BS2,BU2,IF(CM2=BW2,BY2,IF(CM2=CA2,CC2,IF(CM2=CE2,CG2,IF(CM2=CI2,CK2,0))))))</f>
        <v>0.17613000000000001</v>
      </c>
      <c r="CP2">
        <f>IF(CN2=1,5,IF(CN2=7,3,0))</f>
        <v>0</v>
      </c>
      <c r="CQ2">
        <f>MIN(AI2,AK2,AM2,AO2,AQ2,AS2,AU2,AW2,BA2,BC2,BE2,BG2,BI2,BK2,BM2)</f>
        <v>2.5347222222222202E-2</v>
      </c>
      <c r="CR2">
        <v>9</v>
      </c>
      <c r="CS2">
        <v>0.86799000000000004</v>
      </c>
      <c r="CT2">
        <f>IF(CR2=1,5,IF(CR2=7,3,0))</f>
        <v>0</v>
      </c>
      <c r="CU2">
        <f>MIN(AI2,AK2,AM2,AO2,AQ2,AS2,AU2,AW2,AY2,BC2,BE2,BG2,BI2,BK2,BM2)</f>
        <v>5.0305555555555598E-3</v>
      </c>
      <c r="CV2">
        <f>IF(CU2=BO2,BP2,IF(CU2=BS2,BT2,IF(CU2=BW2,BX2,IF(CU2=CA2,CB2,IF(CU2=CE2,CF2,IF(CU2=CI2,CJ2,IF(CU2=CM2,CN2,IF(CU2=CQ2,CR2,0))))))))</f>
        <v>8</v>
      </c>
      <c r="CW2">
        <f>IF(CU2=BO2,BQ2,IF(CU2=BS2,BU2,IF(CU2=BW2,BY2,IF(CU2=CA2,CC2,IF(CU2=CE2,CG2,IF(CU2=CI2,CK2,IF(CU2=CM2,CO2,IF(CU2=CQ2,CS2,0))))))))</f>
        <v>0.17613000000000001</v>
      </c>
      <c r="CX2">
        <f>IF(CV2=1,5,IF(CV2=7,3,0))</f>
        <v>0</v>
      </c>
      <c r="CY2">
        <f>MIN(AI2,AK2,AM2,AO2,AQ2,AS2,AU2,AW2,AY2,BA2,BE2,BG2,BI2,BK2,BM2)</f>
        <v>5.0305555555555598E-3</v>
      </c>
      <c r="CZ2">
        <f>IF(CY2=BO2,BP2,IF(CY2=BS2,BT2,IF(CY2=BW2,BX2,IF(CY2=CA2,CB2,IF(CY2=CE2,CF2,IF(CY2=CI2,CJ2,IF(CY2=CM2,CN2,IF(CY2=CQ2,CR2,IF(CY2=CU2,CV2,0)))))))))</f>
        <v>8</v>
      </c>
      <c r="DA2">
        <f>IF(CY2=BO2,BQ2,IF(CY2=BS2,BU2,IF(CY2=BW2,BY2,IF(CY2=CA2,CC2,IF(CY2=CE2,CG2,IF(CY2=CI2,CK2,IF(CY2=CM2,CO2,IF(CY2=CQ2,CS2,IF(CY2=CU2,CW2,0)))))))))</f>
        <v>0.17613000000000001</v>
      </c>
      <c r="DB2">
        <f>IF(CZ2=1,5,IF(CZ2=7,3,0))</f>
        <v>0</v>
      </c>
      <c r="DC2">
        <f>MIN(AI2,AK2,AM2,AO2,AQ2,AS2,AU2,AW2,AY2,BA2,BC2,BG2,BI2,BK2,BM2)</f>
        <v>5.0305555555555598E-3</v>
      </c>
      <c r="DD2">
        <f>IF(DC2=BO2,BP2,IF(DC2=BS2,BT2,IF(DC2=BW2,BX2,IF(DC2=CA2,CB2,IF(DC2=CE2,CF2,IF(DC2=CI2,CJ2,IF(DC2=CM2,CN2,IF(DC2=CQ2,CR2,IF(DC2=CU2,CV2,IF(DC2=CY2,CZ2,0))))))))))</f>
        <v>8</v>
      </c>
      <c r="DE2">
        <f>IF(DC2=BO2,BQ2,IF(DC2=BS2,BU2,IF(DC2=BW2,BY2,IF(DC2=CA2,CC2,IF(DC2=CE2,CG2,IF(DC2=CI2,CK2,IF(DC2=CM2,CO2,IF(DC2=CQ2,CS2,IF(DC2=CU2,CW2,IF(DC2=CY2,DA2,0))))))))))</f>
        <v>0.17613000000000001</v>
      </c>
      <c r="DF2">
        <f>IF(DD2=1,5,IF(DD2=7,3,0))</f>
        <v>0</v>
      </c>
      <c r="DG2">
        <f>MIN(AI2,AK2,AM2,AO2,AQ2,AS2,AU2,AW2,AY2,BA2,BC2,BE2,BI2,BK2,BM2)</f>
        <v>5.0305555555555598E-3</v>
      </c>
      <c r="DH2">
        <f>IF(DG2=BO2,BP2,IF(DG2=BS2,BT2,IF(DG2=BW2,BX2,IF(DG2=CA2,CB2,IF(DG2=CE2,CF2,IF(DG2=CI2,CJ2,IF(DG2=CM2,CN2,IF(DG2=CQ2,CR2,IF(DG2=CU2,CV2,IF(DG2=CY2,CZ2,IF(DG2=DC2,DD2,0)))))))))))</f>
        <v>8</v>
      </c>
      <c r="DI2">
        <f>IF(DG2=BO2,BQ2,IF(DG2=BS2,BU2,IF(DG2=BW2,BY2,IF(DG2=CA2,CC2,IF(DG2=CE2,CG2,IF(DG2=CI2,CK2,IF(DG2=CM2,CO2,IF(DG2=CQ2,CS2,IF(DG2=CU2,CW2,IF(DG2=CY2,DA2,IF(DG2=DC2,DE2,0)))))))))))</f>
        <v>0.17613000000000001</v>
      </c>
      <c r="DJ2">
        <f>IF(DH2=1,5,IF(DH2=7,3,0))</f>
        <v>0</v>
      </c>
      <c r="DK2">
        <f>MIN(AI2,AK2,AM2,AO2,AQ2,AS2,AU2,AW2,AY2,BA2,BC2,BE2,BG2,BK2,BM2)</f>
        <v>5.0305555555555598E-3</v>
      </c>
      <c r="DL2">
        <f>IF(DK2=BO2,BP2,IF(DK2=BS2,BT2,IF(DK2=BW2,BX2,IF(DK2=CA2,CB2,IF(DK2=CE2,CF2,IF(DK2=CI2,CJ2,IF(DK2=CM2,CN2,IF(DK2=CQ2,CR2,IF(DK2=CU2,CV2,IF(DK2=CY2,CZ2,IF(DK2=DC2,DD2,IF(DK2=DG2,DH2,0))))))))))))</f>
        <v>8</v>
      </c>
      <c r="DM2">
        <f>IF(DK2=BO2,BQ2,IF(DK2=BS2,BU2,IF(DK2=BW2,BY2,IF(DK2=CA2,CC2,IF(DK2=CE2,CG2,IF(DK2=CI2,CK2,IF(DK2=CM2,CO2,IF(DK2=CQ2,CS2,IF(DK2=CU2,CW2,IF(DK2=CY2,DA2,IF(DK2=DC2,DE2,IF(DK2=DG2,DI2,0))))))))))))</f>
        <v>0.17613000000000001</v>
      </c>
      <c r="DN2">
        <f>IF(DL2=1,5,IF(DL2=7,3,0))</f>
        <v>0</v>
      </c>
      <c r="DO2">
        <f>MIN(AI2,AK2,AM2,AO2,AQ2,AS2,AU2,AW2,AY2,BA2,BC2,BE2,BG2,BI2,BM2)</f>
        <v>5.0305555555555598E-3</v>
      </c>
      <c r="DP2">
        <f>IF(DO2=BO2,BP2,IF(DO2=BS2,BT2,IF(DO2=BW2,BX2,IF(DO2=CA2,CB2,IF(DO2=CE2,CF2,IF(DO2=CI2,CJ2,IF(DO2=CM2,CN2,IF(DO2=CQ2,CR2,IF(DO2=CU2,CV2,IF(DO2=CY2,CZ2,IF(DO2=DC2,DD2,IF(DO2=DG2,DH2,IF(DO2=DK2,DL2,0)))))))))))))</f>
        <v>8</v>
      </c>
      <c r="DQ2">
        <f>IF(DO2=BO2,BQ2,IF(DO2=BS2,BU2,IF(DO2=BW2,BY2,IF(DO2=CA2,CC2,IF(DO2=CE2,CG2,IF(DO2=CI2,CK2,IF(DO2=CM2,CO2,IF(DO2=CQ2,CS2,IF(DO2=CU2,CW2,IF(DO2=CY2,DA2,IF(DO2=DC2,DE2,IF(DO2=DG2,DI2,IF(DO2=DK2,DM2,0)))))))))))))</f>
        <v>0.17613000000000001</v>
      </c>
      <c r="DR2">
        <f>IF(DP2=1,5,IF(DP2=7,3,0))</f>
        <v>0</v>
      </c>
      <c r="DS2">
        <f>MIN(AK2,AM2,AO2,AQ2,AS2,AU2,AW2,AY2,BA2,BC2,BE2,BG2,BI2,BK2)</f>
        <v>5.0305555555555598E-3</v>
      </c>
      <c r="DT2">
        <f>IF(DS2=BO2,BP2,IF(DS2=BS2,BT2,IF(DS2=BW2,BX2,IF(DS2=CA2,CB2,IF(DS2=CE2,CF2,IF(DS2=CI2,CJ2,IF(DS2=CM2,CN2,IF(DS2=CQ2,CR2,IF(DS2=CU2,CV2,IF(DS2=CY2,CZ2,IF(DS2=DC2,DD2,IF(DS2=DG2,DH2,IF(DS2=DK2,DL2,IF(DS2=DO2,DP2,0))))))))))))))</f>
        <v>8</v>
      </c>
      <c r="DU2">
        <f>IF(DS2=BO2,BQ2,IF(DS2=BS2,BU2,IF(DS2=BW2,BY2,IF(DS2=CA2,CC2,IF(DS2=CE2,CG2,IF(DS2=CI2,CK2,IF(DS2=CM2,CO2,IF(DS2=CQ2,CS2,IF(DS2=CU2,CW2,IF(DS2=CY2,DA2,IF(DS2=DC2,DE2,IF(DS2=DG2,DI2,IF(DS2=DK2,DM2,IF(DS2=DO2,DQ2,0))))))))))))))</f>
        <v>0.17613000000000001</v>
      </c>
      <c r="DV2">
        <f>IF(DT2=1,5,IF(DT2=7,3,0))</f>
        <v>0</v>
      </c>
      <c r="DW2">
        <v>22500.5</v>
      </c>
      <c r="DX2">
        <v>6</v>
      </c>
      <c r="DY2">
        <v>0</v>
      </c>
      <c r="DZ2">
        <v>4</v>
      </c>
      <c r="EA2">
        <v>4</v>
      </c>
      <c r="EB2">
        <v>10.114099490560401</v>
      </c>
      <c r="EC2">
        <v>0.66666666666666696</v>
      </c>
      <c r="ED2">
        <v>1.12640733333333</v>
      </c>
      <c r="EE2">
        <v>5.0305555555555598E-3</v>
      </c>
      <c r="EF2">
        <v>0.17613000000000001</v>
      </c>
      <c r="EG2">
        <v>3.8601575430104802</v>
      </c>
      <c r="EH2">
        <v>8</v>
      </c>
      <c r="EI2">
        <v>0</v>
      </c>
      <c r="EJ2">
        <v>1.52646E-2</v>
      </c>
      <c r="EK2">
        <v>1</v>
      </c>
      <c r="EL2">
        <v>1</v>
      </c>
      <c r="EM2">
        <v>65</v>
      </c>
      <c r="EN2">
        <v>0</v>
      </c>
      <c r="EO2">
        <v>1</v>
      </c>
      <c r="EP2">
        <v>12</v>
      </c>
      <c r="EQ2">
        <v>9</v>
      </c>
      <c r="ER2">
        <v>14.1987814663817</v>
      </c>
      <c r="ES2">
        <v>4.2270561246610896</v>
      </c>
      <c r="ET2">
        <v>5.3534634579944198</v>
      </c>
      <c r="EU2">
        <v>0.14285551797565099</v>
      </c>
      <c r="EV2">
        <v>0.15812011797565101</v>
      </c>
      <c r="EW2">
        <v>1.52646E-2</v>
      </c>
      <c r="EX2">
        <v>0.14285551797565099</v>
      </c>
      <c r="EY2">
        <v>0.15812011797565101</v>
      </c>
      <c r="EZ2">
        <v>7.5225799999999995E-2</v>
      </c>
      <c r="FA2">
        <v>0.71979933822629305</v>
      </c>
      <c r="FB2">
        <v>0.79502513822629295</v>
      </c>
      <c r="FC2">
        <v>1.3242493333333301</v>
      </c>
      <c r="FD2">
        <v>7.22307789618689</v>
      </c>
      <c r="FE2">
        <v>8.5473272295202207</v>
      </c>
      <c r="FF2">
        <v>1.52646E-2</v>
      </c>
      <c r="FG2">
        <v>0.14285551797565099</v>
      </c>
      <c r="FH2">
        <v>0.15812011797565101</v>
      </c>
    </row>
    <row r="3" spans="1:164" x14ac:dyDescent="0.2">
      <c r="A3">
        <v>2</v>
      </c>
      <c r="B3">
        <v>3</v>
      </c>
      <c r="C3">
        <v>9</v>
      </c>
      <c r="D3">
        <v>1</v>
      </c>
      <c r="E3">
        <v>11</v>
      </c>
      <c r="F3" t="s">
        <v>101</v>
      </c>
      <c r="G3" t="s">
        <v>102</v>
      </c>
      <c r="H3">
        <v>3</v>
      </c>
      <c r="I3">
        <v>3</v>
      </c>
      <c r="K3" t="s">
        <v>103</v>
      </c>
      <c r="L3">
        <v>0</v>
      </c>
      <c r="M3">
        <v>0</v>
      </c>
      <c r="N3">
        <v>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3</v>
      </c>
      <c r="AC3">
        <v>0</v>
      </c>
      <c r="AD3">
        <v>2</v>
      </c>
      <c r="AE3">
        <v>8</v>
      </c>
      <c r="AF3">
        <v>4</v>
      </c>
      <c r="AG3">
        <v>5</v>
      </c>
      <c r="AH3">
        <v>8</v>
      </c>
      <c r="AI3">
        <v>0.38467777777777801</v>
      </c>
      <c r="AJ3">
        <v>21.344850000000001</v>
      </c>
      <c r="AK3">
        <v>0.355172222222222</v>
      </c>
      <c r="AL3">
        <v>10.44768</v>
      </c>
      <c r="AM3">
        <v>0.25251944444444402</v>
      </c>
      <c r="AN3">
        <v>9.7051300000000005</v>
      </c>
      <c r="AO3">
        <v>0.23780833333333301</v>
      </c>
      <c r="AP3">
        <v>8.2443100000000005</v>
      </c>
      <c r="AQ3">
        <v>0.30073611111111098</v>
      </c>
      <c r="AR3">
        <v>10.316190000000001</v>
      </c>
      <c r="AS3">
        <v>0.29335555555555598</v>
      </c>
      <c r="AT3">
        <v>9.8129299999999997</v>
      </c>
      <c r="AU3">
        <v>0.28803055555555601</v>
      </c>
      <c r="AV3">
        <v>12.219329999999999</v>
      </c>
      <c r="AW3">
        <v>0.30960833333333299</v>
      </c>
      <c r="AX3">
        <v>16.59488</v>
      </c>
      <c r="AY3">
        <v>0.31959444444444401</v>
      </c>
      <c r="AZ3">
        <v>17.83361</v>
      </c>
      <c r="BA3">
        <v>0.33294444444444399</v>
      </c>
      <c r="BB3">
        <v>19.154330000000002</v>
      </c>
      <c r="BC3">
        <v>0.39377222222222202</v>
      </c>
      <c r="BD3">
        <v>20.479019999999998</v>
      </c>
      <c r="BE3">
        <v>0.40479166666666699</v>
      </c>
      <c r="BF3">
        <v>26.855979999999999</v>
      </c>
      <c r="BG3">
        <v>0.46866388888888899</v>
      </c>
      <c r="BH3">
        <v>30.25883</v>
      </c>
      <c r="BI3">
        <v>0.51249166666666701</v>
      </c>
      <c r="BJ3">
        <v>32.232750000000003</v>
      </c>
      <c r="BK3">
        <v>0.58063055555555598</v>
      </c>
      <c r="BL3">
        <v>39.048400000000001</v>
      </c>
      <c r="BM3">
        <v>0.622136111111111</v>
      </c>
      <c r="BN3">
        <v>41.041069999999998</v>
      </c>
      <c r="BO3">
        <f t="shared" ref="BO3:BO66" si="0">MIN(AI3,AM3,AO3,AQ3,AS3,AU3,AW3,AY3,BA3,BC3,BE3,BG3,BI3,BK3,BM3)</f>
        <v>0.23780833333333301</v>
      </c>
      <c r="BP3">
        <v>3</v>
      </c>
      <c r="BQ3">
        <v>8.2443100000000005</v>
      </c>
      <c r="BR3">
        <f t="shared" ref="BR3:BR66" si="1">IF(BP3=1,5,IF(BP3=7,3,0))</f>
        <v>0</v>
      </c>
      <c r="BS3">
        <f t="shared" ref="BS3:BS66" si="2">MIN(AI3,AK3,AO3,AQ3,AS3,AU3,AW3,AY3,BA3,BC3,BE3,BG3,BI3,BK3,BM3)</f>
        <v>0.23780833333333301</v>
      </c>
      <c r="BT3">
        <f t="shared" ref="BT3:BT66" si="3">IF(BS3=BO3,BP3,0)</f>
        <v>3</v>
      </c>
      <c r="BU3">
        <f t="shared" ref="BU3:BU66" si="4">IF(BS3=BO3,BQ3,0)</f>
        <v>8.2443100000000005</v>
      </c>
      <c r="BV3">
        <f t="shared" ref="BV3:BV66" si="5">IF(BT3=1,5,IF(BT3=7,3,0))</f>
        <v>0</v>
      </c>
      <c r="BW3">
        <f t="shared" ref="BW3:BW66" si="6">MIN(AI3,AK3,AM3,AQ3,AS3,AU3,AW3,AY3,BA3,BC3,BE3,BG3,BI3,BK3,BM3)</f>
        <v>0.25251944444444402</v>
      </c>
      <c r="BX3">
        <v>2</v>
      </c>
      <c r="BY3">
        <v>9.7051300000000005</v>
      </c>
      <c r="BZ3">
        <f t="shared" ref="BZ3:BZ66" si="7">IF(BX3=1,5,IF(BX3=7,3,0))</f>
        <v>0</v>
      </c>
      <c r="CA3">
        <f t="shared" ref="CA3:CA66" si="8">MIN(AI3,AK3,AM3,AO3,AS3,AU3,AW3,AY3,BA3,BC3,BE3,BG3,BI3,BK3,BM3)</f>
        <v>0.23780833333333301</v>
      </c>
      <c r="CB3">
        <f>IF(CA3=BO3,BP3,IF(CA3=BS3,BT3,IF(CA3=BW3,BX3,0)))</f>
        <v>3</v>
      </c>
      <c r="CC3">
        <f>IF(CA3=BO3,BQ3,IF(CA3=BS3,BU3,IF(CA3=BW3,BY3,0)))</f>
        <v>8.2443100000000005</v>
      </c>
      <c r="CD3">
        <f t="shared" ref="CD3:CD66" si="9">IF(CB3=1,5,IF(CB3=7,3,0))</f>
        <v>0</v>
      </c>
      <c r="CE3">
        <f t="shared" ref="CE3:CE66" si="10">MIN(AI3,AK3,AM3,AO3,AQ3,AU3,AW3,AY3,BA3,BC3,BE3,BG3,BI3,BK3,BM3)</f>
        <v>0.23780833333333301</v>
      </c>
      <c r="CF3">
        <f>IF(CE3=BO3,BP3,IF(CE3=BS3,BT3,IF(CE3=BW3,BX3,IF(CE3=CA3,CB3,0))))</f>
        <v>3</v>
      </c>
      <c r="CG3">
        <f>IF(CE3=BO3,BQ3,IF(CE3=BS3,BU3,IF(CE3=BW3,BY3,IF(CE3=CA3,CC3,0))))</f>
        <v>8.2443100000000005</v>
      </c>
      <c r="CH3">
        <f t="shared" ref="CH3:CH66" si="11">IF(CF3=1,5,IF(CF3=7,3,0))</f>
        <v>0</v>
      </c>
      <c r="CI3">
        <f t="shared" ref="CI3:CI66" si="12">MIN(AI3,AK3,AM3,AO3,AQ3,AS3,AW3,AY3,BA3,BC3,BE3,BG3,BI3,BK3,BM3)</f>
        <v>0.23780833333333301</v>
      </c>
      <c r="CJ3">
        <f>IF(CI3=BO3,BP3,IF(CI3=BS3,BT3,IF(CI3=BW3,BX3,IF(CI3=CA3,CB3,IF(CI3=CE3,CF3,0)))))</f>
        <v>3</v>
      </c>
      <c r="CK3">
        <f>IF(CI3=BO3,BQ3,IF(CI3=BS3,BU3,IF(CI3=BW3,BY3,IF(CI3=CA3,CC3,IF(CI3=CE3,CG3,0)))))</f>
        <v>8.2443100000000005</v>
      </c>
      <c r="CL3">
        <f t="shared" ref="CL3:CL66" si="13">IF(CJ3=1,5,IF(CJ3=7,3,0))</f>
        <v>0</v>
      </c>
      <c r="CM3">
        <f t="shared" ref="CM3:CM66" si="14">MIN(AI3,AK3,AM3,AO3,AQ3,AS3,AU3,AY3,BA3,BC3,BE3,BG3,BI3,BK3,BM3)</f>
        <v>0.23780833333333301</v>
      </c>
      <c r="CN3">
        <f>IF(CM3=BO3,BP3,IF(CM3=BS3,BT3,IF(CM3=BW3,BX3,IF(CM3=CA3,CB3,IF(CM3=CE3,CF3,IF(CM3=CI3,CJ3,0))))))</f>
        <v>3</v>
      </c>
      <c r="CO3">
        <f>IF(CM3=BO3,BQ3,IF(CM3=BS3,BU3,IF(CM3=BW3,BY3,IF(CM3=CA3,CC3,IF(CM3=CE3,CG3,IF(CM3=CI3,CK3,0))))))</f>
        <v>8.2443100000000005</v>
      </c>
      <c r="CP3">
        <f t="shared" ref="CP3:CP66" si="15">IF(CN3=1,5,IF(CN3=7,3,0))</f>
        <v>0</v>
      </c>
      <c r="CQ3">
        <f t="shared" ref="CQ3:CQ66" si="16">MIN(AI3,AK3,AM3,AO3,AQ3,AS3,AU3,AW3,BA3,BC3,BE3,BG3,BI3,BK3,BM3)</f>
        <v>0.23780833333333301</v>
      </c>
      <c r="CR3">
        <f>IF(CQ3=BO3,BP3,IF(CQ3=BS3,BT3,IF(CQ3=BW3,BX3,IF(CQ3=CA3,CB3,IF(CQ3=CE3,CF3,IF(CQ3=CI3,CJ3,IF(CQ3=CM3,CN3,0)))))))</f>
        <v>3</v>
      </c>
      <c r="CS3">
        <f>IF(CQ3=BO3,BQ3,IF(CQ3=BS3,BU3,IF(CQ3=BW3,BY3,IF(CQ3=CA3,CC3,IF(CQ3=CE3,CG3,IF(CQ3=CI3,CK3,IF(CQ3=CM3,CO3,0)))))))</f>
        <v>8.2443100000000005</v>
      </c>
      <c r="CT3">
        <f t="shared" ref="CT3:CT66" si="17">IF(CR3=1,5,IF(CR3=7,3,0))</f>
        <v>0</v>
      </c>
      <c r="CU3">
        <f t="shared" ref="CU3:CU66" si="18">MIN(AI3,AK3,AM3,AO3,AQ3,AS3,AU3,AW3,AY3,BC3,BE3,BG3,BI3,BK3,BM3)</f>
        <v>0.23780833333333301</v>
      </c>
      <c r="CV3">
        <f>IF(CU3=BO3,BP3,IF(CU3=BS3,BT3,IF(CU3=BW3,BX3,IF(CU3=CA3,CB3,IF(CU3=CE3,CF3,IF(CU3=CI3,CJ3,IF(CU3=CM3,CN3,IF(CU3=CQ3,CR3,0))))))))</f>
        <v>3</v>
      </c>
      <c r="CW3">
        <f>IF(CU3=BO3,BQ3,IF(CU3=BS3,BU3,IF(CU3=BW3,BY3,IF(CU3=CA3,CC3,IF(CU3=CE3,CG3,IF(CU3=CI3,CK3,IF(CU3=CM3,CO3,IF(CU3=CQ3,CS3,0))))))))</f>
        <v>8.2443100000000005</v>
      </c>
      <c r="CX3">
        <f t="shared" ref="CX3:CX66" si="19">IF(CV3=1,5,IF(CV3=7,3,0))</f>
        <v>0</v>
      </c>
      <c r="CY3">
        <f t="shared" ref="CY3:CY66" si="20">MIN(AI3,AK3,AM3,AO3,AQ3,AS3,AU3,AW3,AY3,BA3,BE3,BG3,BI3,BK3,BM3)</f>
        <v>0.23780833333333301</v>
      </c>
      <c r="CZ3">
        <f>IF(CY3=BO3,BP3,IF(CY3=BS3,BT3,IF(CY3=BW3,BX3,IF(CY3=CA3,CB3,IF(CY3=CE3,CF3,IF(CY3=CI3,CJ3,IF(CY3=CM3,CN3,IF(CY3=CQ3,CR3,IF(CY3=CU3,CV3,0)))))))))</f>
        <v>3</v>
      </c>
      <c r="DA3">
        <f>IF(CY3=BO3,BQ3,IF(CY3=BS3,BU3,IF(CY3=BW3,BY3,IF(CY3=CA3,CC3,IF(CY3=CE3,CG3,IF(CY3=CI3,CK3,IF(CY3=CM3,CO3,IF(CY3=CQ3,CS3,IF(CY3=CU3,CW3,0)))))))))</f>
        <v>8.2443100000000005</v>
      </c>
      <c r="DB3">
        <f t="shared" ref="DB3:DB66" si="21">IF(CZ3=1,5,IF(CZ3=7,3,0))</f>
        <v>0</v>
      </c>
      <c r="DC3">
        <f t="shared" ref="DC3:DC66" si="22">MIN(AI3,AK3,AM3,AO3,AQ3,AS3,AU3,AW3,AY3,BA3,BC3,BG3,BI3,BK3,BM3)</f>
        <v>0.23780833333333301</v>
      </c>
      <c r="DD3">
        <f>IF(DC3=BO3,BP3,IF(DC3=BS3,BT3,IF(DC3=BW3,BX3,IF(DC3=CA3,CB3,IF(DC3=CE3,CF3,IF(DC3=CI3,CJ3,IF(DC3=CM3,CN3,IF(DC3=CQ3,CR3,IF(DC3=CU3,CV3,IF(DC3=CY3,CZ3,0))))))))))</f>
        <v>3</v>
      </c>
      <c r="DE3">
        <f>IF(DC3=BO3,BQ3,IF(DC3=BS3,BU3,IF(DC3=BW3,BY3,IF(DC3=CA3,CC3,IF(DC3=CE3,CG3,IF(DC3=CI3,CK3,IF(DC3=CM3,CO3,IF(DC3=CQ3,CS3,IF(DC3=CU3,CW3,IF(DC3=CY3,DA3,0))))))))))</f>
        <v>8.2443100000000005</v>
      </c>
      <c r="DF3">
        <f t="shared" ref="DF3:DF66" si="23">IF(DD3=1,5,IF(DD3=7,3,0))</f>
        <v>0</v>
      </c>
      <c r="DG3">
        <f t="shared" ref="DG3:DG66" si="24">MIN(AI3,AK3,AM3,AO3,AQ3,AS3,AU3,AW3,AY3,BA3,BC3,BE3,BI3,BK3,BM3)</f>
        <v>0.23780833333333301</v>
      </c>
      <c r="DH3">
        <f>IF(DG3=BO3,BP3,IF(DG3=BS3,BT3,IF(DG3=BW3,BX3,IF(DG3=CA3,CB3,IF(DG3=CE3,CF3,IF(DG3=CI3,CJ3,IF(DG3=CM3,CN3,IF(DG3=CQ3,CR3,IF(DG3=CU3,CV3,IF(DG3=CY3,CZ3,IF(DG3=DC3,DD3,0)))))))))))</f>
        <v>3</v>
      </c>
      <c r="DI3">
        <f>IF(DG3=BO3,BQ3,IF(DG3=BS3,BU3,IF(DG3=BW3,BY3,IF(DG3=CA3,CC3,IF(DG3=CE3,CG3,IF(DG3=CI3,CK3,IF(DG3=CM3,CO3,IF(DG3=CQ3,CS3,IF(DG3=CU3,CW3,IF(DG3=CY3,DA3,IF(DG3=DC3,DE3,0)))))))))))</f>
        <v>8.2443100000000005</v>
      </c>
      <c r="DJ3">
        <f t="shared" ref="DJ3:DJ66" si="25">IF(DH3=1,5,IF(DH3=7,3,0))</f>
        <v>0</v>
      </c>
      <c r="DK3">
        <f t="shared" ref="DK3:DK66" si="26">MIN(AI3,AK3,AM3,AO3,AQ3,AS3,AU3,AW3,AY3,BA3,BC3,BE3,BG3,BK3,BM3)</f>
        <v>0.23780833333333301</v>
      </c>
      <c r="DL3">
        <f>IF(DK3=BO3,BP3,IF(DK3=BS3,BT3,IF(DK3=BW3,BX3,IF(DK3=CA3,CB3,IF(DK3=CE3,CF3,IF(DK3=CI3,CJ3,IF(DK3=CM3,CN3,IF(DK3=CQ3,CR3,IF(DK3=CU3,CV3,IF(DK3=CY3,CZ3,IF(DK3=DC3,DD3,IF(DK3=DG3,DH3,0))))))))))))</f>
        <v>3</v>
      </c>
      <c r="DM3">
        <f>IF(DK3=BO3,BQ3,IF(DK3=BS3,BU3,IF(DK3=BW3,BY3,IF(DK3=CA3,CC3,IF(DK3=CE3,CG3,IF(DK3=CI3,CK3,IF(DK3=CM3,CO3,IF(DK3=CQ3,CS3,IF(DK3=CU3,CW3,IF(DK3=CY3,DA3,IF(DK3=DC3,DE3,IF(DK3=DG3,DI3,0))))))))))))</f>
        <v>8.2443100000000005</v>
      </c>
      <c r="DN3">
        <f t="shared" ref="DN3:DN66" si="27">IF(DL3=1,5,IF(DL3=7,3,0))</f>
        <v>0</v>
      </c>
      <c r="DO3">
        <f t="shared" ref="DO3:DO66" si="28">MIN(AI3,AK3,AM3,AO3,AQ3,AS3,AU3,AW3,AY3,BA3,BC3,BE3,BG3,BI3,BM3)</f>
        <v>0.23780833333333301</v>
      </c>
      <c r="DP3">
        <f>IF(DO3=BO3,BP3,IF(DO3=BS3,BT3,IF(DO3=BW3,BX3,IF(DO3=CA3,CB3,IF(DO3=CE3,CF3,IF(DO3=CI3,CJ3,IF(DO3=CM3,CN3,IF(DO3=CQ3,CR3,IF(DO3=CU3,CV3,IF(DO3=CY3,CZ3,IF(DO3=DC3,DD3,IF(DO3=DG3,DH3,IF(DO3=DK3,DL3,0)))))))))))))</f>
        <v>3</v>
      </c>
      <c r="DQ3">
        <f>IF(DO3=BO3,BQ3,IF(DO3=BS3,BU3,IF(DO3=BW3,BY3,IF(DO3=CA3,CC3,IF(DO3=CE3,CG3,IF(DO3=CI3,CK3,IF(DO3=CM3,CO3,IF(DO3=CQ3,CS3,IF(DO3=CU3,CW3,IF(DO3=CY3,DA3,IF(DO3=DC3,DE3,IF(DO3=DG3,DI3,IF(DO3=DK3,DM3,0)))))))))))))</f>
        <v>8.2443100000000005</v>
      </c>
      <c r="DR3">
        <f t="shared" ref="DR3:DR66" si="29">IF(DP3=1,5,IF(DP3=7,3,0))</f>
        <v>0</v>
      </c>
      <c r="DS3">
        <f t="shared" ref="DS3:DS66" si="30">MIN(AK3,AM3,AO3,AQ3,AS3,AU3,AW3,AY3,BA3,BC3,BE3,BG3,BI3,BK3)</f>
        <v>0.23780833333333301</v>
      </c>
      <c r="DT3">
        <f>IF(DS3=BO3,BP3,IF(DS3=BS3,BT3,IF(DS3=BW3,BX3,IF(DS3=CA3,CB3,IF(DS3=CE3,CF3,IF(DS3=CI3,CJ3,IF(DS3=CM3,CN3,IF(DS3=CQ3,CR3,IF(DS3=CU3,CV3,IF(DS3=CY3,CZ3,IF(DS3=DC3,DD3,IF(DS3=DG3,DH3,IF(DS3=DK3,DL3,IF(DS3=DO3,DP3,0))))))))))))))</f>
        <v>3</v>
      </c>
      <c r="DU3">
        <f>IF(DS3=BO3,BQ3,IF(DS3=BS3,BU3,IF(DS3=BW3,BY3,IF(DS3=CA3,CC3,IF(DS3=CE3,CG3,IF(DS3=CI3,CK3,IF(DS3=CM3,CO3,IF(DS3=CQ3,CS3,IF(DS3=CU3,CW3,IF(DS3=CY3,DA3,IF(DS3=DC3,DE3,IF(DS3=DG3,DI3,IF(DS3=DK3,DM3,IF(DS3=DO3,DQ3,0))))))))))))))</f>
        <v>8.2443100000000005</v>
      </c>
      <c r="DV3">
        <f t="shared" ref="DV3:DV66" si="31">IF(DT3=1,5,IF(DT3=7,3,0))</f>
        <v>0</v>
      </c>
      <c r="DW3">
        <v>22500.5</v>
      </c>
      <c r="DX3">
        <v>2</v>
      </c>
      <c r="DY3">
        <v>35</v>
      </c>
      <c r="DZ3">
        <v>4</v>
      </c>
      <c r="EA3">
        <v>4</v>
      </c>
      <c r="EB3">
        <v>10.114099490560401</v>
      </c>
      <c r="EC3">
        <v>2</v>
      </c>
      <c r="ED3">
        <v>7.5496610000000004</v>
      </c>
      <c r="EE3">
        <v>0.23780833333333301</v>
      </c>
      <c r="EF3">
        <v>8.2443100000000005</v>
      </c>
      <c r="EG3">
        <v>11.9839531879212</v>
      </c>
      <c r="EH3">
        <v>3</v>
      </c>
      <c r="EI3">
        <v>0</v>
      </c>
      <c r="EJ3">
        <v>2.1435206</v>
      </c>
      <c r="EK3">
        <v>1</v>
      </c>
      <c r="EL3">
        <v>0</v>
      </c>
      <c r="EM3">
        <v>36</v>
      </c>
      <c r="EN3">
        <v>1</v>
      </c>
      <c r="EO3">
        <v>3</v>
      </c>
      <c r="EP3">
        <v>8</v>
      </c>
      <c r="EQ3">
        <v>4</v>
      </c>
      <c r="ER3">
        <v>14.1987814663817</v>
      </c>
      <c r="ES3">
        <v>10.92391140328</v>
      </c>
      <c r="ET3">
        <v>18.473572403279999</v>
      </c>
      <c r="EU3">
        <v>6.7531771117688901</v>
      </c>
      <c r="EV3">
        <v>8.8966977117688906</v>
      </c>
      <c r="EW3">
        <v>4.6367386000000002</v>
      </c>
      <c r="EX3">
        <v>9.07570334907264</v>
      </c>
      <c r="EY3">
        <v>13.7124419490726</v>
      </c>
      <c r="EZ3">
        <v>2.1435206</v>
      </c>
      <c r="FA3">
        <v>6.7531771117688901</v>
      </c>
      <c r="FB3">
        <v>8.8966977117688906</v>
      </c>
      <c r="FC3">
        <v>2.1435206</v>
      </c>
      <c r="FD3">
        <v>6.7531771117688901</v>
      </c>
      <c r="FE3">
        <v>8.8966977117688906</v>
      </c>
      <c r="FF3">
        <v>2.5233338000000001</v>
      </c>
      <c r="FG3">
        <v>7.1709368153575399</v>
      </c>
      <c r="FH3">
        <v>9.6942706153575404</v>
      </c>
    </row>
    <row r="4" spans="1:164" x14ac:dyDescent="0.2">
      <c r="A4">
        <v>3</v>
      </c>
      <c r="B4">
        <v>4</v>
      </c>
      <c r="C4">
        <v>10</v>
      </c>
      <c r="D4">
        <v>1</v>
      </c>
      <c r="E4">
        <v>11</v>
      </c>
      <c r="F4" t="s">
        <v>104</v>
      </c>
      <c r="G4" t="s">
        <v>105</v>
      </c>
      <c r="H4">
        <v>3</v>
      </c>
      <c r="I4">
        <v>4</v>
      </c>
      <c r="K4" t="s">
        <v>106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3</v>
      </c>
      <c r="W4">
        <v>0</v>
      </c>
      <c r="X4">
        <v>0</v>
      </c>
      <c r="Y4">
        <v>0</v>
      </c>
      <c r="Z4">
        <v>1</v>
      </c>
      <c r="AA4">
        <v>0</v>
      </c>
      <c r="AB4">
        <v>3</v>
      </c>
      <c r="AC4">
        <v>0</v>
      </c>
      <c r="AD4">
        <v>13</v>
      </c>
      <c r="AE4">
        <v>20</v>
      </c>
      <c r="AF4">
        <v>10</v>
      </c>
      <c r="AG4">
        <v>15</v>
      </c>
      <c r="AH4">
        <v>8</v>
      </c>
      <c r="AI4">
        <v>0.35</v>
      </c>
      <c r="AJ4">
        <v>16.899999999999999</v>
      </c>
      <c r="AK4">
        <v>0.55000000000000004</v>
      </c>
      <c r="AL4">
        <v>38.5</v>
      </c>
      <c r="AM4">
        <v>0.53333333333333299</v>
      </c>
      <c r="AN4">
        <v>35.4</v>
      </c>
      <c r="AO4">
        <v>0.53333333333333299</v>
      </c>
      <c r="AP4">
        <v>35.200000000000003</v>
      </c>
      <c r="AQ4">
        <v>0.6</v>
      </c>
      <c r="AR4">
        <v>36.5</v>
      </c>
      <c r="AS4">
        <v>0.483333333333333</v>
      </c>
      <c r="AT4">
        <v>29.3</v>
      </c>
      <c r="AU4">
        <v>0.43333333333333302</v>
      </c>
      <c r="AV4">
        <v>24.3</v>
      </c>
      <c r="AW4">
        <v>0.4</v>
      </c>
      <c r="AX4">
        <v>22.3</v>
      </c>
      <c r="AY4">
        <v>0.38333333333333303</v>
      </c>
      <c r="AZ4">
        <v>20.9</v>
      </c>
      <c r="BA4">
        <v>0.35</v>
      </c>
      <c r="BB4">
        <v>20.3</v>
      </c>
      <c r="BC4">
        <v>0.38333333333333303</v>
      </c>
      <c r="BD4">
        <v>17.600000000000001</v>
      </c>
      <c r="BE4">
        <v>0.28333333333333299</v>
      </c>
      <c r="BF4">
        <v>16</v>
      </c>
      <c r="BG4">
        <v>0.3</v>
      </c>
      <c r="BH4">
        <v>19.100000000000001</v>
      </c>
      <c r="BI4">
        <v>0.35</v>
      </c>
      <c r="BJ4">
        <v>21.1</v>
      </c>
      <c r="BK4">
        <v>0.36666666666666697</v>
      </c>
      <c r="BL4">
        <v>24.5</v>
      </c>
      <c r="BM4">
        <v>0.4</v>
      </c>
      <c r="BN4">
        <v>26.5</v>
      </c>
      <c r="BO4">
        <f t="shared" si="0"/>
        <v>0.28333333333333299</v>
      </c>
      <c r="BP4">
        <v>14</v>
      </c>
      <c r="BQ4">
        <v>16</v>
      </c>
      <c r="BR4">
        <f t="shared" si="1"/>
        <v>0</v>
      </c>
      <c r="BS4">
        <f t="shared" si="2"/>
        <v>0.28333333333333299</v>
      </c>
      <c r="BT4">
        <f t="shared" si="3"/>
        <v>14</v>
      </c>
      <c r="BU4">
        <f t="shared" si="4"/>
        <v>16</v>
      </c>
      <c r="BV4">
        <f t="shared" si="5"/>
        <v>0</v>
      </c>
      <c r="BW4">
        <f t="shared" si="6"/>
        <v>0.28333333333333299</v>
      </c>
      <c r="BX4">
        <f t="shared" ref="BX3:BX66" si="32">IF(BW4=BO4,BP4,IF(BW4=BS4,BT4,0))</f>
        <v>14</v>
      </c>
      <c r="BY4">
        <f t="shared" ref="BY3:BY66" si="33">IF(BW4=BO4,BQ4,IF(BW4=BS4,BU4,0))</f>
        <v>16</v>
      </c>
      <c r="BZ4">
        <f t="shared" si="7"/>
        <v>0</v>
      </c>
      <c r="CA4">
        <f t="shared" si="8"/>
        <v>0.28333333333333299</v>
      </c>
      <c r="CB4">
        <f>IF(CA4=BO4,BP4,IF(CA4=BS4,BT4,IF(CA4=BW4,BX4,0)))</f>
        <v>14</v>
      </c>
      <c r="CC4">
        <f>IF(CA4=BO4,BQ4,IF(CA4=BS4,BU4,IF(CA4=BW4,BY4,0)))</f>
        <v>16</v>
      </c>
      <c r="CD4">
        <f t="shared" si="9"/>
        <v>0</v>
      </c>
      <c r="CE4">
        <f t="shared" si="10"/>
        <v>0.28333333333333299</v>
      </c>
      <c r="CF4">
        <f>IF(CE4=BO4,BP4,IF(CE4=BS4,BT4,IF(CE4=BW4,BX4,IF(CE4=CA4,CB4,0))))</f>
        <v>14</v>
      </c>
      <c r="CG4">
        <f>IF(CE4=BO4,BQ4,IF(CE4=BS4,BU4,IF(CE4=BW4,BY4,IF(CE4=CA4,CC4,0))))</f>
        <v>16</v>
      </c>
      <c r="CH4">
        <f t="shared" si="11"/>
        <v>0</v>
      </c>
      <c r="CI4">
        <f t="shared" si="12"/>
        <v>0.28333333333333299</v>
      </c>
      <c r="CJ4">
        <f>IF(CI4=BO4,BP4,IF(CI4=BS4,BT4,IF(CI4=BW4,BX4,IF(CI4=CA4,CB4,IF(CI4=CE4,CF4,0)))))</f>
        <v>14</v>
      </c>
      <c r="CK4">
        <f>IF(CI4=BO4,BQ4,IF(CI4=BS4,BU4,IF(CI4=BW4,BY4,IF(CI4=CA4,CC4,IF(CI4=CE4,CG4,0)))))</f>
        <v>16</v>
      </c>
      <c r="CL4">
        <f t="shared" si="13"/>
        <v>0</v>
      </c>
      <c r="CM4">
        <f t="shared" si="14"/>
        <v>0.28333333333333299</v>
      </c>
      <c r="CN4">
        <f>IF(CM4=BO4,BP4,IF(CM4=BS4,BT4,IF(CM4=BW4,BX4,IF(CM4=CA4,CB4,IF(CM4=CE4,CF4,IF(CM4=CI4,CJ4,0))))))</f>
        <v>14</v>
      </c>
      <c r="CO4">
        <f>IF(CM4=BO4,BQ4,IF(CM4=BS4,BU4,IF(CM4=BW4,BY4,IF(CM4=CA4,CC4,IF(CM4=CE4,CG4,IF(CM4=CI4,CK4,0))))))</f>
        <v>16</v>
      </c>
      <c r="CP4">
        <f t="shared" si="15"/>
        <v>0</v>
      </c>
      <c r="CQ4">
        <f t="shared" si="16"/>
        <v>0.28333333333333299</v>
      </c>
      <c r="CR4">
        <f>IF(CQ4=BO4,BP4,IF(CQ4=BS4,BT4,IF(CQ4=BW4,BX4,IF(CQ4=CA4,CB4,IF(CQ4=CE4,CF4,IF(CQ4=CI4,CJ4,IF(CQ4=CM4,CN4,0)))))))</f>
        <v>14</v>
      </c>
      <c r="CS4">
        <f>IF(CQ4=BO4,BQ4,IF(CQ4=BS4,BU4,IF(CQ4=BW4,BY4,IF(CQ4=CA4,CC4,IF(CQ4=CE4,CG4,IF(CQ4=CI4,CK4,IF(CQ4=CM4,CO4,0)))))))</f>
        <v>16</v>
      </c>
      <c r="CT4">
        <f t="shared" si="17"/>
        <v>0</v>
      </c>
      <c r="CU4">
        <f t="shared" si="18"/>
        <v>0.28333333333333299</v>
      </c>
      <c r="CV4">
        <f>IF(CU4=BO4,BP4,IF(CU4=BS4,BT4,IF(CU4=BW4,BX4,IF(CU4=CA4,CB4,IF(CU4=CE4,CF4,IF(CU4=CI4,CJ4,IF(CU4=CM4,CN4,IF(CU4=CQ4,CR4,0))))))))</f>
        <v>14</v>
      </c>
      <c r="CW4">
        <f>IF(CU4=BO4,BQ4,IF(CU4=BS4,BU4,IF(CU4=BW4,BY4,IF(CU4=CA4,CC4,IF(CU4=CE4,CG4,IF(CU4=CI4,CK4,IF(CU4=CM4,CO4,IF(CU4=CQ4,CS4,0))))))))</f>
        <v>16</v>
      </c>
      <c r="CX4">
        <f t="shared" si="19"/>
        <v>0</v>
      </c>
      <c r="CY4">
        <f t="shared" si="20"/>
        <v>0.28333333333333299</v>
      </c>
      <c r="CZ4">
        <f>IF(CY4=BO4,BP4,IF(CY4=BS4,BT4,IF(CY4=BW4,BX4,IF(CY4=CA4,CB4,IF(CY4=CE4,CF4,IF(CY4=CI4,CJ4,IF(CY4=CM4,CN4,IF(CY4=CQ4,CR4,IF(CY4=CU4,CV4,0)))))))))</f>
        <v>14</v>
      </c>
      <c r="DA4">
        <f>IF(CY4=BO4,BQ4,IF(CY4=BS4,BU4,IF(CY4=BW4,BY4,IF(CY4=CA4,CC4,IF(CY4=CE4,CG4,IF(CY4=CI4,CK4,IF(CY4=CM4,CO4,IF(CY4=CQ4,CS4,IF(CY4=CU4,CW4,0)))))))))</f>
        <v>16</v>
      </c>
      <c r="DB4">
        <f t="shared" si="21"/>
        <v>0</v>
      </c>
      <c r="DC4">
        <f t="shared" si="22"/>
        <v>0.3</v>
      </c>
      <c r="DD4">
        <v>15</v>
      </c>
      <c r="DE4">
        <v>19.100000000000001</v>
      </c>
      <c r="DF4">
        <f t="shared" si="23"/>
        <v>0</v>
      </c>
      <c r="DG4">
        <f t="shared" si="24"/>
        <v>0.28333333333333299</v>
      </c>
      <c r="DH4">
        <f>IF(DG4=BO4,BP4,IF(DG4=BS4,BT4,IF(DG4=BW4,BX4,IF(DG4=CA4,CB4,IF(DG4=CE4,CF4,IF(DG4=CI4,CJ4,IF(DG4=CM4,CN4,IF(DG4=CQ4,CR4,IF(DG4=CU4,CV4,IF(DG4=CY4,CZ4,IF(DG4=DC4,DD4,0)))))))))))</f>
        <v>14</v>
      </c>
      <c r="DI4">
        <f>IF(DG4=BO4,BQ4,IF(DG4=BS4,BU4,IF(DG4=BW4,BY4,IF(DG4=CA4,CC4,IF(DG4=CE4,CG4,IF(DG4=CI4,CK4,IF(DG4=CM4,CO4,IF(DG4=CQ4,CS4,IF(DG4=CU4,CW4,IF(DG4=CY4,DA4,IF(DG4=DC4,DE4,0)))))))))))</f>
        <v>16</v>
      </c>
      <c r="DJ4">
        <f t="shared" si="25"/>
        <v>0</v>
      </c>
      <c r="DK4">
        <f t="shared" si="26"/>
        <v>0.28333333333333299</v>
      </c>
      <c r="DL4">
        <f>IF(DK4=BO4,BP4,IF(DK4=BS4,BT4,IF(DK4=BW4,BX4,IF(DK4=CA4,CB4,IF(DK4=CE4,CF4,IF(DK4=CI4,CJ4,IF(DK4=CM4,CN4,IF(DK4=CQ4,CR4,IF(DK4=CU4,CV4,IF(DK4=CY4,CZ4,IF(DK4=DC4,DD4,IF(DK4=DG4,DH4,0))))))))))))</f>
        <v>14</v>
      </c>
      <c r="DM4">
        <f>IF(DK4=BO4,BQ4,IF(DK4=BS4,BU4,IF(DK4=BW4,BY4,IF(DK4=CA4,CC4,IF(DK4=CE4,CG4,IF(DK4=CI4,CK4,IF(DK4=CM4,CO4,IF(DK4=CQ4,CS4,IF(DK4=CU4,CW4,IF(DK4=CY4,DA4,IF(DK4=DC4,DE4,IF(DK4=DG4,DI4,0))))))))))))</f>
        <v>16</v>
      </c>
      <c r="DN4">
        <f t="shared" si="27"/>
        <v>0</v>
      </c>
      <c r="DO4">
        <f t="shared" si="28"/>
        <v>0.28333333333333299</v>
      </c>
      <c r="DP4">
        <f>IF(DO4=BO4,BP4,IF(DO4=BS4,BT4,IF(DO4=BW4,BX4,IF(DO4=CA4,CB4,IF(DO4=CE4,CF4,IF(DO4=CI4,CJ4,IF(DO4=CM4,CN4,IF(DO4=CQ4,CR4,IF(DO4=CU4,CV4,IF(DO4=CY4,CZ4,IF(DO4=DC4,DD4,IF(DO4=DG4,DH4,IF(DO4=DK4,DL4,0)))))))))))))</f>
        <v>14</v>
      </c>
      <c r="DQ4">
        <f>IF(DO4=BO4,BQ4,IF(DO4=BS4,BU4,IF(DO4=BW4,BY4,IF(DO4=CA4,CC4,IF(DO4=CE4,CG4,IF(DO4=CI4,CK4,IF(DO4=CM4,CO4,IF(DO4=CQ4,CS4,IF(DO4=CU4,CW4,IF(DO4=CY4,DA4,IF(DO4=DC4,DE4,IF(DO4=DG4,DI4,IF(DO4=DK4,DM4,0)))))))))))))</f>
        <v>16</v>
      </c>
      <c r="DR4">
        <f t="shared" si="29"/>
        <v>0</v>
      </c>
      <c r="DS4">
        <f t="shared" si="30"/>
        <v>0.28333333333333299</v>
      </c>
      <c r="DT4">
        <f>IF(DS4=BO4,BP4,IF(DS4=BS4,BT4,IF(DS4=BW4,BX4,IF(DS4=CA4,CB4,IF(DS4=CE4,CF4,IF(DS4=CI4,CJ4,IF(DS4=CM4,CN4,IF(DS4=CQ4,CR4,IF(DS4=CU4,CV4,IF(DS4=CY4,CZ4,IF(DS4=DC4,DD4,IF(DS4=DG4,DH4,IF(DS4=DK4,DL4,IF(DS4=DO4,DP4,0))))))))))))))</f>
        <v>14</v>
      </c>
      <c r="DU4">
        <f>IF(DS4=BO4,BQ4,IF(DS4=BS4,BU4,IF(DS4=BW4,BY4,IF(DS4=CA4,CC4,IF(DS4=CE4,CG4,IF(DS4=CI4,CK4,IF(DS4=CM4,CO4,IF(DS4=CQ4,CS4,IF(DS4=CU4,CW4,IF(DS4=CY4,DA4,IF(DS4=DC4,DE4,IF(DS4=DG4,DI4,IF(DS4=DK4,DM4,IF(DS4=DO4,DQ4,0))))))))))))))</f>
        <v>16</v>
      </c>
      <c r="DV4">
        <f t="shared" si="31"/>
        <v>0</v>
      </c>
      <c r="DW4">
        <v>7500</v>
      </c>
      <c r="DX4">
        <v>4</v>
      </c>
      <c r="DY4">
        <v>0</v>
      </c>
      <c r="DZ4">
        <v>6</v>
      </c>
      <c r="EA4">
        <v>6</v>
      </c>
      <c r="EB4">
        <v>3.37129157926281</v>
      </c>
      <c r="EC4">
        <v>1.5</v>
      </c>
      <c r="ED4">
        <v>3.6970000000000001</v>
      </c>
      <c r="EE4">
        <v>0.28333333333333299</v>
      </c>
      <c r="EF4">
        <v>16</v>
      </c>
      <c r="EG4">
        <v>4.7318752363784702</v>
      </c>
      <c r="EH4">
        <v>14</v>
      </c>
      <c r="EI4">
        <v>0</v>
      </c>
      <c r="EJ4">
        <v>2.08</v>
      </c>
      <c r="EK4">
        <v>1</v>
      </c>
      <c r="EL4">
        <v>2</v>
      </c>
      <c r="EM4">
        <v>44</v>
      </c>
      <c r="EN4">
        <v>1</v>
      </c>
      <c r="EO4">
        <v>1</v>
      </c>
      <c r="EP4">
        <v>8</v>
      </c>
      <c r="EQ4">
        <v>10</v>
      </c>
      <c r="ER4">
        <v>14.1987814663817</v>
      </c>
      <c r="ES4">
        <v>9.93914702646717</v>
      </c>
      <c r="ET4">
        <v>13.636147026467199</v>
      </c>
      <c r="EU4">
        <v>8.0459761642829406</v>
      </c>
      <c r="EV4">
        <v>10.1259761642829</v>
      </c>
      <c r="EW4">
        <v>2.7170000000000001</v>
      </c>
      <c r="EX4">
        <v>10.8857324575593</v>
      </c>
      <c r="EY4">
        <v>13.6027324575593</v>
      </c>
      <c r="EZ4">
        <v>2.08</v>
      </c>
      <c r="FA4">
        <v>8.0459761642829406</v>
      </c>
      <c r="FB4">
        <v>10.1259761642829</v>
      </c>
      <c r="FC4">
        <v>4.5759999999999996</v>
      </c>
      <c r="FD4">
        <v>15.145366897473799</v>
      </c>
      <c r="FE4">
        <v>19.7213668974738</v>
      </c>
      <c r="FF4">
        <v>2.08</v>
      </c>
      <c r="FG4">
        <v>8.0459761642829406</v>
      </c>
      <c r="FH4">
        <v>10.1259761642829</v>
      </c>
    </row>
    <row r="5" spans="1:164" x14ac:dyDescent="0.2">
      <c r="A5">
        <v>4</v>
      </c>
      <c r="B5">
        <v>5</v>
      </c>
      <c r="C5">
        <v>11</v>
      </c>
      <c r="D5">
        <v>1</v>
      </c>
      <c r="E5">
        <v>11</v>
      </c>
      <c r="F5" t="s">
        <v>107</v>
      </c>
      <c r="G5" t="s">
        <v>108</v>
      </c>
      <c r="H5">
        <v>3</v>
      </c>
      <c r="I5">
        <v>1</v>
      </c>
      <c r="K5" t="s">
        <v>109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2</v>
      </c>
      <c r="AD5">
        <v>1</v>
      </c>
      <c r="AE5">
        <v>6</v>
      </c>
      <c r="AF5">
        <v>3</v>
      </c>
      <c r="AG5">
        <v>6</v>
      </c>
      <c r="AH5">
        <v>4</v>
      </c>
      <c r="AI5">
        <v>0.477858333333333</v>
      </c>
      <c r="AJ5">
        <v>35.562060000000002</v>
      </c>
      <c r="AK5">
        <v>0.34147222222222201</v>
      </c>
      <c r="AL5">
        <v>15.523770000000001</v>
      </c>
      <c r="AM5">
        <v>0.26168888888888903</v>
      </c>
      <c r="AN5">
        <v>16.175909999999998</v>
      </c>
      <c r="AO5">
        <v>0.31286944444444398</v>
      </c>
      <c r="AP5">
        <v>18.790019999999998</v>
      </c>
      <c r="AQ5">
        <v>0.35220277777777798</v>
      </c>
      <c r="AR5">
        <v>20.810500000000001</v>
      </c>
      <c r="AS5">
        <v>0.39677777777777801</v>
      </c>
      <c r="AT5">
        <v>24.15119</v>
      </c>
      <c r="AU5">
        <v>0.39323611111111101</v>
      </c>
      <c r="AV5">
        <v>27.886050000000001</v>
      </c>
      <c r="AW5">
        <v>0.40278888888888897</v>
      </c>
      <c r="AX5">
        <v>30.812090000000001</v>
      </c>
      <c r="AY5">
        <v>0.412775</v>
      </c>
      <c r="AZ5">
        <v>32.050820000000002</v>
      </c>
      <c r="BA5">
        <v>0.42612777777777799</v>
      </c>
      <c r="BB5">
        <v>33.371540000000003</v>
      </c>
      <c r="BC5">
        <v>0.48695555555555597</v>
      </c>
      <c r="BD5">
        <v>34.69623</v>
      </c>
      <c r="BE5">
        <v>0.497975</v>
      </c>
      <c r="BF5">
        <v>41.073189999999997</v>
      </c>
      <c r="BG5">
        <v>0.56184722222222205</v>
      </c>
      <c r="BH5">
        <v>44.476039999999998</v>
      </c>
      <c r="BI5">
        <v>0.60567499999999996</v>
      </c>
      <c r="BJ5">
        <v>46.449959999999997</v>
      </c>
      <c r="BK5">
        <v>0.67381388888888905</v>
      </c>
      <c r="BL5">
        <v>53.265610000000002</v>
      </c>
      <c r="BM5">
        <v>0.71531944444444495</v>
      </c>
      <c r="BN5">
        <v>55.258290000000002</v>
      </c>
      <c r="BO5">
        <f t="shared" si="0"/>
        <v>0.26168888888888903</v>
      </c>
      <c r="BP5">
        <v>2</v>
      </c>
      <c r="BQ5">
        <v>16.175909999999998</v>
      </c>
      <c r="BR5">
        <f t="shared" si="1"/>
        <v>0</v>
      </c>
      <c r="BS5">
        <f t="shared" si="2"/>
        <v>0.31286944444444398</v>
      </c>
      <c r="BT5">
        <v>3</v>
      </c>
      <c r="BU5">
        <v>18.790019999999998</v>
      </c>
      <c r="BV5">
        <f t="shared" si="5"/>
        <v>0</v>
      </c>
      <c r="BW5">
        <f t="shared" si="6"/>
        <v>0.26168888888888903</v>
      </c>
      <c r="BX5">
        <f t="shared" si="32"/>
        <v>2</v>
      </c>
      <c r="BY5">
        <f t="shared" si="33"/>
        <v>16.175909999999998</v>
      </c>
      <c r="BZ5">
        <f t="shared" si="7"/>
        <v>0</v>
      </c>
      <c r="CA5">
        <f t="shared" si="8"/>
        <v>0.26168888888888903</v>
      </c>
      <c r="CB5">
        <f>IF(CA5=BO5,BP5,IF(CA5=BS5,BT5,IF(CA5=BW5,BX5,0)))</f>
        <v>2</v>
      </c>
      <c r="CC5">
        <f>IF(CA5=BO5,BQ5,IF(CA5=BS5,BU5,IF(CA5=BW5,BY5,0)))</f>
        <v>16.175909999999998</v>
      </c>
      <c r="CD5">
        <f t="shared" si="9"/>
        <v>0</v>
      </c>
      <c r="CE5">
        <f t="shared" si="10"/>
        <v>0.26168888888888903</v>
      </c>
      <c r="CF5">
        <f>IF(CE5=BO5,BP5,IF(CE5=BS5,BT5,IF(CE5=BW5,BX5,IF(CE5=CA5,CB5,0))))</f>
        <v>2</v>
      </c>
      <c r="CG5">
        <f>IF(CE5=BO5,BQ5,IF(CE5=BS5,BU5,IF(CE5=BW5,BY5,IF(CE5=CA5,CC5,0))))</f>
        <v>16.175909999999998</v>
      </c>
      <c r="CH5">
        <f t="shared" si="11"/>
        <v>0</v>
      </c>
      <c r="CI5">
        <f t="shared" si="12"/>
        <v>0.26168888888888903</v>
      </c>
      <c r="CJ5">
        <f>IF(CI5=BO5,BP5,IF(CI5=BS5,BT5,IF(CI5=BW5,BX5,IF(CI5=CA5,CB5,IF(CI5=CE5,CF5,0)))))</f>
        <v>2</v>
      </c>
      <c r="CK5">
        <f>IF(CI5=BO5,BQ5,IF(CI5=BS5,BU5,IF(CI5=BW5,BY5,IF(CI5=CA5,CC5,IF(CI5=CE5,CG5,0)))))</f>
        <v>16.175909999999998</v>
      </c>
      <c r="CL5">
        <f t="shared" si="13"/>
        <v>0</v>
      </c>
      <c r="CM5">
        <f t="shared" si="14"/>
        <v>0.26168888888888903</v>
      </c>
      <c r="CN5">
        <f>IF(CM5=BO5,BP5,IF(CM5=BS5,BT5,IF(CM5=BW5,BX5,IF(CM5=CA5,CB5,IF(CM5=CE5,CF5,IF(CM5=CI5,CJ5,0))))))</f>
        <v>2</v>
      </c>
      <c r="CO5">
        <f>IF(CM5=BO5,BQ5,IF(CM5=BS5,BU5,IF(CM5=BW5,BY5,IF(CM5=CA5,CC5,IF(CM5=CE5,CG5,IF(CM5=CI5,CK5,0))))))</f>
        <v>16.175909999999998</v>
      </c>
      <c r="CP5">
        <f t="shared" si="15"/>
        <v>0</v>
      </c>
      <c r="CQ5">
        <f t="shared" si="16"/>
        <v>0.26168888888888903</v>
      </c>
      <c r="CR5">
        <f>IF(CQ5=BO5,BP5,IF(CQ5=BS5,BT5,IF(CQ5=BW5,BX5,IF(CQ5=CA5,CB5,IF(CQ5=CE5,CF5,IF(CQ5=CI5,CJ5,IF(CQ5=CM5,CN5,0)))))))</f>
        <v>2</v>
      </c>
      <c r="CS5">
        <f>IF(CQ5=BO5,BQ5,IF(CQ5=BS5,BU5,IF(CQ5=BW5,BY5,IF(CQ5=CA5,CC5,IF(CQ5=CE5,CG5,IF(CQ5=CI5,CK5,IF(CQ5=CM5,CO5,0)))))))</f>
        <v>16.175909999999998</v>
      </c>
      <c r="CT5">
        <f t="shared" si="17"/>
        <v>0</v>
      </c>
      <c r="CU5">
        <f t="shared" si="18"/>
        <v>0.26168888888888903</v>
      </c>
      <c r="CV5">
        <f>IF(CU5=BO5,BP5,IF(CU5=BS5,BT5,IF(CU5=BW5,BX5,IF(CU5=CA5,CB5,IF(CU5=CE5,CF5,IF(CU5=CI5,CJ5,IF(CU5=CM5,CN5,IF(CU5=CQ5,CR5,0))))))))</f>
        <v>2</v>
      </c>
      <c r="CW5">
        <f>IF(CU5=BO5,BQ5,IF(CU5=BS5,BU5,IF(CU5=BW5,BY5,IF(CU5=CA5,CC5,IF(CU5=CE5,CG5,IF(CU5=CI5,CK5,IF(CU5=CM5,CO5,IF(CU5=CQ5,CS5,0))))))))</f>
        <v>16.175909999999998</v>
      </c>
      <c r="CX5">
        <f t="shared" si="19"/>
        <v>0</v>
      </c>
      <c r="CY5">
        <f t="shared" si="20"/>
        <v>0.26168888888888903</v>
      </c>
      <c r="CZ5">
        <f>IF(CY5=BO5,BP5,IF(CY5=BS5,BT5,IF(CY5=BW5,BX5,IF(CY5=CA5,CB5,IF(CY5=CE5,CF5,IF(CY5=CI5,CJ5,IF(CY5=CM5,CN5,IF(CY5=CQ5,CR5,IF(CY5=CU5,CV5,0)))))))))</f>
        <v>2</v>
      </c>
      <c r="DA5">
        <f>IF(CY5=BO5,BQ5,IF(CY5=BS5,BU5,IF(CY5=BW5,BY5,IF(CY5=CA5,CC5,IF(CY5=CE5,CG5,IF(CY5=CI5,CK5,IF(CY5=CM5,CO5,IF(CY5=CQ5,CS5,IF(CY5=CU5,CW5,0)))))))))</f>
        <v>16.175909999999998</v>
      </c>
      <c r="DB5">
        <f t="shared" si="21"/>
        <v>0</v>
      </c>
      <c r="DC5">
        <f t="shared" si="22"/>
        <v>0.26168888888888903</v>
      </c>
      <c r="DD5">
        <f>IF(DC5=BO5,BP5,IF(DC5=BS5,BT5,IF(DC5=BW5,BX5,IF(DC5=CA5,CB5,IF(DC5=CE5,CF5,IF(DC5=CI5,CJ5,IF(DC5=CM5,CN5,IF(DC5=CQ5,CR5,IF(DC5=CU5,CV5,IF(DC5=CY5,CZ5,0))))))))))</f>
        <v>2</v>
      </c>
      <c r="DE5">
        <f>IF(DC5=BO5,BQ5,IF(DC5=BS5,BU5,IF(DC5=BW5,BY5,IF(DC5=CA5,CC5,IF(DC5=CE5,CG5,IF(DC5=CI5,CK5,IF(DC5=CM5,CO5,IF(DC5=CQ5,CS5,IF(DC5=CU5,CW5,IF(DC5=CY5,DA5,0))))))))))</f>
        <v>16.175909999999998</v>
      </c>
      <c r="DF5">
        <f t="shared" si="23"/>
        <v>0</v>
      </c>
      <c r="DG5">
        <f t="shared" si="24"/>
        <v>0.26168888888888903</v>
      </c>
      <c r="DH5">
        <f>IF(DG5=BO5,BP5,IF(DG5=BS5,BT5,IF(DG5=BW5,BX5,IF(DG5=CA5,CB5,IF(DG5=CE5,CF5,IF(DG5=CI5,CJ5,IF(DG5=CM5,CN5,IF(DG5=CQ5,CR5,IF(DG5=CU5,CV5,IF(DG5=CY5,CZ5,IF(DG5=DC5,DD5,0)))))))))))</f>
        <v>2</v>
      </c>
      <c r="DI5">
        <f>IF(DG5=BO5,BQ5,IF(DG5=BS5,BU5,IF(DG5=BW5,BY5,IF(DG5=CA5,CC5,IF(DG5=CE5,CG5,IF(DG5=CI5,CK5,IF(DG5=CM5,CO5,IF(DG5=CQ5,CS5,IF(DG5=CU5,CW5,IF(DG5=CY5,DA5,IF(DG5=DC5,DE5,0)))))))))))</f>
        <v>16.175909999999998</v>
      </c>
      <c r="DJ5">
        <f t="shared" si="25"/>
        <v>0</v>
      </c>
      <c r="DK5">
        <f t="shared" si="26"/>
        <v>0.26168888888888903</v>
      </c>
      <c r="DL5">
        <f>IF(DK5=BO5,BP5,IF(DK5=BS5,BT5,IF(DK5=BW5,BX5,IF(DK5=CA5,CB5,IF(DK5=CE5,CF5,IF(DK5=CI5,CJ5,IF(DK5=CM5,CN5,IF(DK5=CQ5,CR5,IF(DK5=CU5,CV5,IF(DK5=CY5,CZ5,IF(DK5=DC5,DD5,IF(DK5=DG5,DH5,0))))))))))))</f>
        <v>2</v>
      </c>
      <c r="DM5">
        <f>IF(DK5=BO5,BQ5,IF(DK5=BS5,BU5,IF(DK5=BW5,BY5,IF(DK5=CA5,CC5,IF(DK5=CE5,CG5,IF(DK5=CI5,CK5,IF(DK5=CM5,CO5,IF(DK5=CQ5,CS5,IF(DK5=CU5,CW5,IF(DK5=CY5,DA5,IF(DK5=DC5,DE5,IF(DK5=DG5,DI5,0))))))))))))</f>
        <v>16.175909999999998</v>
      </c>
      <c r="DN5">
        <f t="shared" si="27"/>
        <v>0</v>
      </c>
      <c r="DO5">
        <f t="shared" si="28"/>
        <v>0.26168888888888903</v>
      </c>
      <c r="DP5">
        <f>IF(DO5=BO5,BP5,IF(DO5=BS5,BT5,IF(DO5=BW5,BX5,IF(DO5=CA5,CB5,IF(DO5=CE5,CF5,IF(DO5=CI5,CJ5,IF(DO5=CM5,CN5,IF(DO5=CQ5,CR5,IF(DO5=CU5,CV5,IF(DO5=CY5,CZ5,IF(DO5=DC5,DD5,IF(DO5=DG5,DH5,IF(DO5=DK5,DL5,0)))))))))))))</f>
        <v>2</v>
      </c>
      <c r="DQ5">
        <f>IF(DO5=BO5,BQ5,IF(DO5=BS5,BU5,IF(DO5=BW5,BY5,IF(DO5=CA5,CC5,IF(DO5=CE5,CG5,IF(DO5=CI5,CK5,IF(DO5=CM5,CO5,IF(DO5=CQ5,CS5,IF(DO5=CU5,CW5,IF(DO5=CY5,DA5,IF(DO5=DC5,DE5,IF(DO5=DG5,DI5,IF(DO5=DK5,DM5,0)))))))))))))</f>
        <v>16.175909999999998</v>
      </c>
      <c r="DR5">
        <f t="shared" si="29"/>
        <v>0</v>
      </c>
      <c r="DS5">
        <f t="shared" si="30"/>
        <v>0.26168888888888903</v>
      </c>
      <c r="DT5">
        <f>IF(DS5=BO5,BP5,IF(DS5=BS5,BT5,IF(DS5=BW5,BX5,IF(DS5=CA5,CB5,IF(DS5=CE5,CF5,IF(DS5=CI5,CJ5,IF(DS5=CM5,CN5,IF(DS5=CQ5,CR5,IF(DS5=CU5,CV5,IF(DS5=CY5,CZ5,IF(DS5=DC5,DD5,IF(DS5=DG5,DH5,IF(DS5=DK5,DL5,IF(DS5=DO5,DP5,0))))))))))))))</f>
        <v>2</v>
      </c>
      <c r="DU5">
        <f>IF(DS5=BO5,BQ5,IF(DS5=BS5,BU5,IF(DS5=BW5,BY5,IF(DS5=CA5,CC5,IF(DS5=CE5,CG5,IF(DS5=CI5,CK5,IF(DS5=CM5,CO5,IF(DS5=CQ5,CS5,IF(DS5=CU5,CW5,IF(DS5=CY5,DA5,IF(DS5=DC5,DE5,IF(DS5=DG5,DI5,IF(DS5=DK5,DM5,IF(DS5=DO5,DQ5,0))))))))))))))</f>
        <v>16.175909999999998</v>
      </c>
      <c r="DV5">
        <f t="shared" si="31"/>
        <v>0</v>
      </c>
      <c r="DW5">
        <v>52500.5</v>
      </c>
      <c r="DX5">
        <v>2</v>
      </c>
      <c r="DY5">
        <v>18</v>
      </c>
      <c r="DZ5">
        <v>6</v>
      </c>
      <c r="EA5">
        <v>6</v>
      </c>
      <c r="EB5">
        <v>23.599265807611602</v>
      </c>
      <c r="EC5">
        <v>3</v>
      </c>
      <c r="ED5">
        <v>12.246135600000001</v>
      </c>
      <c r="EE5">
        <v>0.26168888888888903</v>
      </c>
      <c r="EF5">
        <v>16.175909999999998</v>
      </c>
      <c r="EG5">
        <v>29.223926407885401</v>
      </c>
      <c r="EH5">
        <v>2</v>
      </c>
      <c r="EI5">
        <v>0</v>
      </c>
      <c r="EJ5">
        <v>4.2057365999999998</v>
      </c>
      <c r="EK5">
        <v>1</v>
      </c>
      <c r="EL5">
        <v>0</v>
      </c>
      <c r="EM5">
        <v>36</v>
      </c>
      <c r="EN5">
        <v>0</v>
      </c>
      <c r="EO5">
        <v>4</v>
      </c>
      <c r="EP5">
        <v>4</v>
      </c>
      <c r="EQ5">
        <v>3</v>
      </c>
      <c r="ER5">
        <v>14.1987814663817</v>
      </c>
      <c r="ES5">
        <v>13.570012093778701</v>
      </c>
      <c r="ET5">
        <v>25.816147693778699</v>
      </c>
      <c r="EU5">
        <v>7.4313266910271398</v>
      </c>
      <c r="EV5">
        <v>11.637063291027101</v>
      </c>
      <c r="EW5">
        <v>8.3332131999999994</v>
      </c>
      <c r="EX5">
        <v>11.721804039571399</v>
      </c>
      <c r="EY5">
        <v>20.055017239571399</v>
      </c>
      <c r="EZ5">
        <v>4.2057365999999998</v>
      </c>
      <c r="FA5">
        <v>7.4313266910271398</v>
      </c>
      <c r="FB5">
        <v>11.637063291027101</v>
      </c>
      <c r="FC5">
        <v>4.8854052000000001</v>
      </c>
      <c r="FD5">
        <v>8.8847297383498098</v>
      </c>
      <c r="FE5">
        <v>13.7701349383498</v>
      </c>
      <c r="FF5">
        <v>4.2057365999999998</v>
      </c>
      <c r="FG5">
        <v>7.4313266910271398</v>
      </c>
      <c r="FH5">
        <v>11.637063291027101</v>
      </c>
    </row>
    <row r="6" spans="1:164" x14ac:dyDescent="0.2">
      <c r="A6">
        <v>5</v>
      </c>
      <c r="B6">
        <v>6</v>
      </c>
      <c r="C6">
        <v>13</v>
      </c>
      <c r="D6">
        <v>3</v>
      </c>
      <c r="E6">
        <v>12</v>
      </c>
      <c r="F6" t="s">
        <v>101</v>
      </c>
      <c r="G6" t="s">
        <v>110</v>
      </c>
      <c r="H6">
        <v>3</v>
      </c>
      <c r="I6">
        <v>7</v>
      </c>
      <c r="J6" t="s">
        <v>111</v>
      </c>
      <c r="K6" t="s">
        <v>112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1</v>
      </c>
      <c r="AD6">
        <v>1</v>
      </c>
      <c r="AE6">
        <v>4</v>
      </c>
      <c r="AF6">
        <v>2</v>
      </c>
      <c r="AG6">
        <v>3</v>
      </c>
      <c r="AH6">
        <v>3</v>
      </c>
      <c r="AI6">
        <v>0.19228611111111099</v>
      </c>
      <c r="AJ6">
        <v>6.09598</v>
      </c>
      <c r="AK6">
        <v>0.48341944444444401</v>
      </c>
      <c r="AL6">
        <v>26.910250000000001</v>
      </c>
      <c r="AM6">
        <v>0.37753055555555598</v>
      </c>
      <c r="AN6">
        <v>24.440110000000001</v>
      </c>
      <c r="AO6">
        <v>0.37367222222222202</v>
      </c>
      <c r="AP6">
        <v>22.066610000000001</v>
      </c>
      <c r="AQ6">
        <v>0.396972222222222</v>
      </c>
      <c r="AR6">
        <v>22.39451</v>
      </c>
      <c r="AS6">
        <v>0.36215833333333303</v>
      </c>
      <c r="AT6">
        <v>18.894639999999999</v>
      </c>
      <c r="AU6">
        <v>0.26150277777777797</v>
      </c>
      <c r="AV6">
        <v>13.359109999999999</v>
      </c>
      <c r="AW6">
        <v>0.236777777777778</v>
      </c>
      <c r="AX6">
        <v>11.332929999999999</v>
      </c>
      <c r="AY6">
        <v>0.226266666666667</v>
      </c>
      <c r="AZ6">
        <v>9.77651</v>
      </c>
      <c r="BA6">
        <v>0.21125833333333299</v>
      </c>
      <c r="BB6">
        <v>9.1935400000000005</v>
      </c>
      <c r="BC6">
        <v>0.204866666666667</v>
      </c>
      <c r="BD6">
        <v>6.6070099999999998</v>
      </c>
      <c r="BE6">
        <v>0.153669444444444</v>
      </c>
      <c r="BF6">
        <v>5.9703499999999998</v>
      </c>
      <c r="BG6">
        <v>0.22221666666666701</v>
      </c>
      <c r="BH6">
        <v>9.6375799999999998</v>
      </c>
      <c r="BI6">
        <v>0.26604444444444397</v>
      </c>
      <c r="BJ6">
        <v>11.61149</v>
      </c>
      <c r="BK6">
        <v>0.34372222222222198</v>
      </c>
      <c r="BL6">
        <v>15.27399</v>
      </c>
      <c r="BM6">
        <v>0.38522499999999998</v>
      </c>
      <c r="BN6">
        <v>17.266660000000002</v>
      </c>
      <c r="BO6">
        <f t="shared" si="0"/>
        <v>0.153669444444444</v>
      </c>
      <c r="BP6">
        <v>14</v>
      </c>
      <c r="BQ6">
        <v>5.9703499999999998</v>
      </c>
      <c r="BR6">
        <f t="shared" si="1"/>
        <v>0</v>
      </c>
      <c r="BS6">
        <f t="shared" si="2"/>
        <v>0.153669444444444</v>
      </c>
      <c r="BT6">
        <f t="shared" si="3"/>
        <v>14</v>
      </c>
      <c r="BU6">
        <f t="shared" si="4"/>
        <v>5.9703499999999998</v>
      </c>
      <c r="BV6">
        <f t="shared" si="5"/>
        <v>0</v>
      </c>
      <c r="BW6">
        <f t="shared" si="6"/>
        <v>0.153669444444444</v>
      </c>
      <c r="BX6">
        <f t="shared" si="32"/>
        <v>14</v>
      </c>
      <c r="BY6">
        <f t="shared" si="33"/>
        <v>5.9703499999999998</v>
      </c>
      <c r="BZ6">
        <f t="shared" si="7"/>
        <v>0</v>
      </c>
      <c r="CA6">
        <f t="shared" si="8"/>
        <v>0.153669444444444</v>
      </c>
      <c r="CB6">
        <f>IF(CA6=BO6,BP6,IF(CA6=BS6,BT6,IF(CA6=BW6,BX6,0)))</f>
        <v>14</v>
      </c>
      <c r="CC6">
        <f>IF(CA6=BO6,BQ6,IF(CA6=BS6,BU6,IF(CA6=BW6,BY6,0)))</f>
        <v>5.9703499999999998</v>
      </c>
      <c r="CD6">
        <f t="shared" si="9"/>
        <v>0</v>
      </c>
      <c r="CE6">
        <f t="shared" si="10"/>
        <v>0.153669444444444</v>
      </c>
      <c r="CF6">
        <f>IF(CE6=BO6,BP6,IF(CE6=BS6,BT6,IF(CE6=BW6,BX6,IF(CE6=CA6,CB6,0))))</f>
        <v>14</v>
      </c>
      <c r="CG6">
        <f>IF(CE6=BO6,BQ6,IF(CE6=BS6,BU6,IF(CE6=BW6,BY6,IF(CE6=CA6,CC6,0))))</f>
        <v>5.9703499999999998</v>
      </c>
      <c r="CH6">
        <f t="shared" si="11"/>
        <v>0</v>
      </c>
      <c r="CI6">
        <f t="shared" si="12"/>
        <v>0.153669444444444</v>
      </c>
      <c r="CJ6">
        <f>IF(CI6=BO6,BP6,IF(CI6=BS6,BT6,IF(CI6=BW6,BX6,IF(CI6=CA6,CB6,IF(CI6=CE6,CF6,0)))))</f>
        <v>14</v>
      </c>
      <c r="CK6">
        <f>IF(CI6=BO6,BQ6,IF(CI6=BS6,BU6,IF(CI6=BW6,BY6,IF(CI6=CA6,CC6,IF(CI6=CE6,CG6,0)))))</f>
        <v>5.9703499999999998</v>
      </c>
      <c r="CL6">
        <f t="shared" si="13"/>
        <v>0</v>
      </c>
      <c r="CM6">
        <f t="shared" si="14"/>
        <v>0.153669444444444</v>
      </c>
      <c r="CN6">
        <f>IF(CM6=BO6,BP6,IF(CM6=BS6,BT6,IF(CM6=BW6,BX6,IF(CM6=CA6,CB6,IF(CM6=CE6,CF6,IF(CM6=CI6,CJ6,0))))))</f>
        <v>14</v>
      </c>
      <c r="CO6">
        <f>IF(CM6=BO6,BQ6,IF(CM6=BS6,BU6,IF(CM6=BW6,BY6,IF(CM6=CA6,CC6,IF(CM6=CE6,CG6,IF(CM6=CI6,CK6,0))))))</f>
        <v>5.9703499999999998</v>
      </c>
      <c r="CP6">
        <f t="shared" si="15"/>
        <v>0</v>
      </c>
      <c r="CQ6">
        <f t="shared" si="16"/>
        <v>0.153669444444444</v>
      </c>
      <c r="CR6">
        <f>IF(CQ6=BO6,BP6,IF(CQ6=BS6,BT6,IF(CQ6=BW6,BX6,IF(CQ6=CA6,CB6,IF(CQ6=CE6,CF6,IF(CQ6=CI6,CJ6,IF(CQ6=CM6,CN6,0)))))))</f>
        <v>14</v>
      </c>
      <c r="CS6">
        <f>IF(CQ6=BO6,BQ6,IF(CQ6=BS6,BU6,IF(CQ6=BW6,BY6,IF(CQ6=CA6,CC6,IF(CQ6=CE6,CG6,IF(CQ6=CI6,CK6,IF(CQ6=CM6,CO6,0)))))))</f>
        <v>5.9703499999999998</v>
      </c>
      <c r="CT6">
        <f t="shared" si="17"/>
        <v>0</v>
      </c>
      <c r="CU6">
        <f t="shared" si="18"/>
        <v>0.153669444444444</v>
      </c>
      <c r="CV6">
        <f>IF(CU6=BO6,BP6,IF(CU6=BS6,BT6,IF(CU6=BW6,BX6,IF(CU6=CA6,CB6,IF(CU6=CE6,CF6,IF(CU6=CI6,CJ6,IF(CU6=CM6,CN6,IF(CU6=CQ6,CR6,0))))))))</f>
        <v>14</v>
      </c>
      <c r="CW6">
        <f>IF(CU6=BO6,BQ6,IF(CU6=BS6,BU6,IF(CU6=BW6,BY6,IF(CU6=CA6,CC6,IF(CU6=CE6,CG6,IF(CU6=CI6,CK6,IF(CU6=CM6,CO6,IF(CU6=CQ6,CS6,0))))))))</f>
        <v>5.9703499999999998</v>
      </c>
      <c r="CX6">
        <f t="shared" si="19"/>
        <v>0</v>
      </c>
      <c r="CY6">
        <f t="shared" si="20"/>
        <v>0.153669444444444</v>
      </c>
      <c r="CZ6">
        <f>IF(CY6=BO6,BP6,IF(CY6=BS6,BT6,IF(CY6=BW6,BX6,IF(CY6=CA6,CB6,IF(CY6=CE6,CF6,IF(CY6=CI6,CJ6,IF(CY6=CM6,CN6,IF(CY6=CQ6,CR6,IF(CY6=CU6,CV6,0)))))))))</f>
        <v>14</v>
      </c>
      <c r="DA6">
        <f>IF(CY6=BO6,BQ6,IF(CY6=BS6,BU6,IF(CY6=BW6,BY6,IF(CY6=CA6,CC6,IF(CY6=CE6,CG6,IF(CY6=CI6,CK6,IF(CY6=CM6,CO6,IF(CY6=CQ6,CS6,IF(CY6=CU6,CW6,0)))))))))</f>
        <v>5.9703499999999998</v>
      </c>
      <c r="DB6">
        <f t="shared" si="21"/>
        <v>0</v>
      </c>
      <c r="DC6">
        <f t="shared" si="22"/>
        <v>0.19228611111111099</v>
      </c>
      <c r="DD6" t="s">
        <v>407</v>
      </c>
      <c r="DE6">
        <v>6.09598</v>
      </c>
      <c r="DF6">
        <v>4</v>
      </c>
      <c r="DG6">
        <f t="shared" si="24"/>
        <v>0.153669444444444</v>
      </c>
      <c r="DH6">
        <f>IF(DG6=BO6,BP6,IF(DG6=BS6,BT6,IF(DG6=BW6,BX6,IF(DG6=CA6,CB6,IF(DG6=CE6,CF6,IF(DG6=CI6,CJ6,IF(DG6=CM6,CN6,IF(DG6=CQ6,CR6,IF(DG6=CU6,CV6,IF(DG6=CY6,CZ6,IF(DG6=DC6,DD6,0)))))))))))</f>
        <v>14</v>
      </c>
      <c r="DI6">
        <f>IF(DG6=BO6,BQ6,IF(DG6=BS6,BU6,IF(DG6=BW6,BY6,IF(DG6=CA6,CC6,IF(DG6=CE6,CG6,IF(DG6=CI6,CK6,IF(DG6=CM6,CO6,IF(DG6=CQ6,CS6,IF(DG6=CU6,CW6,IF(DG6=CY6,DA6,IF(DG6=DC6,DE6,0)))))))))))</f>
        <v>5.9703499999999998</v>
      </c>
      <c r="DJ6">
        <f t="shared" si="25"/>
        <v>0</v>
      </c>
      <c r="DK6">
        <f t="shared" si="26"/>
        <v>0.153669444444444</v>
      </c>
      <c r="DL6">
        <f>IF(DK6=BO6,BP6,IF(DK6=BS6,BT6,IF(DK6=BW6,BX6,IF(DK6=CA6,CB6,IF(DK6=CE6,CF6,IF(DK6=CI6,CJ6,IF(DK6=CM6,CN6,IF(DK6=CQ6,CR6,IF(DK6=CU6,CV6,IF(DK6=CY6,CZ6,IF(DK6=DC6,DD6,IF(DK6=DG6,DH6,0))))))))))))</f>
        <v>14</v>
      </c>
      <c r="DM6">
        <f>IF(DK6=BO6,BQ6,IF(DK6=BS6,BU6,IF(DK6=BW6,BY6,IF(DK6=CA6,CC6,IF(DK6=CE6,CG6,IF(DK6=CI6,CK6,IF(DK6=CM6,CO6,IF(DK6=CQ6,CS6,IF(DK6=CU6,CW6,IF(DK6=CY6,DA6,IF(DK6=DC6,DE6,IF(DK6=DG6,DI6,0))))))))))))</f>
        <v>5.9703499999999998</v>
      </c>
      <c r="DN6">
        <f t="shared" si="27"/>
        <v>0</v>
      </c>
      <c r="DO6">
        <f t="shared" si="28"/>
        <v>0.153669444444444</v>
      </c>
      <c r="DP6">
        <f>IF(DO6=BO6,BP6,IF(DO6=BS6,BT6,IF(DO6=BW6,BX6,IF(DO6=CA6,CB6,IF(DO6=CE6,CF6,IF(DO6=CI6,CJ6,IF(DO6=CM6,CN6,IF(DO6=CQ6,CR6,IF(DO6=CU6,CV6,IF(DO6=CY6,CZ6,IF(DO6=DC6,DD6,IF(DO6=DG6,DH6,IF(DO6=DK6,DL6,0)))))))))))))</f>
        <v>14</v>
      </c>
      <c r="DQ6">
        <f>IF(DO6=BO6,BQ6,IF(DO6=BS6,BU6,IF(DO6=BW6,BY6,IF(DO6=CA6,CC6,IF(DO6=CE6,CG6,IF(DO6=CI6,CK6,IF(DO6=CM6,CO6,IF(DO6=CQ6,CS6,IF(DO6=CU6,CW6,IF(DO6=CY6,DA6,IF(DO6=DC6,DE6,IF(DO6=DG6,DI6,IF(DO6=DK6,DM6,0)))))))))))))</f>
        <v>5.9703499999999998</v>
      </c>
      <c r="DR6">
        <f t="shared" si="29"/>
        <v>0</v>
      </c>
      <c r="DS6">
        <f t="shared" si="30"/>
        <v>0.153669444444444</v>
      </c>
      <c r="DT6">
        <f>IF(DS6=BO6,BP6,IF(DS6=BS6,BT6,IF(DS6=BW6,BX6,IF(DS6=CA6,CB6,IF(DS6=CE6,CF6,IF(DS6=CI6,CJ6,IF(DS6=CM6,CN6,IF(DS6=CQ6,CR6,IF(DS6=CU6,CV6,IF(DS6=CY6,CZ6,IF(DS6=DC6,DD6,IF(DS6=DG6,DH6,IF(DS6=DK6,DL6,IF(DS6=DO6,DP6,0))))))))))))))</f>
        <v>14</v>
      </c>
      <c r="DU6">
        <f>IF(DS6=BO6,BQ6,IF(DS6=BS6,BU6,IF(DS6=BW6,BY6,IF(DS6=CA6,CC6,IF(DS6=CE6,CG6,IF(DS6=CI6,CK6,IF(DS6=CM6,CO6,IF(DS6=CQ6,CS6,IF(DS6=CU6,CW6,IF(DS6=CY6,DA6,IF(DS6=DC6,DE6,IF(DS6=DG6,DI6,IF(DS6=DK6,DM6,IF(DS6=DO6,DQ6,0))))))))))))))</f>
        <v>5.9703499999999998</v>
      </c>
      <c r="DV6">
        <f t="shared" si="31"/>
        <v>0</v>
      </c>
      <c r="DW6">
        <v>22500.5</v>
      </c>
      <c r="DX6">
        <v>2</v>
      </c>
      <c r="DY6">
        <v>0</v>
      </c>
      <c r="DZ6">
        <v>6</v>
      </c>
      <c r="EA6">
        <v>6</v>
      </c>
      <c r="EB6">
        <v>10.114099490560401</v>
      </c>
      <c r="EC6">
        <v>3</v>
      </c>
      <c r="ED6">
        <v>4.5849548000000002</v>
      </c>
      <c r="EE6">
        <v>0.153669444444444</v>
      </c>
      <c r="EF6">
        <v>5.9703499999999998</v>
      </c>
      <c r="EG6">
        <v>7.5186571694662101</v>
      </c>
      <c r="EH6">
        <v>14</v>
      </c>
      <c r="EI6">
        <v>0</v>
      </c>
      <c r="EJ6">
        <v>1.5522910000000001</v>
      </c>
      <c r="EK6">
        <v>1</v>
      </c>
      <c r="EL6">
        <v>0</v>
      </c>
      <c r="EM6">
        <v>56</v>
      </c>
      <c r="EN6">
        <v>1</v>
      </c>
      <c r="EO6">
        <v>2</v>
      </c>
      <c r="EP6">
        <v>3</v>
      </c>
      <c r="EQ6">
        <v>2</v>
      </c>
      <c r="ER6">
        <v>14.1987814663817</v>
      </c>
      <c r="ES6">
        <v>5.4604569413741002</v>
      </c>
      <c r="ET6">
        <v>10.0454117413741</v>
      </c>
      <c r="EU6">
        <v>4.3638377194538798</v>
      </c>
      <c r="EV6">
        <v>5.9161287194538801</v>
      </c>
      <c r="EW6">
        <v>2.5418926000000002</v>
      </c>
      <c r="EX6">
        <v>6.4254219062532698</v>
      </c>
      <c r="EY6">
        <v>8.9673145062532704</v>
      </c>
      <c r="EZ6">
        <v>1.5522910000000001</v>
      </c>
      <c r="FA6">
        <v>4.3638377194538798</v>
      </c>
      <c r="FB6">
        <v>5.9161287194538801</v>
      </c>
      <c r="FC6">
        <v>5.7373186</v>
      </c>
      <c r="FD6">
        <v>10.6113804467811</v>
      </c>
      <c r="FE6">
        <v>16.3486990467811</v>
      </c>
      <c r="FF6">
        <v>1.5522910000000001</v>
      </c>
      <c r="FG6">
        <v>4.3638377194538798</v>
      </c>
      <c r="FH6">
        <v>5.9161287194538801</v>
      </c>
    </row>
    <row r="7" spans="1:164" x14ac:dyDescent="0.2">
      <c r="A7">
        <v>6</v>
      </c>
      <c r="B7">
        <v>7</v>
      </c>
      <c r="C7">
        <v>14</v>
      </c>
      <c r="D7">
        <v>1</v>
      </c>
      <c r="E7">
        <v>11</v>
      </c>
      <c r="F7" t="s">
        <v>113</v>
      </c>
      <c r="G7" t="s">
        <v>113</v>
      </c>
      <c r="H7">
        <v>3</v>
      </c>
      <c r="I7">
        <v>3</v>
      </c>
      <c r="K7" t="s">
        <v>114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4</v>
      </c>
      <c r="AC7">
        <v>0</v>
      </c>
      <c r="AD7">
        <v>5</v>
      </c>
      <c r="AE7">
        <v>10</v>
      </c>
      <c r="AF7">
        <v>5</v>
      </c>
      <c r="AG7">
        <v>7</v>
      </c>
      <c r="AH7">
        <v>6</v>
      </c>
      <c r="AI7">
        <v>0.66244166666666704</v>
      </c>
      <c r="AJ7">
        <v>54.179200000000002</v>
      </c>
      <c r="AK7">
        <v>0.52605555555555505</v>
      </c>
      <c r="AL7">
        <v>34.140909999999998</v>
      </c>
      <c r="AM7">
        <v>0.44627222222222201</v>
      </c>
      <c r="AN7">
        <v>34.793050000000001</v>
      </c>
      <c r="AO7">
        <v>0.49745277777777802</v>
      </c>
      <c r="AP7">
        <v>37.407170000000001</v>
      </c>
      <c r="AQ7">
        <v>0.53678611111111096</v>
      </c>
      <c r="AR7">
        <v>39.42765</v>
      </c>
      <c r="AS7">
        <v>0.581361111111111</v>
      </c>
      <c r="AT7">
        <v>42.768329999999999</v>
      </c>
      <c r="AU7">
        <v>0.577819444444444</v>
      </c>
      <c r="AV7">
        <v>46.5032</v>
      </c>
      <c r="AW7">
        <v>0.58737222222222196</v>
      </c>
      <c r="AX7">
        <v>49.429229999999997</v>
      </c>
      <c r="AY7">
        <v>0.59735833333333299</v>
      </c>
      <c r="AZ7">
        <v>50.667960000000001</v>
      </c>
      <c r="BA7">
        <v>0.61071111111111098</v>
      </c>
      <c r="BB7">
        <v>51.988680000000002</v>
      </c>
      <c r="BC7">
        <v>0.67153888888888902</v>
      </c>
      <c r="BD7">
        <v>53.313380000000002</v>
      </c>
      <c r="BE7">
        <v>0.68255833333333304</v>
      </c>
      <c r="BF7">
        <v>59.690339999999999</v>
      </c>
      <c r="BG7">
        <v>0.74643055555555604</v>
      </c>
      <c r="BH7">
        <v>63.09319</v>
      </c>
      <c r="BI7">
        <v>0.79025833333333295</v>
      </c>
      <c r="BJ7">
        <v>65.067099999999996</v>
      </c>
      <c r="BK7">
        <v>0.85839722222222203</v>
      </c>
      <c r="BL7">
        <v>71.882750000000001</v>
      </c>
      <c r="BM7">
        <v>0.89990277777777805</v>
      </c>
      <c r="BN7">
        <v>73.875429999999994</v>
      </c>
      <c r="BO7">
        <f t="shared" si="0"/>
        <v>0.44627222222222201</v>
      </c>
      <c r="BP7">
        <v>2</v>
      </c>
      <c r="BQ7">
        <v>34.793050000000001</v>
      </c>
      <c r="BR7">
        <f t="shared" si="1"/>
        <v>0</v>
      </c>
      <c r="BS7">
        <f t="shared" si="2"/>
        <v>0.49745277777777802</v>
      </c>
      <c r="BT7">
        <v>3</v>
      </c>
      <c r="BU7">
        <v>37.407170000000001</v>
      </c>
      <c r="BV7">
        <f t="shared" si="5"/>
        <v>0</v>
      </c>
      <c r="BW7">
        <f t="shared" si="6"/>
        <v>0.44627222222222201</v>
      </c>
      <c r="BX7">
        <f t="shared" si="32"/>
        <v>2</v>
      </c>
      <c r="BY7">
        <f t="shared" si="33"/>
        <v>34.793050000000001</v>
      </c>
      <c r="BZ7">
        <f t="shared" si="7"/>
        <v>0</v>
      </c>
      <c r="CA7">
        <f t="shared" si="8"/>
        <v>0.44627222222222201</v>
      </c>
      <c r="CB7">
        <f>IF(CA7=BO7,BP7,IF(CA7=BS7,BT7,IF(CA7=BW7,BX7,0)))</f>
        <v>2</v>
      </c>
      <c r="CC7">
        <f>IF(CA7=BO7,BQ7,IF(CA7=BS7,BU7,IF(CA7=BW7,BY7,0)))</f>
        <v>34.793050000000001</v>
      </c>
      <c r="CD7">
        <f t="shared" si="9"/>
        <v>0</v>
      </c>
      <c r="CE7">
        <f t="shared" si="10"/>
        <v>0.44627222222222201</v>
      </c>
      <c r="CF7">
        <f>IF(CE7=BO7,BP7,IF(CE7=BS7,BT7,IF(CE7=BW7,BX7,IF(CE7=CA7,CB7,0))))</f>
        <v>2</v>
      </c>
      <c r="CG7">
        <f>IF(CE7=BO7,BQ7,IF(CE7=BS7,BU7,IF(CE7=BW7,BY7,IF(CE7=CA7,CC7,0))))</f>
        <v>34.793050000000001</v>
      </c>
      <c r="CH7">
        <f t="shared" si="11"/>
        <v>0</v>
      </c>
      <c r="CI7">
        <f t="shared" si="12"/>
        <v>0.44627222222222201</v>
      </c>
      <c r="CJ7">
        <f>IF(CI7=BO7,BP7,IF(CI7=BS7,BT7,IF(CI7=BW7,BX7,IF(CI7=CA7,CB7,IF(CI7=CE7,CF7,0)))))</f>
        <v>2</v>
      </c>
      <c r="CK7">
        <f>IF(CI7=BO7,BQ7,IF(CI7=BS7,BU7,IF(CI7=BW7,BY7,IF(CI7=CA7,CC7,IF(CI7=CE7,CG7,0)))))</f>
        <v>34.793050000000001</v>
      </c>
      <c r="CL7">
        <f t="shared" si="13"/>
        <v>0</v>
      </c>
      <c r="CM7">
        <f t="shared" si="14"/>
        <v>0.44627222222222201</v>
      </c>
      <c r="CN7">
        <f>IF(CM7=BO7,BP7,IF(CM7=BS7,BT7,IF(CM7=BW7,BX7,IF(CM7=CA7,CB7,IF(CM7=CE7,CF7,IF(CM7=CI7,CJ7,0))))))</f>
        <v>2</v>
      </c>
      <c r="CO7">
        <f>IF(CM7=BO7,BQ7,IF(CM7=BS7,BU7,IF(CM7=BW7,BY7,IF(CM7=CA7,CC7,IF(CM7=CE7,CG7,IF(CM7=CI7,CK7,0))))))</f>
        <v>34.793050000000001</v>
      </c>
      <c r="CP7">
        <f t="shared" si="15"/>
        <v>0</v>
      </c>
      <c r="CQ7">
        <f t="shared" si="16"/>
        <v>0.44627222222222201</v>
      </c>
      <c r="CR7">
        <f>IF(CQ7=BO7,BP7,IF(CQ7=BS7,BT7,IF(CQ7=BW7,BX7,IF(CQ7=CA7,CB7,IF(CQ7=CE7,CF7,IF(CQ7=CI7,CJ7,IF(CQ7=CM7,CN7,0)))))))</f>
        <v>2</v>
      </c>
      <c r="CS7">
        <f>IF(CQ7=BO7,BQ7,IF(CQ7=BS7,BU7,IF(CQ7=BW7,BY7,IF(CQ7=CA7,CC7,IF(CQ7=CE7,CG7,IF(CQ7=CI7,CK7,IF(CQ7=CM7,CO7,0)))))))</f>
        <v>34.793050000000001</v>
      </c>
      <c r="CT7">
        <f t="shared" si="17"/>
        <v>0</v>
      </c>
      <c r="CU7">
        <f t="shared" si="18"/>
        <v>0.44627222222222201</v>
      </c>
      <c r="CV7">
        <f>IF(CU7=BO7,BP7,IF(CU7=BS7,BT7,IF(CU7=BW7,BX7,IF(CU7=CA7,CB7,IF(CU7=CE7,CF7,IF(CU7=CI7,CJ7,IF(CU7=CM7,CN7,IF(CU7=CQ7,CR7,0))))))))</f>
        <v>2</v>
      </c>
      <c r="CW7">
        <f>IF(CU7=BO7,BQ7,IF(CU7=BS7,BU7,IF(CU7=BW7,BY7,IF(CU7=CA7,CC7,IF(CU7=CE7,CG7,IF(CU7=CI7,CK7,IF(CU7=CM7,CO7,IF(CU7=CQ7,CS7,0))))))))</f>
        <v>34.793050000000001</v>
      </c>
      <c r="CX7">
        <f t="shared" si="19"/>
        <v>0</v>
      </c>
      <c r="CY7">
        <f t="shared" si="20"/>
        <v>0.44627222222222201</v>
      </c>
      <c r="CZ7">
        <f>IF(CY7=BO7,BP7,IF(CY7=BS7,BT7,IF(CY7=BW7,BX7,IF(CY7=CA7,CB7,IF(CY7=CE7,CF7,IF(CY7=CI7,CJ7,IF(CY7=CM7,CN7,IF(CY7=CQ7,CR7,IF(CY7=CU7,CV7,0)))))))))</f>
        <v>2</v>
      </c>
      <c r="DA7">
        <f>IF(CY7=BO7,BQ7,IF(CY7=BS7,BU7,IF(CY7=BW7,BY7,IF(CY7=CA7,CC7,IF(CY7=CE7,CG7,IF(CY7=CI7,CK7,IF(CY7=CM7,CO7,IF(CY7=CQ7,CS7,IF(CY7=CU7,CW7,0)))))))))</f>
        <v>34.793050000000001</v>
      </c>
      <c r="DB7">
        <f t="shared" si="21"/>
        <v>0</v>
      </c>
      <c r="DC7">
        <f t="shared" si="22"/>
        <v>0.44627222222222201</v>
      </c>
      <c r="DD7">
        <f>IF(DC7=BO7,BP7,IF(DC7=BS7,BT7,IF(DC7=BW7,BX7,IF(DC7=CA7,CB7,IF(DC7=CE7,CF7,IF(DC7=CI7,CJ7,IF(DC7=CM7,CN7,IF(DC7=CQ7,CR7,IF(DC7=CU7,CV7,IF(DC7=CY7,CZ7,0))))))))))</f>
        <v>2</v>
      </c>
      <c r="DE7">
        <f>IF(DC7=BO7,BQ7,IF(DC7=BS7,BU7,IF(DC7=BW7,BY7,IF(DC7=CA7,CC7,IF(DC7=CE7,CG7,IF(DC7=CI7,CK7,IF(DC7=CM7,CO7,IF(DC7=CQ7,CS7,IF(DC7=CU7,CW7,IF(DC7=CY7,DA7,0))))))))))</f>
        <v>34.793050000000001</v>
      </c>
      <c r="DF7">
        <f t="shared" si="23"/>
        <v>0</v>
      </c>
      <c r="DG7">
        <f t="shared" si="24"/>
        <v>0.44627222222222201</v>
      </c>
      <c r="DH7">
        <f>IF(DG7=BO7,BP7,IF(DG7=BS7,BT7,IF(DG7=BW7,BX7,IF(DG7=CA7,CB7,IF(DG7=CE7,CF7,IF(DG7=CI7,CJ7,IF(DG7=CM7,CN7,IF(DG7=CQ7,CR7,IF(DG7=CU7,CV7,IF(DG7=CY7,CZ7,IF(DG7=DC7,DD7,0)))))))))))</f>
        <v>2</v>
      </c>
      <c r="DI7">
        <f>IF(DG7=BO7,BQ7,IF(DG7=BS7,BU7,IF(DG7=BW7,BY7,IF(DG7=CA7,CC7,IF(DG7=CE7,CG7,IF(DG7=CI7,CK7,IF(DG7=CM7,CO7,IF(DG7=CQ7,CS7,IF(DG7=CU7,CW7,IF(DG7=CY7,DA7,IF(DG7=DC7,DE7,0)))))))))))</f>
        <v>34.793050000000001</v>
      </c>
      <c r="DJ7">
        <f t="shared" si="25"/>
        <v>0</v>
      </c>
      <c r="DK7">
        <f t="shared" si="26"/>
        <v>0.44627222222222201</v>
      </c>
      <c r="DL7">
        <f>IF(DK7=BO7,BP7,IF(DK7=BS7,BT7,IF(DK7=BW7,BX7,IF(DK7=CA7,CB7,IF(DK7=CE7,CF7,IF(DK7=CI7,CJ7,IF(DK7=CM7,CN7,IF(DK7=CQ7,CR7,IF(DK7=CU7,CV7,IF(DK7=CY7,CZ7,IF(DK7=DC7,DD7,IF(DK7=DG7,DH7,0))))))))))))</f>
        <v>2</v>
      </c>
      <c r="DM7">
        <f>IF(DK7=BO7,BQ7,IF(DK7=BS7,BU7,IF(DK7=BW7,BY7,IF(DK7=CA7,CC7,IF(DK7=CE7,CG7,IF(DK7=CI7,CK7,IF(DK7=CM7,CO7,IF(DK7=CQ7,CS7,IF(DK7=CU7,CW7,IF(DK7=CY7,DA7,IF(DK7=DC7,DE7,IF(DK7=DG7,DI7,0))))))))))))</f>
        <v>34.793050000000001</v>
      </c>
      <c r="DN7">
        <f t="shared" si="27"/>
        <v>0</v>
      </c>
      <c r="DO7">
        <f t="shared" si="28"/>
        <v>0.44627222222222201</v>
      </c>
      <c r="DP7">
        <f>IF(DO7=BO7,BP7,IF(DO7=BS7,BT7,IF(DO7=BW7,BX7,IF(DO7=CA7,CB7,IF(DO7=CE7,CF7,IF(DO7=CI7,CJ7,IF(DO7=CM7,CN7,IF(DO7=CQ7,CR7,IF(DO7=CU7,CV7,IF(DO7=CY7,CZ7,IF(DO7=DC7,DD7,IF(DO7=DG7,DH7,IF(DO7=DK7,DL7,0)))))))))))))</f>
        <v>2</v>
      </c>
      <c r="DQ7">
        <f>IF(DO7=BO7,BQ7,IF(DO7=BS7,BU7,IF(DO7=BW7,BY7,IF(DO7=CA7,CC7,IF(DO7=CE7,CG7,IF(DO7=CI7,CK7,IF(DO7=CM7,CO7,IF(DO7=CQ7,CS7,IF(DO7=CU7,CW7,IF(DO7=CY7,DA7,IF(DO7=DC7,DE7,IF(DO7=DG7,DI7,IF(DO7=DK7,DM7,0)))))))))))))</f>
        <v>34.793050000000001</v>
      </c>
      <c r="DR7">
        <f t="shared" si="29"/>
        <v>0</v>
      </c>
      <c r="DS7">
        <f t="shared" si="30"/>
        <v>0.44627222222222201</v>
      </c>
      <c r="DT7">
        <f>IF(DS7=BO7,BP7,IF(DS7=BS7,BT7,IF(DS7=BW7,BX7,IF(DS7=CA7,CB7,IF(DS7=CE7,CF7,IF(DS7=CI7,CJ7,IF(DS7=CM7,CN7,IF(DS7=CQ7,CR7,IF(DS7=CU7,CV7,IF(DS7=CY7,CZ7,IF(DS7=DC7,DD7,IF(DS7=DG7,DH7,IF(DS7=DK7,DL7,IF(DS7=DO7,DP7,0))))))))))))))</f>
        <v>2</v>
      </c>
      <c r="DU7">
        <f>IF(DS7=BO7,BQ7,IF(DS7=BS7,BU7,IF(DS7=BW7,BY7,IF(DS7=CA7,CC7,IF(DS7=CE7,CG7,IF(DS7=CI7,CK7,IF(DS7=CM7,CO7,IF(DS7=CQ7,CS7,IF(DS7=CU7,CW7,IF(DS7=CY7,DA7,IF(DS7=DC7,DE7,IF(DS7=DG7,DI7,IF(DS7=DK7,DM7,IF(DS7=DO7,DQ7,0))))))))))))))</f>
        <v>34.793050000000001</v>
      </c>
      <c r="DV7">
        <f t="shared" si="31"/>
        <v>0</v>
      </c>
      <c r="DW7">
        <v>22500.5</v>
      </c>
      <c r="DX7">
        <v>2</v>
      </c>
      <c r="DY7">
        <v>30</v>
      </c>
      <c r="DZ7">
        <v>0</v>
      </c>
      <c r="EA7">
        <v>0</v>
      </c>
      <c r="EB7">
        <v>10.114099490560401</v>
      </c>
      <c r="EC7">
        <v>0</v>
      </c>
      <c r="ED7">
        <v>14.086592</v>
      </c>
      <c r="EE7">
        <v>0.44627222222222201</v>
      </c>
      <c r="EF7">
        <v>34.793050000000001</v>
      </c>
      <c r="EG7">
        <v>18.990853715944599</v>
      </c>
      <c r="EH7">
        <v>2</v>
      </c>
      <c r="EI7">
        <v>0</v>
      </c>
      <c r="EJ7">
        <v>9.0461930000000006</v>
      </c>
      <c r="EK7">
        <v>1</v>
      </c>
      <c r="EL7">
        <v>0</v>
      </c>
      <c r="EM7">
        <v>47</v>
      </c>
      <c r="EN7">
        <v>1</v>
      </c>
      <c r="EO7">
        <v>4</v>
      </c>
      <c r="EP7">
        <v>6</v>
      </c>
      <c r="EQ7">
        <v>5</v>
      </c>
      <c r="ER7">
        <v>14.1987814663817</v>
      </c>
      <c r="ES7">
        <v>18.811728918451301</v>
      </c>
      <c r="ET7">
        <v>32.898320918451297</v>
      </c>
      <c r="EU7">
        <v>12.6730435156997</v>
      </c>
      <c r="EV7">
        <v>21.719236515699698</v>
      </c>
      <c r="EW7">
        <v>13.1736696</v>
      </c>
      <c r="EX7">
        <v>16.963520864244</v>
      </c>
      <c r="EY7">
        <v>30.137190464244</v>
      </c>
      <c r="EZ7">
        <v>9.0461930000000006</v>
      </c>
      <c r="FA7">
        <v>12.6730435156997</v>
      </c>
      <c r="FB7">
        <v>21.719236515699698</v>
      </c>
      <c r="FC7">
        <v>9.7258642000000002</v>
      </c>
      <c r="FD7">
        <v>14.1264465630224</v>
      </c>
      <c r="FE7">
        <v>23.852310763022398</v>
      </c>
      <c r="FF7">
        <v>9.0461930000000006</v>
      </c>
      <c r="FG7">
        <v>12.6730435156997</v>
      </c>
      <c r="FH7">
        <v>21.719236515699698</v>
      </c>
    </row>
    <row r="8" spans="1:164" x14ac:dyDescent="0.2">
      <c r="A8">
        <v>7</v>
      </c>
      <c r="B8">
        <v>8</v>
      </c>
      <c r="C8">
        <v>16</v>
      </c>
      <c r="D8">
        <v>1</v>
      </c>
      <c r="E8">
        <v>11</v>
      </c>
      <c r="F8" t="s">
        <v>115</v>
      </c>
      <c r="G8" t="s">
        <v>116</v>
      </c>
      <c r="H8">
        <v>3</v>
      </c>
      <c r="I8">
        <v>3</v>
      </c>
      <c r="K8" t="s">
        <v>117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19</v>
      </c>
      <c r="AE8">
        <v>22</v>
      </c>
      <c r="AF8">
        <v>11</v>
      </c>
      <c r="AG8">
        <v>14</v>
      </c>
      <c r="AH8">
        <v>4</v>
      </c>
      <c r="AI8">
        <v>0.28987777777777801</v>
      </c>
      <c r="AJ8">
        <v>12.136799999999999</v>
      </c>
      <c r="AK8">
        <v>0.45840277777777799</v>
      </c>
      <c r="AL8">
        <v>23.175879999999999</v>
      </c>
      <c r="AM8">
        <v>0.35251388888888902</v>
      </c>
      <c r="AN8">
        <v>20.705739999999999</v>
      </c>
      <c r="AO8">
        <v>0.348655555555556</v>
      </c>
      <c r="AP8">
        <v>18.332239999999999</v>
      </c>
      <c r="AQ8">
        <v>0.37195555555555598</v>
      </c>
      <c r="AR8">
        <v>18.660139999999998</v>
      </c>
      <c r="AS8">
        <v>0.33714166666666701</v>
      </c>
      <c r="AT8">
        <v>15.160270000000001</v>
      </c>
      <c r="AU8">
        <v>0.22090833333333301</v>
      </c>
      <c r="AV8">
        <v>8.9964999999999993</v>
      </c>
      <c r="AW8">
        <v>0.23708888888888899</v>
      </c>
      <c r="AX8">
        <v>10.373049999999999</v>
      </c>
      <c r="AY8">
        <v>0.22804722222222201</v>
      </c>
      <c r="AZ8">
        <v>10.564590000000001</v>
      </c>
      <c r="BA8">
        <v>0.213038888888889</v>
      </c>
      <c r="BB8">
        <v>9.9816199999999995</v>
      </c>
      <c r="BC8">
        <v>0.29693611111111101</v>
      </c>
      <c r="BD8">
        <v>12.423389999999999</v>
      </c>
      <c r="BE8">
        <v>0.32260555555555598</v>
      </c>
      <c r="BF8">
        <v>17.779039999999998</v>
      </c>
      <c r="BG8">
        <v>0.38647777777777798</v>
      </c>
      <c r="BH8">
        <v>21.181889999999999</v>
      </c>
      <c r="BI8">
        <v>0.430305555555556</v>
      </c>
      <c r="BJ8">
        <v>23.155809999999999</v>
      </c>
      <c r="BK8">
        <v>0.49844444444444402</v>
      </c>
      <c r="BL8">
        <v>29.97146</v>
      </c>
      <c r="BM8">
        <v>0.53995000000000004</v>
      </c>
      <c r="BN8">
        <v>31.96414</v>
      </c>
      <c r="BO8">
        <f t="shared" si="0"/>
        <v>0.213038888888889</v>
      </c>
      <c r="BP8">
        <v>9</v>
      </c>
      <c r="BQ8">
        <v>9.9816199999999995</v>
      </c>
      <c r="BR8">
        <f t="shared" si="1"/>
        <v>0</v>
      </c>
      <c r="BS8">
        <f t="shared" si="2"/>
        <v>0.213038888888889</v>
      </c>
      <c r="BT8">
        <f t="shared" si="3"/>
        <v>9</v>
      </c>
      <c r="BU8">
        <f t="shared" si="4"/>
        <v>9.9816199999999995</v>
      </c>
      <c r="BV8">
        <f t="shared" si="5"/>
        <v>0</v>
      </c>
      <c r="BW8">
        <f t="shared" si="6"/>
        <v>0.213038888888889</v>
      </c>
      <c r="BX8">
        <f t="shared" si="32"/>
        <v>9</v>
      </c>
      <c r="BY8">
        <f t="shared" si="33"/>
        <v>9.9816199999999995</v>
      </c>
      <c r="BZ8">
        <f t="shared" si="7"/>
        <v>0</v>
      </c>
      <c r="CA8">
        <f t="shared" si="8"/>
        <v>0.213038888888889</v>
      </c>
      <c r="CB8">
        <f>IF(CA8=BO8,BP8,IF(CA8=BS8,BT8,IF(CA8=BW8,BX8,0)))</f>
        <v>9</v>
      </c>
      <c r="CC8">
        <f>IF(CA8=BO8,BQ8,IF(CA8=BS8,BU8,IF(CA8=BW8,BY8,0)))</f>
        <v>9.9816199999999995</v>
      </c>
      <c r="CD8">
        <f t="shared" si="9"/>
        <v>0</v>
      </c>
      <c r="CE8">
        <f t="shared" si="10"/>
        <v>0.213038888888889</v>
      </c>
      <c r="CF8">
        <f>IF(CE8=BO8,BP8,IF(CE8=BS8,BT8,IF(CE8=BW8,BX8,IF(CE8=CA8,CB8,0))))</f>
        <v>9</v>
      </c>
      <c r="CG8">
        <f>IF(CE8=BO8,BQ8,IF(CE8=BS8,BU8,IF(CE8=BW8,BY8,IF(CE8=CA8,CC8,0))))</f>
        <v>9.9816199999999995</v>
      </c>
      <c r="CH8">
        <f t="shared" si="11"/>
        <v>0</v>
      </c>
      <c r="CI8">
        <f t="shared" si="12"/>
        <v>0.213038888888889</v>
      </c>
      <c r="CJ8">
        <f>IF(CI8=BO8,BP8,IF(CI8=BS8,BT8,IF(CI8=BW8,BX8,IF(CI8=CA8,CB8,IF(CI8=CE8,CF8,0)))))</f>
        <v>9</v>
      </c>
      <c r="CK8">
        <f>IF(CI8=BO8,BQ8,IF(CI8=BS8,BU8,IF(CI8=BW8,BY8,IF(CI8=CA8,CC8,IF(CI8=CE8,CG8,0)))))</f>
        <v>9.9816199999999995</v>
      </c>
      <c r="CL8">
        <f t="shared" si="13"/>
        <v>0</v>
      </c>
      <c r="CM8">
        <f t="shared" si="14"/>
        <v>0.213038888888889</v>
      </c>
      <c r="CN8">
        <f>IF(CM8=BO8,BP8,IF(CM8=BS8,BT8,IF(CM8=BW8,BX8,IF(CM8=CA8,CB8,IF(CM8=CE8,CF8,IF(CM8=CI8,CJ8,0))))))</f>
        <v>9</v>
      </c>
      <c r="CO8">
        <f>IF(CM8=BO8,BQ8,IF(CM8=BS8,BU8,IF(CM8=BW8,BY8,IF(CM8=CA8,CC8,IF(CM8=CE8,CG8,IF(CM8=CI8,CK8,0))))))</f>
        <v>9.9816199999999995</v>
      </c>
      <c r="CP8">
        <f t="shared" si="15"/>
        <v>0</v>
      </c>
      <c r="CQ8">
        <f t="shared" si="16"/>
        <v>0.213038888888889</v>
      </c>
      <c r="CR8">
        <f>IF(CQ8=BO8,BP8,IF(CQ8=BS8,BT8,IF(CQ8=BW8,BX8,IF(CQ8=CA8,CB8,IF(CQ8=CE8,CF8,IF(CQ8=CI8,CJ8,IF(CQ8=CM8,CN8,0)))))))</f>
        <v>9</v>
      </c>
      <c r="CS8">
        <f>IF(CQ8=BO8,BQ8,IF(CQ8=BS8,BU8,IF(CQ8=BW8,BY8,IF(CQ8=CA8,CC8,IF(CQ8=CE8,CG8,IF(CQ8=CI8,CK8,IF(CQ8=CM8,CO8,0)))))))</f>
        <v>9.9816199999999995</v>
      </c>
      <c r="CT8">
        <f t="shared" si="17"/>
        <v>0</v>
      </c>
      <c r="CU8">
        <f t="shared" si="18"/>
        <v>0.22090833333333301</v>
      </c>
      <c r="CV8">
        <v>6</v>
      </c>
      <c r="CW8">
        <v>8.9964999999999993</v>
      </c>
      <c r="CX8">
        <f t="shared" si="19"/>
        <v>0</v>
      </c>
      <c r="CY8">
        <f t="shared" si="20"/>
        <v>0.213038888888889</v>
      </c>
      <c r="CZ8">
        <f>IF(CY8=BO8,BP8,IF(CY8=BS8,BT8,IF(CY8=BW8,BX8,IF(CY8=CA8,CB8,IF(CY8=CE8,CF8,IF(CY8=CI8,CJ8,IF(CY8=CM8,CN8,IF(CY8=CQ8,CR8,IF(CY8=CU8,CV8,0)))))))))</f>
        <v>9</v>
      </c>
      <c r="DA8">
        <f>IF(CY8=BO8,BQ8,IF(CY8=BS8,BU8,IF(CY8=BW8,BY8,IF(CY8=CA8,CC8,IF(CY8=CE8,CG8,IF(CY8=CI8,CK8,IF(CY8=CM8,CO8,IF(CY8=CQ8,CS8,IF(CY8=CU8,CW8,0)))))))))</f>
        <v>9.9816199999999995</v>
      </c>
      <c r="DB8">
        <f t="shared" si="21"/>
        <v>0</v>
      </c>
      <c r="DC8">
        <f t="shared" si="22"/>
        <v>0.213038888888889</v>
      </c>
      <c r="DD8">
        <f>IF(DC8=BO8,BP8,IF(DC8=BS8,BT8,IF(DC8=BW8,BX8,IF(DC8=CA8,CB8,IF(DC8=CE8,CF8,IF(DC8=CI8,CJ8,IF(DC8=CM8,CN8,IF(DC8=CQ8,CR8,IF(DC8=CU8,CV8,IF(DC8=CY8,CZ8,0))))))))))</f>
        <v>9</v>
      </c>
      <c r="DE8">
        <f>IF(DC8=BO8,BQ8,IF(DC8=BS8,BU8,IF(DC8=BW8,BY8,IF(DC8=CA8,CC8,IF(DC8=CE8,CG8,IF(DC8=CI8,CK8,IF(DC8=CM8,CO8,IF(DC8=CQ8,CS8,IF(DC8=CU8,CW8,IF(DC8=CY8,DA8,0))))))))))</f>
        <v>9.9816199999999995</v>
      </c>
      <c r="DF8">
        <f t="shared" si="23"/>
        <v>0</v>
      </c>
      <c r="DG8">
        <f t="shared" si="24"/>
        <v>0.213038888888889</v>
      </c>
      <c r="DH8">
        <f>IF(DG8=BO8,BP8,IF(DG8=BS8,BT8,IF(DG8=BW8,BX8,IF(DG8=CA8,CB8,IF(DG8=CE8,CF8,IF(DG8=CI8,CJ8,IF(DG8=CM8,CN8,IF(DG8=CQ8,CR8,IF(DG8=CU8,CV8,IF(DG8=CY8,CZ8,IF(DG8=DC8,DD8,0)))))))))))</f>
        <v>9</v>
      </c>
      <c r="DI8">
        <f>IF(DG8=BO8,BQ8,IF(DG8=BS8,BU8,IF(DG8=BW8,BY8,IF(DG8=CA8,CC8,IF(DG8=CE8,CG8,IF(DG8=CI8,CK8,IF(DG8=CM8,CO8,IF(DG8=CQ8,CS8,IF(DG8=CU8,CW8,IF(DG8=CY8,DA8,IF(DG8=DC8,DE8,0)))))))))))</f>
        <v>9.9816199999999995</v>
      </c>
      <c r="DJ8">
        <f t="shared" si="25"/>
        <v>0</v>
      </c>
      <c r="DK8">
        <f t="shared" si="26"/>
        <v>0.213038888888889</v>
      </c>
      <c r="DL8">
        <f>IF(DK8=BO8,BP8,IF(DK8=BS8,BT8,IF(DK8=BW8,BX8,IF(DK8=CA8,CB8,IF(DK8=CE8,CF8,IF(DK8=CI8,CJ8,IF(DK8=CM8,CN8,IF(DK8=CQ8,CR8,IF(DK8=CU8,CV8,IF(DK8=CY8,CZ8,IF(DK8=DC8,DD8,IF(DK8=DG8,DH8,0))))))))))))</f>
        <v>9</v>
      </c>
      <c r="DM8">
        <f>IF(DK8=BO8,BQ8,IF(DK8=BS8,BU8,IF(DK8=BW8,BY8,IF(DK8=CA8,CC8,IF(DK8=CE8,CG8,IF(DK8=CI8,CK8,IF(DK8=CM8,CO8,IF(DK8=CQ8,CS8,IF(DK8=CU8,CW8,IF(DK8=CY8,DA8,IF(DK8=DC8,DE8,IF(DK8=DG8,DI8,0))))))))))))</f>
        <v>9.9816199999999995</v>
      </c>
      <c r="DN8">
        <f t="shared" si="27"/>
        <v>0</v>
      </c>
      <c r="DO8">
        <f t="shared" si="28"/>
        <v>0.213038888888889</v>
      </c>
      <c r="DP8">
        <f>IF(DO8=BO8,BP8,IF(DO8=BS8,BT8,IF(DO8=BW8,BX8,IF(DO8=CA8,CB8,IF(DO8=CE8,CF8,IF(DO8=CI8,CJ8,IF(DO8=CM8,CN8,IF(DO8=CQ8,CR8,IF(DO8=CU8,CV8,IF(DO8=CY8,CZ8,IF(DO8=DC8,DD8,IF(DO8=DG8,DH8,IF(DO8=DK8,DL8,0)))))))))))))</f>
        <v>9</v>
      </c>
      <c r="DQ8">
        <f>IF(DO8=BO8,BQ8,IF(DO8=BS8,BU8,IF(DO8=BW8,BY8,IF(DO8=CA8,CC8,IF(DO8=CE8,CG8,IF(DO8=CI8,CK8,IF(DO8=CM8,CO8,IF(DO8=CQ8,CS8,IF(DO8=CU8,CW8,IF(DO8=CY8,DA8,IF(DO8=DC8,DE8,IF(DO8=DG8,DI8,IF(DO8=DK8,DM8,0)))))))))))))</f>
        <v>9.9816199999999995</v>
      </c>
      <c r="DR8">
        <f t="shared" si="29"/>
        <v>0</v>
      </c>
      <c r="DS8">
        <f t="shared" si="30"/>
        <v>0.213038888888889</v>
      </c>
      <c r="DT8">
        <f>IF(DS8=BO8,BP8,IF(DS8=BS8,BT8,IF(DS8=BW8,BX8,IF(DS8=CA8,CB8,IF(DS8=CE8,CF8,IF(DS8=CI8,CJ8,IF(DS8=CM8,CN8,IF(DS8=CQ8,CR8,IF(DS8=CU8,CV8,IF(DS8=CY8,CZ8,IF(DS8=DC8,DD8,IF(DS8=DG8,DH8,IF(DS8=DK8,DL8,IF(DS8=DO8,DP8,0))))))))))))))</f>
        <v>9</v>
      </c>
      <c r="DU8">
        <f>IF(DS8=BO8,BQ8,IF(DS8=BS8,BU8,IF(DS8=BW8,BY8,IF(DS8=CA8,CC8,IF(DS8=CE8,CG8,IF(DS8=CI8,CK8,IF(DS8=CM8,CO8,IF(DS8=CQ8,CS8,IF(DS8=CU8,CW8,IF(DS8=CY8,DA8,IF(DS8=DC8,DE8,IF(DS8=DG8,DI8,IF(DS8=DK8,DM8,IF(DS8=DO8,DQ8,0))))))))))))))</f>
        <v>9.9816199999999995</v>
      </c>
      <c r="DV8">
        <f t="shared" si="31"/>
        <v>0</v>
      </c>
      <c r="DW8">
        <v>31226.480769230799</v>
      </c>
      <c r="DX8">
        <v>4</v>
      </c>
      <c r="DY8">
        <v>25</v>
      </c>
      <c r="DZ8">
        <v>4</v>
      </c>
      <c r="EA8">
        <v>4</v>
      </c>
      <c r="EB8">
        <v>14.0364762223093</v>
      </c>
      <c r="EC8">
        <v>1</v>
      </c>
      <c r="ED8">
        <v>2.5777839999999999</v>
      </c>
      <c r="EE8">
        <v>0.213038888888889</v>
      </c>
      <c r="EF8">
        <v>9.9816199999999995</v>
      </c>
      <c r="EG8">
        <v>9.7639344916942896</v>
      </c>
      <c r="EH8">
        <v>9</v>
      </c>
      <c r="EI8">
        <v>0</v>
      </c>
      <c r="EJ8">
        <v>1.2976106000000001</v>
      </c>
      <c r="EK8">
        <v>1</v>
      </c>
      <c r="EL8">
        <v>0</v>
      </c>
      <c r="EM8">
        <v>43</v>
      </c>
      <c r="EN8">
        <v>1</v>
      </c>
      <c r="EO8">
        <v>4</v>
      </c>
      <c r="EP8">
        <v>4</v>
      </c>
      <c r="EQ8">
        <v>11</v>
      </c>
      <c r="ER8">
        <v>14.1987814663817</v>
      </c>
      <c r="ES8">
        <v>8.2318224372540403</v>
      </c>
      <c r="ET8">
        <v>10.809606437254001</v>
      </c>
      <c r="EU8">
        <v>6.04978525434821</v>
      </c>
      <c r="EV8">
        <v>7.3473958543482096</v>
      </c>
      <c r="EW8">
        <v>1.3733967</v>
      </c>
      <c r="EX8">
        <v>6.4759853446974196</v>
      </c>
      <c r="EY8">
        <v>7.8493820446974203</v>
      </c>
      <c r="EZ8">
        <v>1.2976106000000001</v>
      </c>
      <c r="FA8">
        <v>6.04978525434821</v>
      </c>
      <c r="FB8">
        <v>7.3473958543482096</v>
      </c>
      <c r="FC8">
        <v>2.3831912000000002</v>
      </c>
      <c r="FD8">
        <v>9.9009680807464697</v>
      </c>
      <c r="FE8">
        <v>12.284159280746501</v>
      </c>
      <c r="FF8">
        <v>1.2976106000000001</v>
      </c>
      <c r="FG8">
        <v>6.04978525434821</v>
      </c>
      <c r="FH8">
        <v>7.3473958543482096</v>
      </c>
    </row>
    <row r="9" spans="1:164" x14ac:dyDescent="0.2">
      <c r="A9">
        <v>8</v>
      </c>
      <c r="B9">
        <v>9</v>
      </c>
      <c r="C9">
        <v>17</v>
      </c>
      <c r="D9">
        <v>1</v>
      </c>
      <c r="E9">
        <v>11</v>
      </c>
      <c r="F9" t="s">
        <v>118</v>
      </c>
      <c r="G9" t="s">
        <v>119</v>
      </c>
      <c r="H9">
        <v>3</v>
      </c>
      <c r="I9">
        <v>7</v>
      </c>
      <c r="J9" t="s">
        <v>120</v>
      </c>
      <c r="K9" t="s">
        <v>121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7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10</v>
      </c>
      <c r="AD9">
        <v>12</v>
      </c>
      <c r="AE9">
        <v>30</v>
      </c>
      <c r="AF9">
        <v>15</v>
      </c>
      <c r="AG9">
        <v>40</v>
      </c>
      <c r="AH9">
        <v>8</v>
      </c>
      <c r="AI9">
        <v>0.120463888888889</v>
      </c>
      <c r="AJ9">
        <v>4.5460500000000001</v>
      </c>
      <c r="AK9">
        <v>0.33248333333333302</v>
      </c>
      <c r="AL9">
        <v>19.010729999999999</v>
      </c>
      <c r="AM9">
        <v>0.226591666666667</v>
      </c>
      <c r="AN9">
        <v>16.540590000000002</v>
      </c>
      <c r="AO9">
        <v>0.222736111111111</v>
      </c>
      <c r="AP9">
        <v>14.16709</v>
      </c>
      <c r="AQ9">
        <v>0.24603611111111101</v>
      </c>
      <c r="AR9">
        <v>14.49499</v>
      </c>
      <c r="AS9">
        <v>0.21122222222222201</v>
      </c>
      <c r="AT9">
        <v>10.99513</v>
      </c>
      <c r="AU9">
        <v>0.10836111111111101</v>
      </c>
      <c r="AV9">
        <v>5.3219500000000002</v>
      </c>
      <c r="AW9">
        <v>7.5550000000000006E-2</v>
      </c>
      <c r="AX9">
        <v>3.2687300000000001</v>
      </c>
      <c r="AY9">
        <v>5.7083333333333298E-2</v>
      </c>
      <c r="AZ9">
        <v>2.5158700000000001</v>
      </c>
      <c r="BA9">
        <v>5.27722222222222E-2</v>
      </c>
      <c r="BB9">
        <v>2.1158000000000001</v>
      </c>
      <c r="BC9">
        <v>0.112277777777778</v>
      </c>
      <c r="BD9">
        <v>3.9273099999999999</v>
      </c>
      <c r="BE9">
        <v>0.192236111111111</v>
      </c>
      <c r="BF9">
        <v>11.00625</v>
      </c>
      <c r="BG9">
        <v>0.25611111111111101</v>
      </c>
      <c r="BH9">
        <v>14.4091</v>
      </c>
      <c r="BI9">
        <v>0.29993888888888898</v>
      </c>
      <c r="BJ9">
        <v>16.383019999999998</v>
      </c>
      <c r="BK9">
        <v>0.368077777777778</v>
      </c>
      <c r="BL9">
        <v>23.19867</v>
      </c>
      <c r="BM9">
        <v>0.409580555555556</v>
      </c>
      <c r="BN9">
        <v>25.19135</v>
      </c>
      <c r="BO9">
        <f t="shared" si="0"/>
        <v>5.27722222222222E-2</v>
      </c>
      <c r="BP9">
        <v>9</v>
      </c>
      <c r="BQ9">
        <v>2.1158000000000001</v>
      </c>
      <c r="BR9">
        <f t="shared" si="1"/>
        <v>0</v>
      </c>
      <c r="BS9">
        <f t="shared" si="2"/>
        <v>5.27722222222222E-2</v>
      </c>
      <c r="BT9">
        <f t="shared" si="3"/>
        <v>9</v>
      </c>
      <c r="BU9">
        <f t="shared" si="4"/>
        <v>2.1158000000000001</v>
      </c>
      <c r="BV9">
        <f t="shared" si="5"/>
        <v>0</v>
      </c>
      <c r="BW9">
        <f t="shared" si="6"/>
        <v>5.27722222222222E-2</v>
      </c>
      <c r="BX9">
        <f t="shared" si="32"/>
        <v>9</v>
      </c>
      <c r="BY9">
        <f t="shared" si="33"/>
        <v>2.1158000000000001</v>
      </c>
      <c r="BZ9">
        <f t="shared" si="7"/>
        <v>0</v>
      </c>
      <c r="CA9">
        <f t="shared" si="8"/>
        <v>5.27722222222222E-2</v>
      </c>
      <c r="CB9">
        <f>IF(CA9=BO9,BP9,IF(CA9=BS9,BT9,IF(CA9=BW9,BX9,0)))</f>
        <v>9</v>
      </c>
      <c r="CC9">
        <f>IF(CA9=BO9,BQ9,IF(CA9=BS9,BU9,IF(CA9=BW9,BY9,0)))</f>
        <v>2.1158000000000001</v>
      </c>
      <c r="CD9">
        <f t="shared" si="9"/>
        <v>0</v>
      </c>
      <c r="CE9">
        <f t="shared" si="10"/>
        <v>5.27722222222222E-2</v>
      </c>
      <c r="CF9">
        <f>IF(CE9=BO9,BP9,IF(CE9=BS9,BT9,IF(CE9=BW9,BX9,IF(CE9=CA9,CB9,0))))</f>
        <v>9</v>
      </c>
      <c r="CG9">
        <f>IF(CE9=BO9,BQ9,IF(CE9=BS9,BU9,IF(CE9=BW9,BY9,IF(CE9=CA9,CC9,0))))</f>
        <v>2.1158000000000001</v>
      </c>
      <c r="CH9">
        <f t="shared" si="11"/>
        <v>0</v>
      </c>
      <c r="CI9">
        <f t="shared" si="12"/>
        <v>5.27722222222222E-2</v>
      </c>
      <c r="CJ9">
        <f>IF(CI9=BO9,BP9,IF(CI9=BS9,BT9,IF(CI9=BW9,BX9,IF(CI9=CA9,CB9,IF(CI9=CE9,CF9,0)))))</f>
        <v>9</v>
      </c>
      <c r="CK9">
        <f>IF(CI9=BO9,BQ9,IF(CI9=BS9,BU9,IF(CI9=BW9,BY9,IF(CI9=CA9,CC9,IF(CI9=CE9,CG9,0)))))</f>
        <v>2.1158000000000001</v>
      </c>
      <c r="CL9">
        <f t="shared" si="13"/>
        <v>0</v>
      </c>
      <c r="CM9">
        <f t="shared" si="14"/>
        <v>5.27722222222222E-2</v>
      </c>
      <c r="CN9">
        <f>IF(CM9=BO9,BP9,IF(CM9=BS9,BT9,IF(CM9=BW9,BX9,IF(CM9=CA9,CB9,IF(CM9=CE9,CF9,IF(CM9=CI9,CJ9,0))))))</f>
        <v>9</v>
      </c>
      <c r="CO9">
        <f>IF(CM9=BO9,BQ9,IF(CM9=BS9,BU9,IF(CM9=BW9,BY9,IF(CM9=CA9,CC9,IF(CM9=CE9,CG9,IF(CM9=CI9,CK9,0))))))</f>
        <v>2.1158000000000001</v>
      </c>
      <c r="CP9">
        <f t="shared" si="15"/>
        <v>0</v>
      </c>
      <c r="CQ9">
        <f t="shared" si="16"/>
        <v>5.27722222222222E-2</v>
      </c>
      <c r="CR9">
        <f>IF(CQ9=BO9,BP9,IF(CQ9=BS9,BT9,IF(CQ9=BW9,BX9,IF(CQ9=CA9,CB9,IF(CQ9=CE9,CF9,IF(CQ9=CI9,CJ9,IF(CQ9=CM9,CN9,0)))))))</f>
        <v>9</v>
      </c>
      <c r="CS9">
        <f>IF(CQ9=BO9,BQ9,IF(CQ9=BS9,BU9,IF(CQ9=BW9,BY9,IF(CQ9=CA9,CC9,IF(CQ9=CE9,CG9,IF(CQ9=CI9,CK9,IF(CQ9=CM9,CO9,0)))))))</f>
        <v>2.1158000000000001</v>
      </c>
      <c r="CT9">
        <f t="shared" si="17"/>
        <v>0</v>
      </c>
      <c r="CU9">
        <f t="shared" si="18"/>
        <v>5.7083333333333298E-2</v>
      </c>
      <c r="CV9">
        <v>8</v>
      </c>
      <c r="CW9">
        <v>2.5158700000000001</v>
      </c>
      <c r="CX9">
        <f t="shared" si="19"/>
        <v>0</v>
      </c>
      <c r="CY9">
        <f t="shared" si="20"/>
        <v>5.27722222222222E-2</v>
      </c>
      <c r="CZ9">
        <f>IF(CY9=BO9,BP9,IF(CY9=BS9,BT9,IF(CY9=BW9,BX9,IF(CY9=CA9,CB9,IF(CY9=CE9,CF9,IF(CY9=CI9,CJ9,IF(CY9=CM9,CN9,IF(CY9=CQ9,CR9,IF(CY9=CU9,CV9,0)))))))))</f>
        <v>9</v>
      </c>
      <c r="DA9">
        <f>IF(CY9=BO9,BQ9,IF(CY9=BS9,BU9,IF(CY9=BW9,BY9,IF(CY9=CA9,CC9,IF(CY9=CE9,CG9,IF(CY9=CI9,CK9,IF(CY9=CM9,CO9,IF(CY9=CQ9,CS9,IF(CY9=CU9,CW9,0)))))))))</f>
        <v>2.1158000000000001</v>
      </c>
      <c r="DB9">
        <f t="shared" si="21"/>
        <v>0</v>
      </c>
      <c r="DC9">
        <f t="shared" si="22"/>
        <v>5.27722222222222E-2</v>
      </c>
      <c r="DD9">
        <f>IF(DC9=BO9,BP9,IF(DC9=BS9,BT9,IF(DC9=BW9,BX9,IF(DC9=CA9,CB9,IF(DC9=CE9,CF9,IF(DC9=CI9,CJ9,IF(DC9=CM9,CN9,IF(DC9=CQ9,CR9,IF(DC9=CU9,CV9,IF(DC9=CY9,CZ9,0))))))))))</f>
        <v>9</v>
      </c>
      <c r="DE9">
        <f>IF(DC9=BO9,BQ9,IF(DC9=BS9,BU9,IF(DC9=BW9,BY9,IF(DC9=CA9,CC9,IF(DC9=CE9,CG9,IF(DC9=CI9,CK9,IF(DC9=CM9,CO9,IF(DC9=CQ9,CS9,IF(DC9=CU9,CW9,IF(DC9=CY9,DA9,0))))))))))</f>
        <v>2.1158000000000001</v>
      </c>
      <c r="DF9">
        <f t="shared" si="23"/>
        <v>0</v>
      </c>
      <c r="DG9">
        <f t="shared" si="24"/>
        <v>5.27722222222222E-2</v>
      </c>
      <c r="DH9">
        <f>IF(DG9=BO9,BP9,IF(DG9=BS9,BT9,IF(DG9=BW9,BX9,IF(DG9=CA9,CB9,IF(DG9=CE9,CF9,IF(DG9=CI9,CJ9,IF(DG9=CM9,CN9,IF(DG9=CQ9,CR9,IF(DG9=CU9,CV9,IF(DG9=CY9,CZ9,IF(DG9=DC9,DD9,0)))))))))))</f>
        <v>9</v>
      </c>
      <c r="DI9">
        <f>IF(DG9=BO9,BQ9,IF(DG9=BS9,BU9,IF(DG9=BW9,BY9,IF(DG9=CA9,CC9,IF(DG9=CE9,CG9,IF(DG9=CI9,CK9,IF(DG9=CM9,CO9,IF(DG9=CQ9,CS9,IF(DG9=CU9,CW9,IF(DG9=CY9,DA9,IF(DG9=DC9,DE9,0)))))))))))</f>
        <v>2.1158000000000001</v>
      </c>
      <c r="DJ9">
        <f t="shared" si="25"/>
        <v>0</v>
      </c>
      <c r="DK9">
        <f t="shared" si="26"/>
        <v>5.27722222222222E-2</v>
      </c>
      <c r="DL9">
        <f>IF(DK9=BO9,BP9,IF(DK9=BS9,BT9,IF(DK9=BW9,BX9,IF(DK9=CA9,CB9,IF(DK9=CE9,CF9,IF(DK9=CI9,CJ9,IF(DK9=CM9,CN9,IF(DK9=CQ9,CR9,IF(DK9=CU9,CV9,IF(DK9=CY9,CZ9,IF(DK9=DC9,DD9,IF(DK9=DG9,DH9,0))))))))))))</f>
        <v>9</v>
      </c>
      <c r="DM9">
        <f>IF(DK9=BO9,BQ9,IF(DK9=BS9,BU9,IF(DK9=BW9,BY9,IF(DK9=CA9,CC9,IF(DK9=CE9,CG9,IF(DK9=CI9,CK9,IF(DK9=CM9,CO9,IF(DK9=CQ9,CS9,IF(DK9=CU9,CW9,IF(DK9=CY9,DA9,IF(DK9=DC9,DE9,IF(DK9=DG9,DI9,0))))))))))))</f>
        <v>2.1158000000000001</v>
      </c>
      <c r="DN9">
        <f t="shared" si="27"/>
        <v>0</v>
      </c>
      <c r="DO9">
        <f t="shared" si="28"/>
        <v>5.27722222222222E-2</v>
      </c>
      <c r="DP9">
        <f>IF(DO9=BO9,BP9,IF(DO9=BS9,BT9,IF(DO9=BW9,BX9,IF(DO9=CA9,CB9,IF(DO9=CE9,CF9,IF(DO9=CI9,CJ9,IF(DO9=CM9,CN9,IF(DO9=CQ9,CR9,IF(DO9=CU9,CV9,IF(DO9=CY9,CZ9,IF(DO9=DC9,DD9,IF(DO9=DG9,DH9,IF(DO9=DK9,DL9,0)))))))))))))</f>
        <v>9</v>
      </c>
      <c r="DQ9">
        <f>IF(DO9=BO9,BQ9,IF(DO9=BS9,BU9,IF(DO9=BW9,BY9,IF(DO9=CA9,CC9,IF(DO9=CE9,CG9,IF(DO9=CI9,CK9,IF(DO9=CM9,CO9,IF(DO9=CQ9,CS9,IF(DO9=CU9,CW9,IF(DO9=CY9,DA9,IF(DO9=DC9,DE9,IF(DO9=DG9,DI9,IF(DO9=DK9,DM9,0)))))))))))))</f>
        <v>2.1158000000000001</v>
      </c>
      <c r="DR9">
        <f t="shared" si="29"/>
        <v>0</v>
      </c>
      <c r="DS9">
        <f t="shared" si="30"/>
        <v>5.27722222222222E-2</v>
      </c>
      <c r="DT9">
        <f>IF(DS9=BO9,BP9,IF(DS9=BS9,BT9,IF(DS9=BW9,BX9,IF(DS9=CA9,CB9,IF(DS9=CE9,CF9,IF(DS9=CI9,CJ9,IF(DS9=CM9,CN9,IF(DS9=CQ9,CR9,IF(DS9=CU9,CV9,IF(DS9=CY9,CZ9,IF(DS9=DC9,DD9,IF(DS9=DG9,DH9,IF(DS9=DK9,DL9,IF(DS9=DO9,DP9,0))))))))))))))</f>
        <v>9</v>
      </c>
      <c r="DU9">
        <f>IF(DS9=BO9,BQ9,IF(DS9=BS9,BU9,IF(DS9=BW9,BY9,IF(DS9=CA9,CC9,IF(DS9=CE9,CG9,IF(DS9=CI9,CK9,IF(DS9=CM9,CO9,IF(DS9=CQ9,CS9,IF(DS9=CU9,CW9,IF(DS9=CY9,DA9,IF(DS9=DC9,DE9,IF(DS9=DG9,DI9,IF(DS9=DK9,DM9,IF(DS9=DO9,DQ9,0))))))))))))))</f>
        <v>2.1158000000000001</v>
      </c>
      <c r="DV9">
        <f t="shared" si="31"/>
        <v>0</v>
      </c>
      <c r="DW9">
        <v>7500</v>
      </c>
      <c r="DX9">
        <v>4</v>
      </c>
      <c r="DY9">
        <v>0</v>
      </c>
      <c r="EA9">
        <v>4</v>
      </c>
      <c r="EB9">
        <v>3.37129157926281</v>
      </c>
      <c r="EC9">
        <v>1</v>
      </c>
      <c r="ED9">
        <v>1.5909865000000001</v>
      </c>
      <c r="EE9">
        <v>5.27722222222222E-2</v>
      </c>
      <c r="EF9">
        <v>2.1158000000000001</v>
      </c>
      <c r="EG9">
        <v>2.0467954428470998</v>
      </c>
      <c r="EH9">
        <v>9</v>
      </c>
      <c r="EI9">
        <v>0</v>
      </c>
      <c r="EJ9">
        <v>0.27505400000000002</v>
      </c>
      <c r="EK9">
        <v>1</v>
      </c>
      <c r="EL9">
        <v>6</v>
      </c>
      <c r="EM9">
        <v>80</v>
      </c>
      <c r="EN9">
        <v>1</v>
      </c>
      <c r="EO9">
        <v>2</v>
      </c>
      <c r="EP9">
        <v>8</v>
      </c>
      <c r="EQ9">
        <v>15</v>
      </c>
      <c r="ER9">
        <v>14.1987814663817</v>
      </c>
      <c r="ES9">
        <v>3.4208808658476402</v>
      </c>
      <c r="ET9">
        <v>5.0118673658476398</v>
      </c>
      <c r="EU9">
        <v>1.4986025016573301</v>
      </c>
      <c r="EV9">
        <v>1.77365650165733</v>
      </c>
      <c r="EW9">
        <v>0.3270631</v>
      </c>
      <c r="EX9">
        <v>1.6210275507452401</v>
      </c>
      <c r="EY9">
        <v>1.94809065074524</v>
      </c>
      <c r="EZ9">
        <v>0.27505400000000002</v>
      </c>
      <c r="FA9">
        <v>1.4986025016573301</v>
      </c>
      <c r="FB9">
        <v>1.77365650165733</v>
      </c>
      <c r="FC9">
        <v>1.8417216999999999</v>
      </c>
      <c r="FD9">
        <v>6.3251627326767501</v>
      </c>
      <c r="FE9">
        <v>8.1668844326767491</v>
      </c>
      <c r="FF9">
        <v>0.27505400000000002</v>
      </c>
      <c r="FG9">
        <v>1.4986025016573301</v>
      </c>
      <c r="FH9">
        <v>1.77365650165733</v>
      </c>
    </row>
    <row r="10" spans="1:164" x14ac:dyDescent="0.2">
      <c r="A10">
        <v>9</v>
      </c>
      <c r="B10">
        <v>10</v>
      </c>
      <c r="C10">
        <v>18</v>
      </c>
      <c r="D10">
        <v>1</v>
      </c>
      <c r="E10">
        <v>11</v>
      </c>
      <c r="F10" t="s">
        <v>118</v>
      </c>
      <c r="G10" t="s">
        <v>122</v>
      </c>
      <c r="H10">
        <v>3</v>
      </c>
      <c r="I10">
        <v>7</v>
      </c>
      <c r="J10" t="s">
        <v>120</v>
      </c>
      <c r="K10" t="s">
        <v>123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10</v>
      </c>
      <c r="AD10">
        <v>11</v>
      </c>
      <c r="AE10">
        <v>42</v>
      </c>
      <c r="AF10">
        <v>21</v>
      </c>
      <c r="AG10">
        <v>60</v>
      </c>
      <c r="AH10">
        <v>8</v>
      </c>
      <c r="AI10">
        <v>0.16748333333333301</v>
      </c>
      <c r="AJ10">
        <v>6.3378699999999997</v>
      </c>
      <c r="AK10">
        <v>0.35158333333333303</v>
      </c>
      <c r="AL10">
        <v>18.742000000000001</v>
      </c>
      <c r="AM10">
        <v>0.24569444444444399</v>
      </c>
      <c r="AN10">
        <v>16.27186</v>
      </c>
      <c r="AO10">
        <v>0.241836111111111</v>
      </c>
      <c r="AP10">
        <v>13.89836</v>
      </c>
      <c r="AQ10">
        <v>0.26513611111111102</v>
      </c>
      <c r="AR10">
        <v>14.22626</v>
      </c>
      <c r="AS10">
        <v>0.23032222222222201</v>
      </c>
      <c r="AT10">
        <v>10.7264</v>
      </c>
      <c r="AU10">
        <v>0.127461111111111</v>
      </c>
      <c r="AV10">
        <v>5.0532199999999996</v>
      </c>
      <c r="AW10">
        <v>6.5644444444444394E-2</v>
      </c>
      <c r="AX10">
        <v>1.1821999999999999</v>
      </c>
      <c r="AY10">
        <v>4.4097222222222197E-2</v>
      </c>
      <c r="AZ10">
        <v>1.0767899999999999</v>
      </c>
      <c r="BA10">
        <v>7.4475E-2</v>
      </c>
      <c r="BB10">
        <v>2.1208900000000002</v>
      </c>
      <c r="BC10">
        <v>0.15929722222222201</v>
      </c>
      <c r="BD10">
        <v>5.7191299999999998</v>
      </c>
      <c r="BE10">
        <v>0.21862500000000001</v>
      </c>
      <c r="BF10">
        <v>13.92179</v>
      </c>
      <c r="BG10">
        <v>0.28249999999999997</v>
      </c>
      <c r="BH10">
        <v>17.324639999999999</v>
      </c>
      <c r="BI10">
        <v>0.32632777777777799</v>
      </c>
      <c r="BJ10">
        <v>19.298549999999999</v>
      </c>
      <c r="BK10">
        <v>0.39446666666666702</v>
      </c>
      <c r="BL10">
        <v>26.1142</v>
      </c>
      <c r="BM10">
        <v>0.43596944444444402</v>
      </c>
      <c r="BN10">
        <v>28.10688</v>
      </c>
      <c r="BO10">
        <f t="shared" si="0"/>
        <v>4.4097222222222197E-2</v>
      </c>
      <c r="BP10">
        <v>8</v>
      </c>
      <c r="BQ10">
        <v>1.0767899999999999</v>
      </c>
      <c r="BR10">
        <f t="shared" si="1"/>
        <v>0</v>
      </c>
      <c r="BS10">
        <f t="shared" si="2"/>
        <v>4.4097222222222197E-2</v>
      </c>
      <c r="BT10">
        <f t="shared" si="3"/>
        <v>8</v>
      </c>
      <c r="BU10">
        <f t="shared" si="4"/>
        <v>1.0767899999999999</v>
      </c>
      <c r="BV10">
        <f t="shared" si="5"/>
        <v>0</v>
      </c>
      <c r="BW10">
        <f t="shared" si="6"/>
        <v>4.4097222222222197E-2</v>
      </c>
      <c r="BX10">
        <f t="shared" si="32"/>
        <v>8</v>
      </c>
      <c r="BY10">
        <f t="shared" si="33"/>
        <v>1.0767899999999999</v>
      </c>
      <c r="BZ10">
        <f t="shared" si="7"/>
        <v>0</v>
      </c>
      <c r="CA10">
        <f t="shared" si="8"/>
        <v>4.4097222222222197E-2</v>
      </c>
      <c r="CB10">
        <f>IF(CA10=BO10,BP10,IF(CA10=BS10,BT10,IF(CA10=BW10,BX10,0)))</f>
        <v>8</v>
      </c>
      <c r="CC10">
        <f>IF(CA10=BO10,BQ10,IF(CA10=BS10,BU10,IF(CA10=BW10,BY10,0)))</f>
        <v>1.0767899999999999</v>
      </c>
      <c r="CD10">
        <f t="shared" si="9"/>
        <v>0</v>
      </c>
      <c r="CE10">
        <f t="shared" si="10"/>
        <v>4.4097222222222197E-2</v>
      </c>
      <c r="CF10">
        <f>IF(CE10=BO10,BP10,IF(CE10=BS10,BT10,IF(CE10=BW10,BX10,IF(CE10=CA10,CB10,0))))</f>
        <v>8</v>
      </c>
      <c r="CG10">
        <f>IF(CE10=BO10,BQ10,IF(CE10=BS10,BU10,IF(CE10=BW10,BY10,IF(CE10=CA10,CC10,0))))</f>
        <v>1.0767899999999999</v>
      </c>
      <c r="CH10">
        <f t="shared" si="11"/>
        <v>0</v>
      </c>
      <c r="CI10">
        <f t="shared" si="12"/>
        <v>4.4097222222222197E-2</v>
      </c>
      <c r="CJ10">
        <f>IF(CI10=BO10,BP10,IF(CI10=BS10,BT10,IF(CI10=BW10,BX10,IF(CI10=CA10,CB10,IF(CI10=CE10,CF10,0)))))</f>
        <v>8</v>
      </c>
      <c r="CK10">
        <f>IF(CI10=BO10,BQ10,IF(CI10=BS10,BU10,IF(CI10=BW10,BY10,IF(CI10=CA10,CC10,IF(CI10=CE10,CG10,0)))))</f>
        <v>1.0767899999999999</v>
      </c>
      <c r="CL10">
        <f t="shared" si="13"/>
        <v>0</v>
      </c>
      <c r="CM10">
        <f t="shared" si="14"/>
        <v>4.4097222222222197E-2</v>
      </c>
      <c r="CN10">
        <f>IF(CM10=BO10,BP10,IF(CM10=BS10,BT10,IF(CM10=BW10,BX10,IF(CM10=CA10,CB10,IF(CM10=CE10,CF10,IF(CM10=CI10,CJ10,0))))))</f>
        <v>8</v>
      </c>
      <c r="CO10">
        <f>IF(CM10=BO10,BQ10,IF(CM10=BS10,BU10,IF(CM10=BW10,BY10,IF(CM10=CA10,CC10,IF(CM10=CE10,CG10,IF(CM10=CI10,CK10,0))))))</f>
        <v>1.0767899999999999</v>
      </c>
      <c r="CP10">
        <f t="shared" si="15"/>
        <v>0</v>
      </c>
      <c r="CQ10">
        <f t="shared" si="16"/>
        <v>6.5644444444444394E-2</v>
      </c>
      <c r="CR10">
        <v>7</v>
      </c>
      <c r="CS10">
        <v>1.1821999999999999</v>
      </c>
      <c r="CT10">
        <f t="shared" si="17"/>
        <v>3</v>
      </c>
      <c r="CU10">
        <f t="shared" si="18"/>
        <v>4.4097222222222197E-2</v>
      </c>
      <c r="CV10">
        <f>IF(CU10=BO10,BP10,IF(CU10=BS10,BT10,IF(CU10=BW10,BX10,IF(CU10=CA10,CB10,IF(CU10=CE10,CF10,IF(CU10=CI10,CJ10,IF(CU10=CM10,CN10,IF(CU10=CQ10,CR10,0))))))))</f>
        <v>8</v>
      </c>
      <c r="CW10">
        <f>IF(CU10=BO10,BQ10,IF(CU10=BS10,BU10,IF(CU10=BW10,BY10,IF(CU10=CA10,CC10,IF(CU10=CE10,CG10,IF(CU10=CI10,CK10,IF(CU10=CM10,CO10,IF(CU10=CQ10,CS10,0))))))))</f>
        <v>1.0767899999999999</v>
      </c>
      <c r="CX10">
        <f t="shared" si="19"/>
        <v>0</v>
      </c>
      <c r="CY10">
        <f t="shared" si="20"/>
        <v>4.4097222222222197E-2</v>
      </c>
      <c r="CZ10">
        <f>IF(CY10=BO10,BP10,IF(CY10=BS10,BT10,IF(CY10=BW10,BX10,IF(CY10=CA10,CB10,IF(CY10=CE10,CF10,IF(CY10=CI10,CJ10,IF(CY10=CM10,CN10,IF(CY10=CQ10,CR10,IF(CY10=CU10,CV10,0)))))))))</f>
        <v>8</v>
      </c>
      <c r="DA10">
        <f>IF(CY10=BO10,BQ10,IF(CY10=BS10,BU10,IF(CY10=BW10,BY10,IF(CY10=CA10,CC10,IF(CY10=CE10,CG10,IF(CY10=CI10,CK10,IF(CY10=CM10,CO10,IF(CY10=CQ10,CS10,IF(CY10=CU10,CW10,0)))))))))</f>
        <v>1.0767899999999999</v>
      </c>
      <c r="DB10">
        <f t="shared" si="21"/>
        <v>0</v>
      </c>
      <c r="DC10">
        <f t="shared" si="22"/>
        <v>4.4097222222222197E-2</v>
      </c>
      <c r="DD10">
        <f>IF(DC10=BO10,BP10,IF(DC10=BS10,BT10,IF(DC10=BW10,BX10,IF(DC10=CA10,CB10,IF(DC10=CE10,CF10,IF(DC10=CI10,CJ10,IF(DC10=CM10,CN10,IF(DC10=CQ10,CR10,IF(DC10=CU10,CV10,IF(DC10=CY10,CZ10,0))))))))))</f>
        <v>8</v>
      </c>
      <c r="DE10">
        <f>IF(DC10=BO10,BQ10,IF(DC10=BS10,BU10,IF(DC10=BW10,BY10,IF(DC10=CA10,CC10,IF(DC10=CE10,CG10,IF(DC10=CI10,CK10,IF(DC10=CM10,CO10,IF(DC10=CQ10,CS10,IF(DC10=CU10,CW10,IF(DC10=CY10,DA10,0))))))))))</f>
        <v>1.0767899999999999</v>
      </c>
      <c r="DF10">
        <f t="shared" si="23"/>
        <v>0</v>
      </c>
      <c r="DG10">
        <f t="shared" si="24"/>
        <v>4.4097222222222197E-2</v>
      </c>
      <c r="DH10">
        <f>IF(DG10=BO10,BP10,IF(DG10=BS10,BT10,IF(DG10=BW10,BX10,IF(DG10=CA10,CB10,IF(DG10=CE10,CF10,IF(DG10=CI10,CJ10,IF(DG10=CM10,CN10,IF(DG10=CQ10,CR10,IF(DG10=CU10,CV10,IF(DG10=CY10,CZ10,IF(DG10=DC10,DD10,0)))))))))))</f>
        <v>8</v>
      </c>
      <c r="DI10">
        <f>IF(DG10=BO10,BQ10,IF(DG10=BS10,BU10,IF(DG10=BW10,BY10,IF(DG10=CA10,CC10,IF(DG10=CE10,CG10,IF(DG10=CI10,CK10,IF(DG10=CM10,CO10,IF(DG10=CQ10,CS10,IF(DG10=CU10,CW10,IF(DG10=CY10,DA10,IF(DG10=DC10,DE10,0)))))))))))</f>
        <v>1.0767899999999999</v>
      </c>
      <c r="DJ10">
        <f t="shared" si="25"/>
        <v>0</v>
      </c>
      <c r="DK10">
        <f t="shared" si="26"/>
        <v>4.4097222222222197E-2</v>
      </c>
      <c r="DL10">
        <f>IF(DK10=BO10,BP10,IF(DK10=BS10,BT10,IF(DK10=BW10,BX10,IF(DK10=CA10,CB10,IF(DK10=CE10,CF10,IF(DK10=CI10,CJ10,IF(DK10=CM10,CN10,IF(DK10=CQ10,CR10,IF(DK10=CU10,CV10,IF(DK10=CY10,CZ10,IF(DK10=DC10,DD10,IF(DK10=DG10,DH10,0))))))))))))</f>
        <v>8</v>
      </c>
      <c r="DM10">
        <f>IF(DK10=BO10,BQ10,IF(DK10=BS10,BU10,IF(DK10=BW10,BY10,IF(DK10=CA10,CC10,IF(DK10=CE10,CG10,IF(DK10=CI10,CK10,IF(DK10=CM10,CO10,IF(DK10=CQ10,CS10,IF(DK10=CU10,CW10,IF(DK10=CY10,DA10,IF(DK10=DC10,DE10,IF(DK10=DG10,DI10,0))))))))))))</f>
        <v>1.0767899999999999</v>
      </c>
      <c r="DN10">
        <f t="shared" si="27"/>
        <v>0</v>
      </c>
      <c r="DO10">
        <f t="shared" si="28"/>
        <v>4.4097222222222197E-2</v>
      </c>
      <c r="DP10">
        <f>IF(DO10=BO10,BP10,IF(DO10=BS10,BT10,IF(DO10=BW10,BX10,IF(DO10=CA10,CB10,IF(DO10=CE10,CF10,IF(DO10=CI10,CJ10,IF(DO10=CM10,CN10,IF(DO10=CQ10,CR10,IF(DO10=CU10,CV10,IF(DO10=CY10,CZ10,IF(DO10=DC10,DD10,IF(DO10=DG10,DH10,IF(DO10=DK10,DL10,0)))))))))))))</f>
        <v>8</v>
      </c>
      <c r="DQ10">
        <f>IF(DO10=BO10,BQ10,IF(DO10=BS10,BU10,IF(DO10=BW10,BY10,IF(DO10=CA10,CC10,IF(DO10=CE10,CG10,IF(DO10=CI10,CK10,IF(DO10=CM10,CO10,IF(DO10=CQ10,CS10,IF(DO10=CU10,CW10,IF(DO10=CY10,DA10,IF(DO10=DC10,DE10,IF(DO10=DG10,DI10,IF(DO10=DK10,DM10,0)))))))))))))</f>
        <v>1.0767899999999999</v>
      </c>
      <c r="DR10">
        <f t="shared" si="29"/>
        <v>0</v>
      </c>
      <c r="DS10">
        <f t="shared" si="30"/>
        <v>4.4097222222222197E-2</v>
      </c>
      <c r="DT10">
        <f>IF(DS10=BO10,BP10,IF(DS10=BS10,BT10,IF(DS10=BW10,BX10,IF(DS10=CA10,CB10,IF(DS10=CE10,CF10,IF(DS10=CI10,CJ10,IF(DS10=CM10,CN10,IF(DS10=CQ10,CR10,IF(DS10=CU10,CV10,IF(DS10=CY10,CZ10,IF(DS10=DC10,DD10,IF(DS10=DG10,DH10,IF(DS10=DK10,DL10,IF(DS10=DO10,DP10,0))))))))))))))</f>
        <v>8</v>
      </c>
      <c r="DU10">
        <f>IF(DS10=BO10,BQ10,IF(DS10=BS10,BU10,IF(DS10=BW10,BY10,IF(DS10=CA10,CC10,IF(DS10=CE10,CG10,IF(DS10=CI10,CK10,IF(DS10=CM10,CO10,IF(DS10=CQ10,CS10,IF(DS10=CU10,CW10,IF(DS10=CY10,DA10,IF(DS10=DC10,DE10,IF(DS10=DG10,DI10,IF(DS10=DK10,DM10,IF(DS10=DO10,DQ10,0))))))))))))))</f>
        <v>1.0767899999999999</v>
      </c>
      <c r="DV10">
        <f t="shared" si="31"/>
        <v>0</v>
      </c>
      <c r="DW10">
        <v>67500.5</v>
      </c>
      <c r="DX10">
        <v>4</v>
      </c>
      <c r="DY10">
        <v>0</v>
      </c>
      <c r="EA10">
        <v>4</v>
      </c>
      <c r="EB10">
        <v>30.341848966137199</v>
      </c>
      <c r="EC10">
        <v>1</v>
      </c>
      <c r="ED10">
        <v>1.8239231</v>
      </c>
      <c r="EE10">
        <v>4.4097222222222197E-2</v>
      </c>
      <c r="EF10">
        <v>1.0767899999999999</v>
      </c>
      <c r="EG10">
        <v>11.490516273268099</v>
      </c>
      <c r="EH10">
        <v>8</v>
      </c>
      <c r="EI10">
        <v>0</v>
      </c>
      <c r="EJ10">
        <v>0.13998269999999999</v>
      </c>
      <c r="EK10">
        <v>1</v>
      </c>
      <c r="EL10">
        <v>20</v>
      </c>
      <c r="EM10">
        <v>57</v>
      </c>
      <c r="EN10">
        <v>1</v>
      </c>
      <c r="EO10">
        <v>2</v>
      </c>
      <c r="EP10">
        <v>8</v>
      </c>
      <c r="EQ10">
        <v>21</v>
      </c>
      <c r="ER10">
        <v>14.1987814663817</v>
      </c>
      <c r="ES10">
        <v>4.7561184985223104</v>
      </c>
      <c r="ET10">
        <v>6.5800415985223104</v>
      </c>
      <c r="EU10">
        <v>1.2522536432156099</v>
      </c>
      <c r="EV10">
        <v>1.39223634321561</v>
      </c>
      <c r="EW10">
        <v>0.13998269999999999</v>
      </c>
      <c r="EX10">
        <v>1.2522536432156099</v>
      </c>
      <c r="EY10">
        <v>1.39223634321561</v>
      </c>
      <c r="EZ10">
        <v>0.90368599999999999</v>
      </c>
      <c r="FA10">
        <v>1.8641422422974001</v>
      </c>
      <c r="FB10">
        <v>2.7678282422974001</v>
      </c>
      <c r="FC10">
        <v>1.8067868</v>
      </c>
      <c r="FD10">
        <v>6.8675561846925302</v>
      </c>
      <c r="FE10">
        <v>8.6743429846925295</v>
      </c>
      <c r="FF10">
        <v>0.13998269999999999</v>
      </c>
      <c r="FG10">
        <v>1.2522536432156099</v>
      </c>
      <c r="FH10">
        <v>1.39223634321561</v>
      </c>
    </row>
    <row r="11" spans="1:164" x14ac:dyDescent="0.2">
      <c r="A11">
        <v>10</v>
      </c>
      <c r="B11">
        <v>11</v>
      </c>
      <c r="C11">
        <v>19</v>
      </c>
      <c r="D11">
        <v>3</v>
      </c>
      <c r="E11">
        <v>12</v>
      </c>
      <c r="F11" t="s">
        <v>124</v>
      </c>
      <c r="G11" t="s">
        <v>122</v>
      </c>
      <c r="H11">
        <v>3</v>
      </c>
      <c r="I11">
        <v>1</v>
      </c>
      <c r="K11" t="s">
        <v>125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14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13</v>
      </c>
      <c r="AD11">
        <v>0</v>
      </c>
      <c r="AE11">
        <v>28</v>
      </c>
      <c r="AF11">
        <v>14</v>
      </c>
      <c r="AG11">
        <v>15</v>
      </c>
      <c r="AH11">
        <v>9</v>
      </c>
      <c r="AI11">
        <v>0.11197500000000001</v>
      </c>
      <c r="AJ11">
        <v>3.61138</v>
      </c>
      <c r="AK11">
        <v>0.36159999999999998</v>
      </c>
      <c r="AL11">
        <v>20.79391</v>
      </c>
      <c r="AM11">
        <v>0.25570833333333298</v>
      </c>
      <c r="AN11">
        <v>18.32377</v>
      </c>
      <c r="AO11">
        <v>0.25185277777777798</v>
      </c>
      <c r="AP11">
        <v>15.95027</v>
      </c>
      <c r="AQ11">
        <v>0.27515000000000001</v>
      </c>
      <c r="AR11">
        <v>16.278169999999999</v>
      </c>
      <c r="AS11">
        <v>0.24033888888888899</v>
      </c>
      <c r="AT11">
        <v>12.7783</v>
      </c>
      <c r="AU11">
        <v>0.13968333333333299</v>
      </c>
      <c r="AV11">
        <v>7.2427700000000002</v>
      </c>
      <c r="AW11">
        <v>0.11491111111111101</v>
      </c>
      <c r="AX11">
        <v>5.1296299999999997</v>
      </c>
      <c r="AY11">
        <v>5.8847222222222197E-2</v>
      </c>
      <c r="AZ11">
        <v>1.8981399999999999</v>
      </c>
      <c r="BA11">
        <v>2.8469444444444401E-2</v>
      </c>
      <c r="BB11">
        <v>0.85412999999999994</v>
      </c>
      <c r="BC11">
        <v>9.5816666666666703E-2</v>
      </c>
      <c r="BD11">
        <v>2.1638000000000002</v>
      </c>
      <c r="BE11">
        <v>0.18374722222222201</v>
      </c>
      <c r="BF11">
        <v>10.071580000000001</v>
      </c>
      <c r="BG11">
        <v>0.24762222222222199</v>
      </c>
      <c r="BH11">
        <v>13.47444</v>
      </c>
      <c r="BI11">
        <v>0.29144722222222202</v>
      </c>
      <c r="BJ11">
        <v>15.44835</v>
      </c>
      <c r="BK11">
        <v>0.35958888888888901</v>
      </c>
      <c r="BL11">
        <v>22.263999999999999</v>
      </c>
      <c r="BM11">
        <v>0.40109166666666701</v>
      </c>
      <c r="BN11">
        <v>24.256679999999999</v>
      </c>
      <c r="BO11">
        <f t="shared" si="0"/>
        <v>2.8469444444444401E-2</v>
      </c>
      <c r="BP11">
        <v>9</v>
      </c>
      <c r="BQ11">
        <v>0.85412999999999994</v>
      </c>
      <c r="BR11">
        <f t="shared" si="1"/>
        <v>0</v>
      </c>
      <c r="BS11">
        <f t="shared" si="2"/>
        <v>2.8469444444444401E-2</v>
      </c>
      <c r="BT11">
        <f t="shared" si="3"/>
        <v>9</v>
      </c>
      <c r="BU11">
        <f t="shared" si="4"/>
        <v>0.85412999999999994</v>
      </c>
      <c r="BV11">
        <f t="shared" si="5"/>
        <v>0</v>
      </c>
      <c r="BW11">
        <f t="shared" si="6"/>
        <v>2.8469444444444401E-2</v>
      </c>
      <c r="BX11">
        <f t="shared" si="32"/>
        <v>9</v>
      </c>
      <c r="BY11">
        <f t="shared" si="33"/>
        <v>0.85412999999999994</v>
      </c>
      <c r="BZ11">
        <f t="shared" si="7"/>
        <v>0</v>
      </c>
      <c r="CA11">
        <f t="shared" si="8"/>
        <v>2.8469444444444401E-2</v>
      </c>
      <c r="CB11">
        <f>IF(CA11=BO11,BP11,IF(CA11=BS11,BT11,IF(CA11=BW11,BX11,0)))</f>
        <v>9</v>
      </c>
      <c r="CC11">
        <f>IF(CA11=BO11,BQ11,IF(CA11=BS11,BU11,IF(CA11=BW11,BY11,0)))</f>
        <v>0.85412999999999994</v>
      </c>
      <c r="CD11">
        <f t="shared" si="9"/>
        <v>0</v>
      </c>
      <c r="CE11">
        <f t="shared" si="10"/>
        <v>2.8469444444444401E-2</v>
      </c>
      <c r="CF11">
        <f>IF(CE11=BO11,BP11,IF(CE11=BS11,BT11,IF(CE11=BW11,BX11,IF(CE11=CA11,CB11,0))))</f>
        <v>9</v>
      </c>
      <c r="CG11">
        <f>IF(CE11=BO11,BQ11,IF(CE11=BS11,BU11,IF(CE11=BW11,BY11,IF(CE11=CA11,CC11,0))))</f>
        <v>0.85412999999999994</v>
      </c>
      <c r="CH11">
        <f t="shared" si="11"/>
        <v>0</v>
      </c>
      <c r="CI11">
        <f t="shared" si="12"/>
        <v>2.8469444444444401E-2</v>
      </c>
      <c r="CJ11">
        <f>IF(CI11=BO11,BP11,IF(CI11=BS11,BT11,IF(CI11=BW11,BX11,IF(CI11=CA11,CB11,IF(CI11=CE11,CF11,0)))))</f>
        <v>9</v>
      </c>
      <c r="CK11">
        <f>IF(CI11=BO11,BQ11,IF(CI11=BS11,BU11,IF(CI11=BW11,BY11,IF(CI11=CA11,CC11,IF(CI11=CE11,CG11,0)))))</f>
        <v>0.85412999999999994</v>
      </c>
      <c r="CL11">
        <f t="shared" si="13"/>
        <v>0</v>
      </c>
      <c r="CM11">
        <f t="shared" si="14"/>
        <v>2.8469444444444401E-2</v>
      </c>
      <c r="CN11">
        <f>IF(CM11=BO11,BP11,IF(CM11=BS11,BT11,IF(CM11=BW11,BX11,IF(CM11=CA11,CB11,IF(CM11=CE11,CF11,IF(CM11=CI11,CJ11,0))))))</f>
        <v>9</v>
      </c>
      <c r="CO11">
        <f>IF(CM11=BO11,BQ11,IF(CM11=BS11,BU11,IF(CM11=BW11,BY11,IF(CM11=CA11,CC11,IF(CM11=CE11,CG11,IF(CM11=CI11,CK11,0))))))</f>
        <v>0.85412999999999994</v>
      </c>
      <c r="CP11">
        <f t="shared" si="15"/>
        <v>0</v>
      </c>
      <c r="CQ11">
        <f t="shared" si="16"/>
        <v>2.8469444444444401E-2</v>
      </c>
      <c r="CR11">
        <f>IF(CQ11=BO11,BP11,IF(CQ11=BS11,BT11,IF(CQ11=BW11,BX11,IF(CQ11=CA11,CB11,IF(CQ11=CE11,CF11,IF(CQ11=CI11,CJ11,IF(CQ11=CM11,CN11,0)))))))</f>
        <v>9</v>
      </c>
      <c r="CS11">
        <f>IF(CQ11=BO11,BQ11,IF(CQ11=BS11,BU11,IF(CQ11=BW11,BY11,IF(CQ11=CA11,CC11,IF(CQ11=CE11,CG11,IF(CQ11=CI11,CK11,IF(CQ11=CM11,CO11,0)))))))</f>
        <v>0.85412999999999994</v>
      </c>
      <c r="CT11">
        <f t="shared" si="17"/>
        <v>0</v>
      </c>
      <c r="CU11">
        <f t="shared" si="18"/>
        <v>5.8847222222222197E-2</v>
      </c>
      <c r="CV11">
        <v>8</v>
      </c>
      <c r="CW11">
        <v>1.8981399999999999</v>
      </c>
      <c r="CX11">
        <f t="shared" si="19"/>
        <v>0</v>
      </c>
      <c r="CY11">
        <f t="shared" si="20"/>
        <v>2.8469444444444401E-2</v>
      </c>
      <c r="CZ11">
        <f>IF(CY11=BO11,BP11,IF(CY11=BS11,BT11,IF(CY11=BW11,BX11,IF(CY11=CA11,CB11,IF(CY11=CE11,CF11,IF(CY11=CI11,CJ11,IF(CY11=CM11,CN11,IF(CY11=CQ11,CR11,IF(CY11=CU11,CV11,0)))))))))</f>
        <v>9</v>
      </c>
      <c r="DA11">
        <f>IF(CY11=BO11,BQ11,IF(CY11=BS11,BU11,IF(CY11=BW11,BY11,IF(CY11=CA11,CC11,IF(CY11=CE11,CG11,IF(CY11=CI11,CK11,IF(CY11=CM11,CO11,IF(CY11=CQ11,CS11,IF(CY11=CU11,CW11,0)))))))))</f>
        <v>0.85412999999999994</v>
      </c>
      <c r="DB11">
        <f t="shared" si="21"/>
        <v>0</v>
      </c>
      <c r="DC11">
        <f t="shared" si="22"/>
        <v>2.8469444444444401E-2</v>
      </c>
      <c r="DD11">
        <f>IF(DC11=BO11,BP11,IF(DC11=BS11,BT11,IF(DC11=BW11,BX11,IF(DC11=CA11,CB11,IF(DC11=CE11,CF11,IF(DC11=CI11,CJ11,IF(DC11=CM11,CN11,IF(DC11=CQ11,CR11,IF(DC11=CU11,CV11,IF(DC11=CY11,CZ11,0))))))))))</f>
        <v>9</v>
      </c>
      <c r="DE11">
        <f>IF(DC11=BO11,BQ11,IF(DC11=BS11,BU11,IF(DC11=BW11,BY11,IF(DC11=CA11,CC11,IF(DC11=CE11,CG11,IF(DC11=CI11,CK11,IF(DC11=CM11,CO11,IF(DC11=CQ11,CS11,IF(DC11=CU11,CW11,IF(DC11=CY11,DA11,0))))))))))</f>
        <v>0.85412999999999994</v>
      </c>
      <c r="DF11">
        <f t="shared" si="23"/>
        <v>0</v>
      </c>
      <c r="DG11">
        <f t="shared" si="24"/>
        <v>2.8469444444444401E-2</v>
      </c>
      <c r="DH11">
        <f>IF(DG11=BO11,BP11,IF(DG11=BS11,BT11,IF(DG11=BW11,BX11,IF(DG11=CA11,CB11,IF(DG11=CE11,CF11,IF(DG11=CI11,CJ11,IF(DG11=CM11,CN11,IF(DG11=CQ11,CR11,IF(DG11=CU11,CV11,IF(DG11=CY11,CZ11,IF(DG11=DC11,DD11,0)))))))))))</f>
        <v>9</v>
      </c>
      <c r="DI11">
        <f>IF(DG11=BO11,BQ11,IF(DG11=BS11,BU11,IF(DG11=BW11,BY11,IF(DG11=CA11,CC11,IF(DG11=CE11,CG11,IF(DG11=CI11,CK11,IF(DG11=CM11,CO11,IF(DG11=CQ11,CS11,IF(DG11=CU11,CW11,IF(DG11=CY11,DA11,IF(DG11=DC11,DE11,0)))))))))))</f>
        <v>0.85412999999999994</v>
      </c>
      <c r="DJ11">
        <f t="shared" si="25"/>
        <v>0</v>
      </c>
      <c r="DK11">
        <f t="shared" si="26"/>
        <v>2.8469444444444401E-2</v>
      </c>
      <c r="DL11">
        <f>IF(DK11=BO11,BP11,IF(DK11=BS11,BT11,IF(DK11=BW11,BX11,IF(DK11=CA11,CB11,IF(DK11=CE11,CF11,IF(DK11=CI11,CJ11,IF(DK11=CM11,CN11,IF(DK11=CQ11,CR11,IF(DK11=CU11,CV11,IF(DK11=CY11,CZ11,IF(DK11=DC11,DD11,IF(DK11=DG11,DH11,0))))))))))))</f>
        <v>9</v>
      </c>
      <c r="DM11">
        <f>IF(DK11=BO11,BQ11,IF(DK11=BS11,BU11,IF(DK11=BW11,BY11,IF(DK11=CA11,CC11,IF(DK11=CE11,CG11,IF(DK11=CI11,CK11,IF(DK11=CM11,CO11,IF(DK11=CQ11,CS11,IF(DK11=CU11,CW11,IF(DK11=CY11,DA11,IF(DK11=DC11,DE11,IF(DK11=DG11,DI11,0))))))))))))</f>
        <v>0.85412999999999994</v>
      </c>
      <c r="DN11">
        <f t="shared" si="27"/>
        <v>0</v>
      </c>
      <c r="DO11">
        <f t="shared" si="28"/>
        <v>2.8469444444444401E-2</v>
      </c>
      <c r="DP11">
        <f>IF(DO11=BO11,BP11,IF(DO11=BS11,BT11,IF(DO11=BW11,BX11,IF(DO11=CA11,CB11,IF(DO11=CE11,CF11,IF(DO11=CI11,CJ11,IF(DO11=CM11,CN11,IF(DO11=CQ11,CR11,IF(DO11=CU11,CV11,IF(DO11=CY11,CZ11,IF(DO11=DC11,DD11,IF(DO11=DG11,DH11,IF(DO11=DK11,DL11,0)))))))))))))</f>
        <v>9</v>
      </c>
      <c r="DQ11">
        <f>IF(DO11=BO11,BQ11,IF(DO11=BS11,BU11,IF(DO11=BW11,BY11,IF(DO11=CA11,CC11,IF(DO11=CE11,CG11,IF(DO11=CI11,CK11,IF(DO11=CM11,CO11,IF(DO11=CQ11,CS11,IF(DO11=CU11,CW11,IF(DO11=CY11,DA11,IF(DO11=DC11,DE11,IF(DO11=DG11,DI11,IF(DO11=DK11,DM11,0)))))))))))))</f>
        <v>0.85412999999999994</v>
      </c>
      <c r="DR11">
        <f t="shared" si="29"/>
        <v>0</v>
      </c>
      <c r="DS11">
        <f t="shared" si="30"/>
        <v>2.8469444444444401E-2</v>
      </c>
      <c r="DT11">
        <f>IF(DS11=BO11,BP11,IF(DS11=BS11,BT11,IF(DS11=BW11,BX11,IF(DS11=CA11,CB11,IF(DS11=CE11,CF11,IF(DS11=CI11,CJ11,IF(DS11=CM11,CN11,IF(DS11=CQ11,CR11,IF(DS11=CU11,CV11,IF(DS11=CY11,CZ11,IF(DS11=DC11,DD11,IF(DS11=DG11,DH11,IF(DS11=DK11,DL11,IF(DS11=DO11,DP11,0))))))))))))))</f>
        <v>9</v>
      </c>
      <c r="DU11">
        <f>IF(DS11=BO11,BQ11,IF(DS11=BS11,BU11,IF(DS11=BW11,BY11,IF(DS11=CA11,CC11,IF(DS11=CE11,CG11,IF(DS11=CI11,CK11,IF(DS11=CM11,CO11,IF(DS11=CQ11,CS11,IF(DS11=CU11,CW11,IF(DS11=CY11,DA11,IF(DS11=DC11,DE11,IF(DS11=DG11,DI11,IF(DS11=DK11,DM11,IF(DS11=DO11,DQ11,0))))))))))))))</f>
        <v>0.85412999999999994</v>
      </c>
      <c r="DV11">
        <f t="shared" si="31"/>
        <v>0</v>
      </c>
      <c r="DW11">
        <v>52500.5</v>
      </c>
      <c r="DX11">
        <v>3</v>
      </c>
      <c r="DY11">
        <v>0</v>
      </c>
      <c r="DZ11">
        <v>0</v>
      </c>
      <c r="EA11">
        <v>0</v>
      </c>
      <c r="EB11">
        <v>23.599265807611602</v>
      </c>
      <c r="EC11">
        <v>0</v>
      </c>
      <c r="ED11">
        <v>0</v>
      </c>
      <c r="EE11">
        <v>2.8469444444444401E-2</v>
      </c>
      <c r="EF11">
        <v>0.85412999999999994</v>
      </c>
      <c r="EG11">
        <v>5.28505557761462</v>
      </c>
      <c r="EH11">
        <v>9</v>
      </c>
      <c r="EI11">
        <v>0</v>
      </c>
      <c r="EJ11">
        <v>0</v>
      </c>
      <c r="EK11">
        <v>0</v>
      </c>
      <c r="EL11">
        <v>13</v>
      </c>
      <c r="EM11">
        <v>57</v>
      </c>
      <c r="EN11">
        <v>1</v>
      </c>
      <c r="EO11">
        <v>4</v>
      </c>
      <c r="EP11">
        <v>9</v>
      </c>
      <c r="EQ11">
        <v>14</v>
      </c>
      <c r="ER11">
        <v>14.1987814663817</v>
      </c>
      <c r="ES11">
        <v>3.17981710939618</v>
      </c>
      <c r="ET11">
        <v>3.17981710939618</v>
      </c>
      <c r="EU11">
        <v>0.80846284027191995</v>
      </c>
      <c r="EV11">
        <v>0.80846284027191995</v>
      </c>
      <c r="EW11">
        <v>0</v>
      </c>
      <c r="EX11">
        <v>1.6711176964738701</v>
      </c>
      <c r="EY11">
        <v>1.6711176964738701</v>
      </c>
      <c r="EZ11">
        <v>0</v>
      </c>
      <c r="FA11">
        <v>0.80846284027191995</v>
      </c>
      <c r="FB11">
        <v>0.80846284027191995</v>
      </c>
      <c r="FC11">
        <v>0</v>
      </c>
      <c r="FD11">
        <v>7.1520051067357198</v>
      </c>
      <c r="FE11">
        <v>7.1520051067357198</v>
      </c>
      <c r="FF11">
        <v>0</v>
      </c>
      <c r="FG11">
        <v>0.80846284027191995</v>
      </c>
      <c r="FH11">
        <v>0.80846284027191995</v>
      </c>
    </row>
    <row r="12" spans="1:164" x14ac:dyDescent="0.2">
      <c r="A12">
        <v>11</v>
      </c>
      <c r="B12">
        <v>13</v>
      </c>
      <c r="C12">
        <v>23</v>
      </c>
      <c r="D12">
        <v>3</v>
      </c>
      <c r="E12">
        <v>12</v>
      </c>
      <c r="F12" t="s">
        <v>126</v>
      </c>
      <c r="G12" t="s">
        <v>122</v>
      </c>
      <c r="H12">
        <v>3</v>
      </c>
      <c r="I12">
        <v>7</v>
      </c>
      <c r="J12" t="s">
        <v>127</v>
      </c>
      <c r="K12" t="s">
        <v>128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2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6</v>
      </c>
      <c r="AD12">
        <v>3</v>
      </c>
      <c r="AE12">
        <v>12</v>
      </c>
      <c r="AF12">
        <v>6</v>
      </c>
      <c r="AG12">
        <v>13</v>
      </c>
      <c r="AH12">
        <v>6</v>
      </c>
      <c r="AI12">
        <v>0.22363611111111101</v>
      </c>
      <c r="AJ12">
        <v>6.4334800000000003</v>
      </c>
      <c r="AK12">
        <v>0.462336111111111</v>
      </c>
      <c r="AL12">
        <v>23.108329999999999</v>
      </c>
      <c r="AM12">
        <v>0.35644722222222203</v>
      </c>
      <c r="AN12">
        <v>20.638190000000002</v>
      </c>
      <c r="AO12">
        <v>0.35258888888888901</v>
      </c>
      <c r="AP12">
        <v>18.264700000000001</v>
      </c>
      <c r="AQ12">
        <v>0.37588888888888899</v>
      </c>
      <c r="AR12">
        <v>18.592590000000001</v>
      </c>
      <c r="AS12">
        <v>0.34107500000000002</v>
      </c>
      <c r="AT12">
        <v>15.09273</v>
      </c>
      <c r="AU12">
        <v>0.24041944444444399</v>
      </c>
      <c r="AV12">
        <v>9.5571900000000003</v>
      </c>
      <c r="AW12">
        <v>0.212433333333333</v>
      </c>
      <c r="AX12">
        <v>7.0935800000000002</v>
      </c>
      <c r="AY12">
        <v>0.16180277777777799</v>
      </c>
      <c r="AZ12">
        <v>4.8612700000000002</v>
      </c>
      <c r="BA12">
        <v>0.14679444444444401</v>
      </c>
      <c r="BB12">
        <v>4.2782999999999998</v>
      </c>
      <c r="BC12">
        <v>0.23069166666666699</v>
      </c>
      <c r="BD12">
        <v>6.7200699999999998</v>
      </c>
      <c r="BE12">
        <v>0.25636111111111098</v>
      </c>
      <c r="BF12">
        <v>12.07572</v>
      </c>
      <c r="BG12">
        <v>0.32023333333333298</v>
      </c>
      <c r="BH12">
        <v>15.478569999999999</v>
      </c>
      <c r="BI12">
        <v>0.364061111111111</v>
      </c>
      <c r="BJ12">
        <v>17.452490000000001</v>
      </c>
      <c r="BK12">
        <v>0.43219999999999997</v>
      </c>
      <c r="BL12">
        <v>24.268139999999999</v>
      </c>
      <c r="BM12">
        <v>0.47370555555555599</v>
      </c>
      <c r="BN12">
        <v>26.260819999999999</v>
      </c>
      <c r="BO12">
        <f t="shared" si="0"/>
        <v>0.14679444444444401</v>
      </c>
      <c r="BP12">
        <v>9</v>
      </c>
      <c r="BQ12">
        <v>4.2782999999999998</v>
      </c>
      <c r="BR12">
        <f t="shared" si="1"/>
        <v>0</v>
      </c>
      <c r="BS12">
        <f t="shared" si="2"/>
        <v>0.14679444444444401</v>
      </c>
      <c r="BT12">
        <f t="shared" si="3"/>
        <v>9</v>
      </c>
      <c r="BU12">
        <f t="shared" si="4"/>
        <v>4.2782999999999998</v>
      </c>
      <c r="BV12">
        <f t="shared" si="5"/>
        <v>0</v>
      </c>
      <c r="BW12">
        <f t="shared" si="6"/>
        <v>0.14679444444444401</v>
      </c>
      <c r="BX12">
        <f t="shared" si="32"/>
        <v>9</v>
      </c>
      <c r="BY12">
        <f t="shared" si="33"/>
        <v>4.2782999999999998</v>
      </c>
      <c r="BZ12">
        <f t="shared" si="7"/>
        <v>0</v>
      </c>
      <c r="CA12">
        <f t="shared" si="8"/>
        <v>0.14679444444444401</v>
      </c>
      <c r="CB12">
        <f>IF(CA12=BO12,BP12,IF(CA12=BS12,BT12,IF(CA12=BW12,BX12,0)))</f>
        <v>9</v>
      </c>
      <c r="CC12">
        <f>IF(CA12=BO12,BQ12,IF(CA12=BS12,BU12,IF(CA12=BW12,BY12,0)))</f>
        <v>4.2782999999999998</v>
      </c>
      <c r="CD12">
        <f t="shared" si="9"/>
        <v>0</v>
      </c>
      <c r="CE12">
        <f t="shared" si="10"/>
        <v>0.14679444444444401</v>
      </c>
      <c r="CF12">
        <f>IF(CE12=BO12,BP12,IF(CE12=BS12,BT12,IF(CE12=BW12,BX12,IF(CE12=CA12,CB12,0))))</f>
        <v>9</v>
      </c>
      <c r="CG12">
        <f>IF(CE12=BO12,BQ12,IF(CE12=BS12,BU12,IF(CE12=BW12,BY12,IF(CE12=CA12,CC12,0))))</f>
        <v>4.2782999999999998</v>
      </c>
      <c r="CH12">
        <f t="shared" si="11"/>
        <v>0</v>
      </c>
      <c r="CI12">
        <f t="shared" si="12"/>
        <v>0.14679444444444401</v>
      </c>
      <c r="CJ12">
        <f>IF(CI12=BO12,BP12,IF(CI12=BS12,BT12,IF(CI12=BW12,BX12,IF(CI12=CA12,CB12,IF(CI12=CE12,CF12,0)))))</f>
        <v>9</v>
      </c>
      <c r="CK12">
        <f>IF(CI12=BO12,BQ12,IF(CI12=BS12,BU12,IF(CI12=BW12,BY12,IF(CI12=CA12,CC12,IF(CI12=CE12,CG12,0)))))</f>
        <v>4.2782999999999998</v>
      </c>
      <c r="CL12">
        <f t="shared" si="13"/>
        <v>0</v>
      </c>
      <c r="CM12">
        <f t="shared" si="14"/>
        <v>0.14679444444444401</v>
      </c>
      <c r="CN12">
        <f>IF(CM12=BO12,BP12,IF(CM12=BS12,BT12,IF(CM12=BW12,BX12,IF(CM12=CA12,CB12,IF(CM12=CE12,CF12,IF(CM12=CI12,CJ12,0))))))</f>
        <v>9</v>
      </c>
      <c r="CO12">
        <f>IF(CM12=BO12,BQ12,IF(CM12=BS12,BU12,IF(CM12=BW12,BY12,IF(CM12=CA12,CC12,IF(CM12=CE12,CG12,IF(CM12=CI12,CK12,0))))))</f>
        <v>4.2782999999999998</v>
      </c>
      <c r="CP12">
        <f t="shared" si="15"/>
        <v>0</v>
      </c>
      <c r="CQ12">
        <f t="shared" si="16"/>
        <v>0.14679444444444401</v>
      </c>
      <c r="CR12">
        <f>IF(CQ12=BO12,BP12,IF(CQ12=BS12,BT12,IF(CQ12=BW12,BX12,IF(CQ12=CA12,CB12,IF(CQ12=CE12,CF12,IF(CQ12=CI12,CJ12,IF(CQ12=CM12,CN12,0)))))))</f>
        <v>9</v>
      </c>
      <c r="CS12">
        <f>IF(CQ12=BO12,BQ12,IF(CQ12=BS12,BU12,IF(CQ12=BW12,BY12,IF(CQ12=CA12,CC12,IF(CQ12=CE12,CG12,IF(CQ12=CI12,CK12,IF(CQ12=CM12,CO12,0)))))))</f>
        <v>4.2782999999999998</v>
      </c>
      <c r="CT12">
        <f t="shared" si="17"/>
        <v>0</v>
      </c>
      <c r="CU12">
        <f t="shared" si="18"/>
        <v>0.16180277777777799</v>
      </c>
      <c r="CV12">
        <v>8</v>
      </c>
      <c r="CW12">
        <v>4.8612700000000002</v>
      </c>
      <c r="CX12">
        <f t="shared" si="19"/>
        <v>0</v>
      </c>
      <c r="CY12">
        <f t="shared" si="20"/>
        <v>0.14679444444444401</v>
      </c>
      <c r="CZ12">
        <f>IF(CY12=BO12,BP12,IF(CY12=BS12,BT12,IF(CY12=BW12,BX12,IF(CY12=CA12,CB12,IF(CY12=CE12,CF12,IF(CY12=CI12,CJ12,IF(CY12=CM12,CN12,IF(CY12=CQ12,CR12,IF(CY12=CU12,CV12,0)))))))))</f>
        <v>9</v>
      </c>
      <c r="DA12">
        <f>IF(CY12=BO12,BQ12,IF(CY12=BS12,BU12,IF(CY12=BW12,BY12,IF(CY12=CA12,CC12,IF(CY12=CE12,CG12,IF(CY12=CI12,CK12,IF(CY12=CM12,CO12,IF(CY12=CQ12,CS12,IF(CY12=CU12,CW12,0)))))))))</f>
        <v>4.2782999999999998</v>
      </c>
      <c r="DB12">
        <f t="shared" si="21"/>
        <v>0</v>
      </c>
      <c r="DC12">
        <f t="shared" si="22"/>
        <v>0.14679444444444401</v>
      </c>
      <c r="DD12">
        <f>IF(DC12=BO12,BP12,IF(DC12=BS12,BT12,IF(DC12=BW12,BX12,IF(DC12=CA12,CB12,IF(DC12=CE12,CF12,IF(DC12=CI12,CJ12,IF(DC12=CM12,CN12,IF(DC12=CQ12,CR12,IF(DC12=CU12,CV12,IF(DC12=CY12,CZ12,0))))))))))</f>
        <v>9</v>
      </c>
      <c r="DE12">
        <f>IF(DC12=BO12,BQ12,IF(DC12=BS12,BU12,IF(DC12=BW12,BY12,IF(DC12=CA12,CC12,IF(DC12=CE12,CG12,IF(DC12=CI12,CK12,IF(DC12=CM12,CO12,IF(DC12=CQ12,CS12,IF(DC12=CU12,CW12,IF(DC12=CY12,DA12,0))))))))))</f>
        <v>4.2782999999999998</v>
      </c>
      <c r="DF12">
        <f t="shared" si="23"/>
        <v>0</v>
      </c>
      <c r="DG12">
        <f t="shared" si="24"/>
        <v>0.14679444444444401</v>
      </c>
      <c r="DH12">
        <f>IF(DG12=BO12,BP12,IF(DG12=BS12,BT12,IF(DG12=BW12,BX12,IF(DG12=CA12,CB12,IF(DG12=CE12,CF12,IF(DG12=CI12,CJ12,IF(DG12=CM12,CN12,IF(DG12=CQ12,CR12,IF(DG12=CU12,CV12,IF(DG12=CY12,CZ12,IF(DG12=DC12,DD12,0)))))))))))</f>
        <v>9</v>
      </c>
      <c r="DI12">
        <f>IF(DG12=BO12,BQ12,IF(DG12=BS12,BU12,IF(DG12=BW12,BY12,IF(DG12=CA12,CC12,IF(DG12=CE12,CG12,IF(DG12=CI12,CK12,IF(DG12=CM12,CO12,IF(DG12=CQ12,CS12,IF(DG12=CU12,CW12,IF(DG12=CY12,DA12,IF(DG12=DC12,DE12,0)))))))))))</f>
        <v>4.2782999999999998</v>
      </c>
      <c r="DJ12">
        <f t="shared" si="25"/>
        <v>0</v>
      </c>
      <c r="DK12">
        <f t="shared" si="26"/>
        <v>0.14679444444444401</v>
      </c>
      <c r="DL12">
        <f>IF(DK12=BO12,BP12,IF(DK12=BS12,BT12,IF(DK12=BW12,BX12,IF(DK12=CA12,CB12,IF(DK12=CE12,CF12,IF(DK12=CI12,CJ12,IF(DK12=CM12,CN12,IF(DK12=CQ12,CR12,IF(DK12=CU12,CV12,IF(DK12=CY12,CZ12,IF(DK12=DC12,DD12,IF(DK12=DG12,DH12,0))))))))))))</f>
        <v>9</v>
      </c>
      <c r="DM12">
        <f>IF(DK12=BO12,BQ12,IF(DK12=BS12,BU12,IF(DK12=BW12,BY12,IF(DK12=CA12,CC12,IF(DK12=CE12,CG12,IF(DK12=CI12,CK12,IF(DK12=CM12,CO12,IF(DK12=CQ12,CS12,IF(DK12=CU12,CW12,IF(DK12=CY12,DA12,IF(DK12=DC12,DE12,IF(DK12=DG12,DI12,0))))))))))))</f>
        <v>4.2782999999999998</v>
      </c>
      <c r="DN12">
        <f t="shared" si="27"/>
        <v>0</v>
      </c>
      <c r="DO12">
        <f t="shared" si="28"/>
        <v>0.14679444444444401</v>
      </c>
      <c r="DP12">
        <f>IF(DO12=BO12,BP12,IF(DO12=BS12,BT12,IF(DO12=BW12,BX12,IF(DO12=CA12,CB12,IF(DO12=CE12,CF12,IF(DO12=CI12,CJ12,IF(DO12=CM12,CN12,IF(DO12=CQ12,CR12,IF(DO12=CU12,CV12,IF(DO12=CY12,CZ12,IF(DO12=DC12,DD12,IF(DO12=DG12,DH12,IF(DO12=DK12,DL12,0)))))))))))))</f>
        <v>9</v>
      </c>
      <c r="DQ12">
        <f>IF(DO12=BO12,BQ12,IF(DO12=BS12,BU12,IF(DO12=BW12,BY12,IF(DO12=CA12,CC12,IF(DO12=CE12,CG12,IF(DO12=CI12,CK12,IF(DO12=CM12,CO12,IF(DO12=CQ12,CS12,IF(DO12=CU12,CW12,IF(DO12=CY12,DA12,IF(DO12=DC12,DE12,IF(DO12=DG12,DI12,IF(DO12=DK12,DM12,0)))))))))))))</f>
        <v>4.2782999999999998</v>
      </c>
      <c r="DR12">
        <f t="shared" si="29"/>
        <v>0</v>
      </c>
      <c r="DS12">
        <f t="shared" si="30"/>
        <v>0.14679444444444401</v>
      </c>
      <c r="DT12">
        <f>IF(DS12=BO12,BP12,IF(DS12=BS12,BT12,IF(DS12=BW12,BX12,IF(DS12=CA12,CB12,IF(DS12=CE12,CF12,IF(DS12=CI12,CJ12,IF(DS12=CM12,CN12,IF(DS12=CQ12,CR12,IF(DS12=CU12,CV12,IF(DS12=CY12,CZ12,IF(DS12=DC12,DD12,IF(DS12=DG12,DH12,IF(DS12=DK12,DL12,IF(DS12=DO12,DP12,0))))))))))))))</f>
        <v>9</v>
      </c>
      <c r="DU12">
        <f>IF(DS12=BO12,BQ12,IF(DS12=BS12,BU12,IF(DS12=BW12,BY12,IF(DS12=CA12,CC12,IF(DS12=CE12,CG12,IF(DS12=CI12,CK12,IF(DS12=CM12,CO12,IF(DS12=CQ12,CS12,IF(DS12=CU12,CW12,IF(DS12=CY12,DA12,IF(DS12=DC12,DE12,IF(DS12=DG12,DI12,IF(DS12=DK12,DM12,IF(DS12=DO12,DQ12,0))))))))))))))</f>
        <v>4.2782999999999998</v>
      </c>
      <c r="DV12">
        <f t="shared" si="31"/>
        <v>0</v>
      </c>
      <c r="DW12">
        <v>31226.480769230799</v>
      </c>
      <c r="DX12">
        <v>3</v>
      </c>
      <c r="DY12">
        <v>0</v>
      </c>
      <c r="DZ12">
        <v>6</v>
      </c>
      <c r="EA12">
        <v>6</v>
      </c>
      <c r="EB12">
        <v>14.0364762223093</v>
      </c>
      <c r="EC12">
        <v>2</v>
      </c>
      <c r="ED12">
        <v>3.1151365333333301</v>
      </c>
      <c r="EE12">
        <v>0.14679444444444401</v>
      </c>
      <c r="EF12">
        <v>4.2782999999999998</v>
      </c>
      <c r="EG12">
        <v>8.7207143800654201</v>
      </c>
      <c r="EH12">
        <v>9</v>
      </c>
      <c r="EI12">
        <v>0</v>
      </c>
      <c r="EJ12">
        <v>0.74157200000000001</v>
      </c>
      <c r="EK12">
        <v>1</v>
      </c>
      <c r="EL12">
        <v>1</v>
      </c>
      <c r="EM12">
        <v>51</v>
      </c>
      <c r="EN12">
        <v>1</v>
      </c>
      <c r="EO12">
        <v>4</v>
      </c>
      <c r="EP12">
        <v>6</v>
      </c>
      <c r="EQ12">
        <v>6</v>
      </c>
      <c r="ER12">
        <v>14.1987814663817</v>
      </c>
      <c r="ES12">
        <v>6.3507205393162298</v>
      </c>
      <c r="ET12">
        <v>9.4658570726495697</v>
      </c>
      <c r="EU12">
        <v>4.1686044742911301</v>
      </c>
      <c r="EV12">
        <v>4.9101764742911298</v>
      </c>
      <c r="EW12">
        <v>0.84262013333333297</v>
      </c>
      <c r="EX12">
        <v>4.5948045646403797</v>
      </c>
      <c r="EY12">
        <v>5.43742469797371</v>
      </c>
      <c r="EZ12">
        <v>0.74157200000000001</v>
      </c>
      <c r="FA12">
        <v>4.1686044742911301</v>
      </c>
      <c r="FB12">
        <v>4.9101764742911298</v>
      </c>
      <c r="FC12">
        <v>3.16588133333333</v>
      </c>
      <c r="FD12">
        <v>10.012665161615301</v>
      </c>
      <c r="FE12">
        <v>13.1785464949487</v>
      </c>
      <c r="FF12">
        <v>0.74157200000000001</v>
      </c>
      <c r="FG12">
        <v>4.1686044742911301</v>
      </c>
      <c r="FH12">
        <v>4.9101764742911298</v>
      </c>
    </row>
    <row r="13" spans="1:164" x14ac:dyDescent="0.2">
      <c r="A13">
        <v>12</v>
      </c>
      <c r="B13">
        <v>16</v>
      </c>
      <c r="C13">
        <v>30</v>
      </c>
      <c r="D13">
        <v>3</v>
      </c>
      <c r="E13">
        <v>12</v>
      </c>
      <c r="F13" t="s">
        <v>129</v>
      </c>
      <c r="G13" t="s">
        <v>130</v>
      </c>
      <c r="H13">
        <v>3</v>
      </c>
      <c r="I13">
        <v>3</v>
      </c>
      <c r="K13" t="s">
        <v>131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6</v>
      </c>
      <c r="AD13">
        <v>5</v>
      </c>
      <c r="AE13">
        <v>14</v>
      </c>
      <c r="AF13">
        <v>7</v>
      </c>
      <c r="AG13">
        <v>15</v>
      </c>
      <c r="AH13">
        <v>6</v>
      </c>
      <c r="AI13">
        <v>0.223694444444444</v>
      </c>
      <c r="AJ13">
        <v>6.4343899999999996</v>
      </c>
      <c r="AK13">
        <v>0.46239722222222202</v>
      </c>
      <c r="AL13">
        <v>23.10924</v>
      </c>
      <c r="AM13">
        <v>0.35650833333333298</v>
      </c>
      <c r="AN13">
        <v>20.639099999999999</v>
      </c>
      <c r="AO13">
        <v>0.35265000000000002</v>
      </c>
      <c r="AP13">
        <v>18.265599999999999</v>
      </c>
      <c r="AQ13">
        <v>0.37595000000000001</v>
      </c>
      <c r="AR13">
        <v>18.593499999999999</v>
      </c>
      <c r="AS13">
        <v>0.34113611111111097</v>
      </c>
      <c r="AT13">
        <v>15.093629999999999</v>
      </c>
      <c r="AU13">
        <v>0.240480555555556</v>
      </c>
      <c r="AV13">
        <v>9.5580999999999996</v>
      </c>
      <c r="AW13">
        <v>0.21249444444444399</v>
      </c>
      <c r="AX13">
        <v>7.0944799999999999</v>
      </c>
      <c r="AY13">
        <v>0.161863888888889</v>
      </c>
      <c r="AZ13">
        <v>4.8621800000000004</v>
      </c>
      <c r="BA13">
        <v>0.14685555555555599</v>
      </c>
      <c r="BB13">
        <v>4.27921</v>
      </c>
      <c r="BC13">
        <v>0.230752777777778</v>
      </c>
      <c r="BD13">
        <v>6.72098</v>
      </c>
      <c r="BE13">
        <v>0.256422222222222</v>
      </c>
      <c r="BF13">
        <v>12.07663</v>
      </c>
      <c r="BG13">
        <v>0.32029444444444399</v>
      </c>
      <c r="BH13">
        <v>15.479480000000001</v>
      </c>
      <c r="BI13">
        <v>0.36412222222222201</v>
      </c>
      <c r="BJ13">
        <v>17.453399999999998</v>
      </c>
      <c r="BK13">
        <v>0.43226111111111098</v>
      </c>
      <c r="BL13">
        <v>24.26905</v>
      </c>
      <c r="BM13">
        <v>0.473766666666667</v>
      </c>
      <c r="BN13">
        <v>26.26173</v>
      </c>
      <c r="BO13">
        <f t="shared" si="0"/>
        <v>0.14685555555555599</v>
      </c>
      <c r="BP13">
        <v>9</v>
      </c>
      <c r="BQ13">
        <v>4.27921</v>
      </c>
      <c r="BR13">
        <f t="shared" si="1"/>
        <v>0</v>
      </c>
      <c r="BS13">
        <f t="shared" si="2"/>
        <v>0.14685555555555599</v>
      </c>
      <c r="BT13">
        <f t="shared" si="3"/>
        <v>9</v>
      </c>
      <c r="BU13">
        <f t="shared" si="4"/>
        <v>4.27921</v>
      </c>
      <c r="BV13">
        <f t="shared" si="5"/>
        <v>0</v>
      </c>
      <c r="BW13">
        <f t="shared" si="6"/>
        <v>0.14685555555555599</v>
      </c>
      <c r="BX13">
        <f t="shared" si="32"/>
        <v>9</v>
      </c>
      <c r="BY13">
        <f t="shared" si="33"/>
        <v>4.27921</v>
      </c>
      <c r="BZ13">
        <f t="shared" si="7"/>
        <v>0</v>
      </c>
      <c r="CA13">
        <f t="shared" si="8"/>
        <v>0.14685555555555599</v>
      </c>
      <c r="CB13">
        <f>IF(CA13=BO13,BP13,IF(CA13=BS13,BT13,IF(CA13=BW13,BX13,0)))</f>
        <v>9</v>
      </c>
      <c r="CC13">
        <f>IF(CA13=BO13,BQ13,IF(CA13=BS13,BU13,IF(CA13=BW13,BY13,0)))</f>
        <v>4.27921</v>
      </c>
      <c r="CD13">
        <f t="shared" si="9"/>
        <v>0</v>
      </c>
      <c r="CE13">
        <f t="shared" si="10"/>
        <v>0.14685555555555599</v>
      </c>
      <c r="CF13">
        <f>IF(CE13=BO13,BP13,IF(CE13=BS13,BT13,IF(CE13=BW13,BX13,IF(CE13=CA13,CB13,0))))</f>
        <v>9</v>
      </c>
      <c r="CG13">
        <f>IF(CE13=BO13,BQ13,IF(CE13=BS13,BU13,IF(CE13=BW13,BY13,IF(CE13=CA13,CC13,0))))</f>
        <v>4.27921</v>
      </c>
      <c r="CH13">
        <f t="shared" si="11"/>
        <v>0</v>
      </c>
      <c r="CI13">
        <f t="shared" si="12"/>
        <v>0.14685555555555599</v>
      </c>
      <c r="CJ13">
        <f>IF(CI13=BO13,BP13,IF(CI13=BS13,BT13,IF(CI13=BW13,BX13,IF(CI13=CA13,CB13,IF(CI13=CE13,CF13,0)))))</f>
        <v>9</v>
      </c>
      <c r="CK13">
        <f>IF(CI13=BO13,BQ13,IF(CI13=BS13,BU13,IF(CI13=BW13,BY13,IF(CI13=CA13,CC13,IF(CI13=CE13,CG13,0)))))</f>
        <v>4.27921</v>
      </c>
      <c r="CL13">
        <f t="shared" si="13"/>
        <v>0</v>
      </c>
      <c r="CM13">
        <f t="shared" si="14"/>
        <v>0.14685555555555599</v>
      </c>
      <c r="CN13">
        <f>IF(CM13=BO13,BP13,IF(CM13=BS13,BT13,IF(CM13=BW13,BX13,IF(CM13=CA13,CB13,IF(CM13=CE13,CF13,IF(CM13=CI13,CJ13,0))))))</f>
        <v>9</v>
      </c>
      <c r="CO13">
        <f>IF(CM13=BO13,BQ13,IF(CM13=BS13,BU13,IF(CM13=BW13,BY13,IF(CM13=CA13,CC13,IF(CM13=CE13,CG13,IF(CM13=CI13,CK13,0))))))</f>
        <v>4.27921</v>
      </c>
      <c r="CP13">
        <f t="shared" si="15"/>
        <v>0</v>
      </c>
      <c r="CQ13">
        <f t="shared" si="16"/>
        <v>0.14685555555555599</v>
      </c>
      <c r="CR13">
        <f>IF(CQ13=BO13,BP13,IF(CQ13=BS13,BT13,IF(CQ13=BW13,BX13,IF(CQ13=CA13,CB13,IF(CQ13=CE13,CF13,IF(CQ13=CI13,CJ13,IF(CQ13=CM13,CN13,0)))))))</f>
        <v>9</v>
      </c>
      <c r="CS13">
        <f>IF(CQ13=BO13,BQ13,IF(CQ13=BS13,BU13,IF(CQ13=BW13,BY13,IF(CQ13=CA13,CC13,IF(CQ13=CE13,CG13,IF(CQ13=CI13,CK13,IF(CQ13=CM13,CO13,0)))))))</f>
        <v>4.27921</v>
      </c>
      <c r="CT13">
        <f t="shared" si="17"/>
        <v>0</v>
      </c>
      <c r="CU13">
        <f t="shared" si="18"/>
        <v>0.161863888888889</v>
      </c>
      <c r="CV13">
        <v>8</v>
      </c>
      <c r="CW13">
        <v>4.8621800000000004</v>
      </c>
      <c r="CX13">
        <f t="shared" si="19"/>
        <v>0</v>
      </c>
      <c r="CY13">
        <f t="shared" si="20"/>
        <v>0.14685555555555599</v>
      </c>
      <c r="CZ13">
        <f>IF(CY13=BO13,BP13,IF(CY13=BS13,BT13,IF(CY13=BW13,BX13,IF(CY13=CA13,CB13,IF(CY13=CE13,CF13,IF(CY13=CI13,CJ13,IF(CY13=CM13,CN13,IF(CY13=CQ13,CR13,IF(CY13=CU13,CV13,0)))))))))</f>
        <v>9</v>
      </c>
      <c r="DA13">
        <f>IF(CY13=BO13,BQ13,IF(CY13=BS13,BU13,IF(CY13=BW13,BY13,IF(CY13=CA13,CC13,IF(CY13=CE13,CG13,IF(CY13=CI13,CK13,IF(CY13=CM13,CO13,IF(CY13=CQ13,CS13,IF(CY13=CU13,CW13,0)))))))))</f>
        <v>4.27921</v>
      </c>
      <c r="DB13">
        <f t="shared" si="21"/>
        <v>0</v>
      </c>
      <c r="DC13">
        <f t="shared" si="22"/>
        <v>0.14685555555555599</v>
      </c>
      <c r="DD13">
        <f>IF(DC13=BO13,BP13,IF(DC13=BS13,BT13,IF(DC13=BW13,BX13,IF(DC13=CA13,CB13,IF(DC13=CE13,CF13,IF(DC13=CI13,CJ13,IF(DC13=CM13,CN13,IF(DC13=CQ13,CR13,IF(DC13=CU13,CV13,IF(DC13=CY13,CZ13,0))))))))))</f>
        <v>9</v>
      </c>
      <c r="DE13">
        <f>IF(DC13=BO13,BQ13,IF(DC13=BS13,BU13,IF(DC13=BW13,BY13,IF(DC13=CA13,CC13,IF(DC13=CE13,CG13,IF(DC13=CI13,CK13,IF(DC13=CM13,CO13,IF(DC13=CQ13,CS13,IF(DC13=CU13,CW13,IF(DC13=CY13,DA13,0))))))))))</f>
        <v>4.27921</v>
      </c>
      <c r="DF13">
        <f t="shared" si="23"/>
        <v>0</v>
      </c>
      <c r="DG13">
        <f t="shared" si="24"/>
        <v>0.14685555555555599</v>
      </c>
      <c r="DH13">
        <f>IF(DG13=BO13,BP13,IF(DG13=BS13,BT13,IF(DG13=BW13,BX13,IF(DG13=CA13,CB13,IF(DG13=CE13,CF13,IF(DG13=CI13,CJ13,IF(DG13=CM13,CN13,IF(DG13=CQ13,CR13,IF(DG13=CU13,CV13,IF(DG13=CY13,CZ13,IF(DG13=DC13,DD13,0)))))))))))</f>
        <v>9</v>
      </c>
      <c r="DI13">
        <f>IF(DG13=BO13,BQ13,IF(DG13=BS13,BU13,IF(DG13=BW13,BY13,IF(DG13=CA13,CC13,IF(DG13=CE13,CG13,IF(DG13=CI13,CK13,IF(DG13=CM13,CO13,IF(DG13=CQ13,CS13,IF(DG13=CU13,CW13,IF(DG13=CY13,DA13,IF(DG13=DC13,DE13,0)))))))))))</f>
        <v>4.27921</v>
      </c>
      <c r="DJ13">
        <f t="shared" si="25"/>
        <v>0</v>
      </c>
      <c r="DK13">
        <f t="shared" si="26"/>
        <v>0.14685555555555599</v>
      </c>
      <c r="DL13">
        <f>IF(DK13=BO13,BP13,IF(DK13=BS13,BT13,IF(DK13=BW13,BX13,IF(DK13=CA13,CB13,IF(DK13=CE13,CF13,IF(DK13=CI13,CJ13,IF(DK13=CM13,CN13,IF(DK13=CQ13,CR13,IF(DK13=CU13,CV13,IF(DK13=CY13,CZ13,IF(DK13=DC13,DD13,IF(DK13=DG13,DH13,0))))))))))))</f>
        <v>9</v>
      </c>
      <c r="DM13">
        <f>IF(DK13=BO13,BQ13,IF(DK13=BS13,BU13,IF(DK13=BW13,BY13,IF(DK13=CA13,CC13,IF(DK13=CE13,CG13,IF(DK13=CI13,CK13,IF(DK13=CM13,CO13,IF(DK13=CQ13,CS13,IF(DK13=CU13,CW13,IF(DK13=CY13,DA13,IF(DK13=DC13,DE13,IF(DK13=DG13,DI13,0))))))))))))</f>
        <v>4.27921</v>
      </c>
      <c r="DN13">
        <f t="shared" si="27"/>
        <v>0</v>
      </c>
      <c r="DO13">
        <f t="shared" si="28"/>
        <v>0.14685555555555599</v>
      </c>
      <c r="DP13">
        <f>IF(DO13=BO13,BP13,IF(DO13=BS13,BT13,IF(DO13=BW13,BX13,IF(DO13=CA13,CB13,IF(DO13=CE13,CF13,IF(DO13=CI13,CJ13,IF(DO13=CM13,CN13,IF(DO13=CQ13,CR13,IF(DO13=CU13,CV13,IF(DO13=CY13,CZ13,IF(DO13=DC13,DD13,IF(DO13=DG13,DH13,IF(DO13=DK13,DL13,0)))))))))))))</f>
        <v>9</v>
      </c>
      <c r="DQ13">
        <f>IF(DO13=BO13,BQ13,IF(DO13=BS13,BU13,IF(DO13=BW13,BY13,IF(DO13=CA13,CC13,IF(DO13=CE13,CG13,IF(DO13=CI13,CK13,IF(DO13=CM13,CO13,IF(DO13=CQ13,CS13,IF(DO13=CU13,CW13,IF(DO13=CY13,DA13,IF(DO13=DC13,DE13,IF(DO13=DG13,DI13,IF(DO13=DK13,DM13,0)))))))))))))</f>
        <v>4.27921</v>
      </c>
      <c r="DR13">
        <f t="shared" si="29"/>
        <v>0</v>
      </c>
      <c r="DS13">
        <f t="shared" si="30"/>
        <v>0.14685555555555599</v>
      </c>
      <c r="DT13">
        <f>IF(DS13=BO13,BP13,IF(DS13=BS13,BT13,IF(DS13=BW13,BX13,IF(DS13=CA13,CB13,IF(DS13=CE13,CF13,IF(DS13=CI13,CJ13,IF(DS13=CM13,CN13,IF(DS13=CQ13,CR13,IF(DS13=CU13,CV13,IF(DS13=CY13,CZ13,IF(DS13=DC13,DD13,IF(DS13=DG13,DH13,IF(DS13=DK13,DL13,IF(DS13=DO13,DP13,0))))))))))))))</f>
        <v>9</v>
      </c>
      <c r="DU13">
        <f>IF(DS13=BO13,BQ13,IF(DS13=BS13,BU13,IF(DS13=BW13,BY13,IF(DS13=CA13,CC13,IF(DS13=CE13,CG13,IF(DS13=CI13,CK13,IF(DS13=CM13,CO13,IF(DS13=CQ13,CS13,IF(DS13=CU13,CW13,IF(DS13=CY13,DA13,IF(DS13=DC13,DE13,IF(DS13=DG13,DI13,IF(DS13=DK13,DM13,IF(DS13=DO13,DQ13,0))))))))))))))</f>
        <v>4.27921</v>
      </c>
      <c r="DV13">
        <f t="shared" si="31"/>
        <v>0</v>
      </c>
      <c r="DW13">
        <v>31226.480769230799</v>
      </c>
      <c r="DX13">
        <v>4</v>
      </c>
      <c r="DY13">
        <v>0</v>
      </c>
      <c r="DZ13">
        <v>6</v>
      </c>
      <c r="EA13">
        <v>6</v>
      </c>
      <c r="EB13">
        <v>14.0364762223093</v>
      </c>
      <c r="EC13">
        <v>1.5</v>
      </c>
      <c r="ED13">
        <v>2.3364707</v>
      </c>
      <c r="EE13">
        <v>0.14685555555555599</v>
      </c>
      <c r="EF13">
        <v>4.27921</v>
      </c>
      <c r="EG13">
        <v>8.11175180426374</v>
      </c>
      <c r="EH13">
        <v>9</v>
      </c>
      <c r="EI13">
        <v>0</v>
      </c>
      <c r="EJ13">
        <v>0.55629729999999999</v>
      </c>
      <c r="EK13">
        <v>1</v>
      </c>
      <c r="EL13">
        <v>0</v>
      </c>
      <c r="EM13">
        <v>57</v>
      </c>
      <c r="EN13">
        <v>0</v>
      </c>
      <c r="EO13">
        <v>4</v>
      </c>
      <c r="EP13">
        <v>6</v>
      </c>
      <c r="EQ13">
        <v>7</v>
      </c>
      <c r="ER13">
        <v>14.1987814663817</v>
      </c>
      <c r="ES13">
        <v>6.3523770638206303</v>
      </c>
      <c r="ET13">
        <v>8.6888477638206307</v>
      </c>
      <c r="EU13">
        <v>4.1703398809148302</v>
      </c>
      <c r="EV13">
        <v>4.72663718091483</v>
      </c>
      <c r="EW13">
        <v>0.63208339999999996</v>
      </c>
      <c r="EX13">
        <v>4.5965399712640398</v>
      </c>
      <c r="EY13">
        <v>5.2286233712640398</v>
      </c>
      <c r="EZ13">
        <v>1.9091222800000002E-2</v>
      </c>
      <c r="FA13">
        <v>4.1703398809148302</v>
      </c>
      <c r="FB13">
        <v>4.1894311037148304</v>
      </c>
      <c r="FC13">
        <v>2.3745280000000002</v>
      </c>
      <c r="FD13">
        <v>10.014400568238999</v>
      </c>
      <c r="FE13">
        <v>12.388928568239001</v>
      </c>
      <c r="FF13">
        <v>0.55629729999999999</v>
      </c>
      <c r="FG13">
        <v>4.1703398809148302</v>
      </c>
      <c r="FH13">
        <v>4.72663718091483</v>
      </c>
    </row>
    <row r="14" spans="1:164" x14ac:dyDescent="0.2">
      <c r="A14">
        <v>13</v>
      </c>
      <c r="B14">
        <v>18</v>
      </c>
      <c r="C14">
        <v>42</v>
      </c>
      <c r="D14">
        <v>1</v>
      </c>
      <c r="E14">
        <v>11</v>
      </c>
      <c r="F14" t="s">
        <v>132</v>
      </c>
      <c r="G14" t="s">
        <v>132</v>
      </c>
      <c r="H14">
        <v>3</v>
      </c>
      <c r="I14">
        <v>7</v>
      </c>
      <c r="J14" t="s">
        <v>133</v>
      </c>
      <c r="K14" t="s">
        <v>134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2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4</v>
      </c>
      <c r="AF14">
        <v>2</v>
      </c>
      <c r="AG14">
        <v>7</v>
      </c>
      <c r="AH14">
        <v>8</v>
      </c>
      <c r="AI14">
        <v>0.15934444444444401</v>
      </c>
      <c r="AJ14">
        <v>7.0507999999999997</v>
      </c>
      <c r="AK14">
        <v>0.30878333333333302</v>
      </c>
      <c r="AL14">
        <v>16.784210000000002</v>
      </c>
      <c r="AM14">
        <v>0.20289444444444399</v>
      </c>
      <c r="AN14">
        <v>14.314069999999999</v>
      </c>
      <c r="AO14">
        <v>0.19903888888888899</v>
      </c>
      <c r="AP14">
        <v>11.940580000000001</v>
      </c>
      <c r="AQ14">
        <v>0.22233611111111101</v>
      </c>
      <c r="AR14">
        <v>12.268470000000001</v>
      </c>
      <c r="AS14">
        <v>0.187525</v>
      </c>
      <c r="AT14">
        <v>8.7686100000000007</v>
      </c>
      <c r="AU14">
        <v>7.7950000000000005E-2</v>
      </c>
      <c r="AV14">
        <v>3.0712199999999998</v>
      </c>
      <c r="AW14">
        <v>4.555E-2</v>
      </c>
      <c r="AX14">
        <v>1.4311100000000001</v>
      </c>
      <c r="AY14">
        <v>7.6977777777777798E-2</v>
      </c>
      <c r="AZ14">
        <v>3.7866599999999999</v>
      </c>
      <c r="BA14">
        <v>9.1649999999999995E-2</v>
      </c>
      <c r="BB14">
        <v>4.6205499999999997</v>
      </c>
      <c r="BC14">
        <v>0.15115555555555599</v>
      </c>
      <c r="BD14">
        <v>6.4320700000000004</v>
      </c>
      <c r="BE14">
        <v>0.190969444444444</v>
      </c>
      <c r="BF14">
        <v>13.469720000000001</v>
      </c>
      <c r="BG14">
        <v>0.25484166666666702</v>
      </c>
      <c r="BH14">
        <v>16.87257</v>
      </c>
      <c r="BI14">
        <v>0.29866944444444399</v>
      </c>
      <c r="BJ14">
        <v>18.84648</v>
      </c>
      <c r="BK14">
        <v>0.36680833333333301</v>
      </c>
      <c r="BL14">
        <v>25.662130000000001</v>
      </c>
      <c r="BM14">
        <v>0.40831111111111101</v>
      </c>
      <c r="BN14">
        <v>27.654810000000001</v>
      </c>
      <c r="BO14">
        <f t="shared" si="0"/>
        <v>4.555E-2</v>
      </c>
      <c r="BP14">
        <v>7</v>
      </c>
      <c r="BQ14">
        <v>1.4311100000000001</v>
      </c>
      <c r="BR14">
        <f t="shared" si="1"/>
        <v>3</v>
      </c>
      <c r="BS14">
        <f t="shared" si="2"/>
        <v>4.555E-2</v>
      </c>
      <c r="BT14">
        <f t="shared" si="3"/>
        <v>7</v>
      </c>
      <c r="BU14">
        <f t="shared" si="4"/>
        <v>1.4311100000000001</v>
      </c>
      <c r="BV14">
        <f t="shared" si="5"/>
        <v>3</v>
      </c>
      <c r="BW14">
        <f t="shared" si="6"/>
        <v>4.555E-2</v>
      </c>
      <c r="BX14">
        <f t="shared" si="32"/>
        <v>7</v>
      </c>
      <c r="BY14">
        <f t="shared" si="33"/>
        <v>1.4311100000000001</v>
      </c>
      <c r="BZ14">
        <f t="shared" si="7"/>
        <v>3</v>
      </c>
      <c r="CA14">
        <f t="shared" si="8"/>
        <v>4.555E-2</v>
      </c>
      <c r="CB14">
        <f>IF(CA14=BO14,BP14,IF(CA14=BS14,BT14,IF(CA14=BW14,BX14,0)))</f>
        <v>7</v>
      </c>
      <c r="CC14">
        <f>IF(CA14=BO14,BQ14,IF(CA14=BS14,BU14,IF(CA14=BW14,BY14,0)))</f>
        <v>1.4311100000000001</v>
      </c>
      <c r="CD14">
        <f t="shared" si="9"/>
        <v>3</v>
      </c>
      <c r="CE14">
        <f t="shared" si="10"/>
        <v>4.555E-2</v>
      </c>
      <c r="CF14">
        <f>IF(CE14=BO14,BP14,IF(CE14=BS14,BT14,IF(CE14=BW14,BX14,IF(CE14=CA14,CB14,0))))</f>
        <v>7</v>
      </c>
      <c r="CG14">
        <f>IF(CE14=BO14,BQ14,IF(CE14=BS14,BU14,IF(CE14=BW14,BY14,IF(CE14=CA14,CC14,0))))</f>
        <v>1.4311100000000001</v>
      </c>
      <c r="CH14">
        <f t="shared" si="11"/>
        <v>3</v>
      </c>
      <c r="CI14">
        <f t="shared" si="12"/>
        <v>4.555E-2</v>
      </c>
      <c r="CJ14">
        <f>IF(CI14=BO14,BP14,IF(CI14=BS14,BT14,IF(CI14=BW14,BX14,IF(CI14=CA14,CB14,IF(CI14=CE14,CF14,0)))))</f>
        <v>7</v>
      </c>
      <c r="CK14">
        <f>IF(CI14=BO14,BQ14,IF(CI14=BS14,BU14,IF(CI14=BW14,BY14,IF(CI14=CA14,CC14,IF(CI14=CE14,CG14,0)))))</f>
        <v>1.4311100000000001</v>
      </c>
      <c r="CL14">
        <f t="shared" si="13"/>
        <v>3</v>
      </c>
      <c r="CM14">
        <f t="shared" si="14"/>
        <v>7.6977777777777798E-2</v>
      </c>
      <c r="CN14">
        <v>8</v>
      </c>
      <c r="CO14">
        <v>3.7866599999999999</v>
      </c>
      <c r="CP14">
        <f t="shared" si="15"/>
        <v>0</v>
      </c>
      <c r="CQ14">
        <f t="shared" si="16"/>
        <v>4.555E-2</v>
      </c>
      <c r="CR14">
        <f>IF(CQ14=BO14,BP14,IF(CQ14=BS14,BT14,IF(CQ14=BW14,BX14,IF(CQ14=CA14,CB14,IF(CQ14=CE14,CF14,IF(CQ14=CI14,CJ14,IF(CQ14=CM14,CN14,0)))))))</f>
        <v>7</v>
      </c>
      <c r="CS14">
        <f>IF(CQ14=BO14,BQ14,IF(CQ14=BS14,BU14,IF(CQ14=BW14,BY14,IF(CQ14=CA14,CC14,IF(CQ14=CE14,CG14,IF(CQ14=CI14,CK14,IF(CQ14=CM14,CO14,0)))))))</f>
        <v>1.4311100000000001</v>
      </c>
      <c r="CT14">
        <f t="shared" si="17"/>
        <v>3</v>
      </c>
      <c r="CU14">
        <f t="shared" si="18"/>
        <v>4.555E-2</v>
      </c>
      <c r="CV14">
        <f>IF(CU14=BO14,BP14,IF(CU14=BS14,BT14,IF(CU14=BW14,BX14,IF(CU14=CA14,CB14,IF(CU14=CE14,CF14,IF(CU14=CI14,CJ14,IF(CU14=CM14,CN14,IF(CU14=CQ14,CR14,0))))))))</f>
        <v>7</v>
      </c>
      <c r="CW14">
        <f>IF(CU14=BO14,BQ14,IF(CU14=BS14,BU14,IF(CU14=BW14,BY14,IF(CU14=CA14,CC14,IF(CU14=CE14,CG14,IF(CU14=CI14,CK14,IF(CU14=CM14,CO14,IF(CU14=CQ14,CS14,0))))))))</f>
        <v>1.4311100000000001</v>
      </c>
      <c r="CX14">
        <f t="shared" si="19"/>
        <v>3</v>
      </c>
      <c r="CY14">
        <f t="shared" si="20"/>
        <v>4.555E-2</v>
      </c>
      <c r="CZ14">
        <f>IF(CY14=BO14,BP14,IF(CY14=BS14,BT14,IF(CY14=BW14,BX14,IF(CY14=CA14,CB14,IF(CY14=CE14,CF14,IF(CY14=CI14,CJ14,IF(CY14=CM14,CN14,IF(CY14=CQ14,CR14,IF(CY14=CU14,CV14,0)))))))))</f>
        <v>7</v>
      </c>
      <c r="DA14">
        <f>IF(CY14=BO14,BQ14,IF(CY14=BS14,BU14,IF(CY14=BW14,BY14,IF(CY14=CA14,CC14,IF(CY14=CE14,CG14,IF(CY14=CI14,CK14,IF(CY14=CM14,CO14,IF(CY14=CQ14,CS14,IF(CY14=CU14,CW14,0)))))))))</f>
        <v>1.4311100000000001</v>
      </c>
      <c r="DB14">
        <f t="shared" si="21"/>
        <v>3</v>
      </c>
      <c r="DC14">
        <f t="shared" si="22"/>
        <v>4.555E-2</v>
      </c>
      <c r="DD14">
        <f>IF(DC14=BO14,BP14,IF(DC14=BS14,BT14,IF(DC14=BW14,BX14,IF(DC14=CA14,CB14,IF(DC14=CE14,CF14,IF(DC14=CI14,CJ14,IF(DC14=CM14,CN14,IF(DC14=CQ14,CR14,IF(DC14=CU14,CV14,IF(DC14=CY14,CZ14,0))))))))))</f>
        <v>7</v>
      </c>
      <c r="DE14">
        <f>IF(DC14=BO14,BQ14,IF(DC14=BS14,BU14,IF(DC14=BW14,BY14,IF(DC14=CA14,CC14,IF(DC14=CE14,CG14,IF(DC14=CI14,CK14,IF(DC14=CM14,CO14,IF(DC14=CQ14,CS14,IF(DC14=CU14,CW14,IF(DC14=CY14,DA14,0))))))))))</f>
        <v>1.4311100000000001</v>
      </c>
      <c r="DF14">
        <f t="shared" si="23"/>
        <v>3</v>
      </c>
      <c r="DG14">
        <f t="shared" si="24"/>
        <v>4.555E-2</v>
      </c>
      <c r="DH14">
        <f>IF(DG14=BO14,BP14,IF(DG14=BS14,BT14,IF(DG14=BW14,BX14,IF(DG14=CA14,CB14,IF(DG14=CE14,CF14,IF(DG14=CI14,CJ14,IF(DG14=CM14,CN14,IF(DG14=CQ14,CR14,IF(DG14=CU14,CV14,IF(DG14=CY14,CZ14,IF(DG14=DC14,DD14,0)))))))))))</f>
        <v>7</v>
      </c>
      <c r="DI14">
        <f>IF(DG14=BO14,BQ14,IF(DG14=BS14,BU14,IF(DG14=BW14,BY14,IF(DG14=CA14,CC14,IF(DG14=CE14,CG14,IF(DG14=CI14,CK14,IF(DG14=CM14,CO14,IF(DG14=CQ14,CS14,IF(DG14=CU14,CW14,IF(DG14=CY14,DA14,IF(DG14=DC14,DE14,0)))))))))))</f>
        <v>1.4311100000000001</v>
      </c>
      <c r="DJ14">
        <f t="shared" si="25"/>
        <v>3</v>
      </c>
      <c r="DK14">
        <f t="shared" si="26"/>
        <v>4.555E-2</v>
      </c>
      <c r="DL14">
        <f>IF(DK14=BO14,BP14,IF(DK14=BS14,BT14,IF(DK14=BW14,BX14,IF(DK14=CA14,CB14,IF(DK14=CE14,CF14,IF(DK14=CI14,CJ14,IF(DK14=CM14,CN14,IF(DK14=CQ14,CR14,IF(DK14=CU14,CV14,IF(DK14=CY14,CZ14,IF(DK14=DC14,DD14,IF(DK14=DG14,DH14,0))))))))))))</f>
        <v>7</v>
      </c>
      <c r="DM14">
        <f>IF(DK14=BO14,BQ14,IF(DK14=BS14,BU14,IF(DK14=BW14,BY14,IF(DK14=CA14,CC14,IF(DK14=CE14,CG14,IF(DK14=CI14,CK14,IF(DK14=CM14,CO14,IF(DK14=CQ14,CS14,IF(DK14=CU14,CW14,IF(DK14=CY14,DA14,IF(DK14=DC14,DE14,IF(DK14=DG14,DI14,0))))))))))))</f>
        <v>1.4311100000000001</v>
      </c>
      <c r="DN14">
        <f t="shared" si="27"/>
        <v>3</v>
      </c>
      <c r="DO14">
        <f t="shared" si="28"/>
        <v>4.555E-2</v>
      </c>
      <c r="DP14">
        <f>IF(DO14=BO14,BP14,IF(DO14=BS14,BT14,IF(DO14=BW14,BX14,IF(DO14=CA14,CB14,IF(DO14=CE14,CF14,IF(DO14=CI14,CJ14,IF(DO14=CM14,CN14,IF(DO14=CQ14,CR14,IF(DO14=CU14,CV14,IF(DO14=CY14,CZ14,IF(DO14=DC14,DD14,IF(DO14=DG14,DH14,IF(DO14=DK14,DL14,0)))))))))))))</f>
        <v>7</v>
      </c>
      <c r="DQ14">
        <f>IF(DO14=BO14,BQ14,IF(DO14=BS14,BU14,IF(DO14=BW14,BY14,IF(DO14=CA14,CC14,IF(DO14=CE14,CG14,IF(DO14=CI14,CK14,IF(DO14=CM14,CO14,IF(DO14=CQ14,CS14,IF(DO14=CU14,CW14,IF(DO14=CY14,DA14,IF(DO14=DC14,DE14,IF(DO14=DG14,DI14,IF(DO14=DK14,DM14,0)))))))))))))</f>
        <v>1.4311100000000001</v>
      </c>
      <c r="DR14">
        <f t="shared" si="29"/>
        <v>3</v>
      </c>
      <c r="DS14">
        <f t="shared" si="30"/>
        <v>4.555E-2</v>
      </c>
      <c r="DT14">
        <f>IF(DS14=BO14,BP14,IF(DS14=BS14,BT14,IF(DS14=BW14,BX14,IF(DS14=CA14,CB14,IF(DS14=CE14,CF14,IF(DS14=CI14,CJ14,IF(DS14=CM14,CN14,IF(DS14=CQ14,CR14,IF(DS14=CU14,CV14,IF(DS14=CY14,CZ14,IF(DS14=DC14,DD14,IF(DS14=DG14,DH14,IF(DS14=DK14,DL14,IF(DS14=DO14,DP14,0))))))))))))))</f>
        <v>7</v>
      </c>
      <c r="DU14">
        <f>IF(DS14=BO14,BQ14,IF(DS14=BS14,BU14,IF(DS14=BW14,BY14,IF(DS14=CA14,CC14,IF(DS14=CE14,CG14,IF(DS14=CI14,CK14,IF(DS14=CM14,CO14,IF(DS14=CQ14,CS14,IF(DS14=CU14,CW14,IF(DS14=CY14,DA14,IF(DS14=DC14,DE14,IF(DS14=DG14,DI14,IF(DS14=DK14,DM14,IF(DS14=DO14,DQ14,0))))))))))))))</f>
        <v>1.4311100000000001</v>
      </c>
      <c r="DV14">
        <f t="shared" si="31"/>
        <v>3</v>
      </c>
      <c r="DW14">
        <v>22500.5</v>
      </c>
      <c r="DX14">
        <v>4</v>
      </c>
      <c r="DY14">
        <v>35</v>
      </c>
      <c r="EA14">
        <v>6</v>
      </c>
      <c r="EB14">
        <v>10.114099490560401</v>
      </c>
      <c r="EC14">
        <v>1.5</v>
      </c>
      <c r="ED14">
        <v>2.416604</v>
      </c>
      <c r="EE14">
        <v>4.555E-2</v>
      </c>
      <c r="EF14">
        <v>1.4311100000000001</v>
      </c>
      <c r="EG14">
        <v>5.0870436760785296</v>
      </c>
      <c r="EH14">
        <v>8</v>
      </c>
      <c r="EI14">
        <v>0</v>
      </c>
      <c r="EJ14">
        <v>0.1860443</v>
      </c>
      <c r="EK14">
        <v>1</v>
      </c>
      <c r="EL14">
        <v>1</v>
      </c>
      <c r="EM14">
        <v>51</v>
      </c>
      <c r="EN14">
        <v>0</v>
      </c>
      <c r="EO14">
        <v>2</v>
      </c>
      <c r="EP14">
        <v>8</v>
      </c>
      <c r="EQ14">
        <v>2</v>
      </c>
      <c r="ER14">
        <v>14.1987814663817</v>
      </c>
      <c r="ES14">
        <v>4.5249938890973098</v>
      </c>
      <c r="ET14">
        <v>6.9415978890973102</v>
      </c>
      <c r="EU14">
        <v>1.2935089915873701</v>
      </c>
      <c r="EV14">
        <v>1.4795532915873699</v>
      </c>
      <c r="EW14">
        <v>0.49226579999999998</v>
      </c>
      <c r="EX14">
        <v>2.18598128886872</v>
      </c>
      <c r="EY14">
        <v>2.6782470888687202</v>
      </c>
      <c r="EZ14">
        <v>0.93604430000000005</v>
      </c>
      <c r="FA14">
        <v>1.2935089915873701</v>
      </c>
      <c r="FB14">
        <v>2.2295532915873699</v>
      </c>
      <c r="FC14">
        <v>1.5522754000000001</v>
      </c>
      <c r="FD14">
        <v>5.6522193732895198</v>
      </c>
      <c r="FE14">
        <v>7.2044947732895199</v>
      </c>
      <c r="FF14">
        <v>0.93604430000000005</v>
      </c>
      <c r="FG14">
        <v>1.2935089915873701</v>
      </c>
      <c r="FH14">
        <v>2.2295532915873699</v>
      </c>
    </row>
    <row r="15" spans="1:164" x14ac:dyDescent="0.2">
      <c r="A15">
        <v>14</v>
      </c>
      <c r="B15">
        <v>19</v>
      </c>
      <c r="C15">
        <v>43</v>
      </c>
      <c r="D15">
        <v>1</v>
      </c>
      <c r="E15">
        <v>11</v>
      </c>
      <c r="F15" t="s">
        <v>135</v>
      </c>
      <c r="G15" t="s">
        <v>136</v>
      </c>
      <c r="H15">
        <v>3</v>
      </c>
      <c r="I15">
        <v>2</v>
      </c>
      <c r="K15" t="s">
        <v>137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4</v>
      </c>
      <c r="AE15">
        <v>6</v>
      </c>
      <c r="AF15">
        <v>3</v>
      </c>
      <c r="AG15">
        <v>7</v>
      </c>
      <c r="AH15">
        <v>8</v>
      </c>
      <c r="AI15">
        <v>0.15934444444444401</v>
      </c>
      <c r="AJ15">
        <v>7.0507999999999997</v>
      </c>
      <c r="AK15">
        <v>0.30878333333333302</v>
      </c>
      <c r="AL15">
        <v>16.784210000000002</v>
      </c>
      <c r="AM15">
        <v>0.20289444444444399</v>
      </c>
      <c r="AN15">
        <v>14.314069999999999</v>
      </c>
      <c r="AO15">
        <v>0.19903888888888899</v>
      </c>
      <c r="AP15">
        <v>11.940580000000001</v>
      </c>
      <c r="AQ15">
        <v>0.22233611111111101</v>
      </c>
      <c r="AR15">
        <v>12.268470000000001</v>
      </c>
      <c r="AS15">
        <v>0.187525</v>
      </c>
      <c r="AT15">
        <v>8.7686100000000007</v>
      </c>
      <c r="AU15">
        <v>7.7950000000000005E-2</v>
      </c>
      <c r="AV15">
        <v>3.0712199999999998</v>
      </c>
      <c r="AW15">
        <v>4.555E-2</v>
      </c>
      <c r="AX15">
        <v>1.4311100000000001</v>
      </c>
      <c r="AY15">
        <v>7.6977777777777798E-2</v>
      </c>
      <c r="AZ15">
        <v>3.7866599999999999</v>
      </c>
      <c r="BA15">
        <v>9.1649999999999995E-2</v>
      </c>
      <c r="BB15">
        <v>4.6205499999999997</v>
      </c>
      <c r="BC15">
        <v>0.15115555555555599</v>
      </c>
      <c r="BD15">
        <v>6.4320700000000004</v>
      </c>
      <c r="BE15">
        <v>0.190969444444444</v>
      </c>
      <c r="BF15">
        <v>13.469720000000001</v>
      </c>
      <c r="BG15">
        <v>0.25484166666666702</v>
      </c>
      <c r="BH15">
        <v>16.87257</v>
      </c>
      <c r="BI15">
        <v>0.29866944444444399</v>
      </c>
      <c r="BJ15">
        <v>18.84648</v>
      </c>
      <c r="BK15">
        <v>0.36680833333333301</v>
      </c>
      <c r="BL15">
        <v>25.662130000000001</v>
      </c>
      <c r="BM15">
        <v>0.40831111111111101</v>
      </c>
      <c r="BN15">
        <v>27.654810000000001</v>
      </c>
      <c r="BO15">
        <f t="shared" si="0"/>
        <v>4.555E-2</v>
      </c>
      <c r="BP15">
        <v>7</v>
      </c>
      <c r="BQ15">
        <v>1.4311100000000001</v>
      </c>
      <c r="BR15">
        <f t="shared" si="1"/>
        <v>3</v>
      </c>
      <c r="BS15">
        <f t="shared" si="2"/>
        <v>4.555E-2</v>
      </c>
      <c r="BT15">
        <f t="shared" si="3"/>
        <v>7</v>
      </c>
      <c r="BU15">
        <f t="shared" si="4"/>
        <v>1.4311100000000001</v>
      </c>
      <c r="BV15">
        <f t="shared" si="5"/>
        <v>3</v>
      </c>
      <c r="BW15">
        <f t="shared" si="6"/>
        <v>4.555E-2</v>
      </c>
      <c r="BX15">
        <f t="shared" si="32"/>
        <v>7</v>
      </c>
      <c r="BY15">
        <f t="shared" si="33"/>
        <v>1.4311100000000001</v>
      </c>
      <c r="BZ15">
        <f t="shared" si="7"/>
        <v>3</v>
      </c>
      <c r="CA15">
        <f t="shared" si="8"/>
        <v>4.555E-2</v>
      </c>
      <c r="CB15">
        <f>IF(CA15=BO15,BP15,IF(CA15=BS15,BT15,IF(CA15=BW15,BX15,0)))</f>
        <v>7</v>
      </c>
      <c r="CC15">
        <f>IF(CA15=BO15,BQ15,IF(CA15=BS15,BU15,IF(CA15=BW15,BY15,0)))</f>
        <v>1.4311100000000001</v>
      </c>
      <c r="CD15">
        <f t="shared" si="9"/>
        <v>3</v>
      </c>
      <c r="CE15">
        <f t="shared" si="10"/>
        <v>4.555E-2</v>
      </c>
      <c r="CF15">
        <f>IF(CE15=BO15,BP15,IF(CE15=BS15,BT15,IF(CE15=BW15,BX15,IF(CE15=CA15,CB15,0))))</f>
        <v>7</v>
      </c>
      <c r="CG15">
        <f>IF(CE15=BO15,BQ15,IF(CE15=BS15,BU15,IF(CE15=BW15,BY15,IF(CE15=CA15,CC15,0))))</f>
        <v>1.4311100000000001</v>
      </c>
      <c r="CH15">
        <f t="shared" si="11"/>
        <v>3</v>
      </c>
      <c r="CI15">
        <f t="shared" si="12"/>
        <v>4.555E-2</v>
      </c>
      <c r="CJ15">
        <f>IF(CI15=BO15,BP15,IF(CI15=BS15,BT15,IF(CI15=BW15,BX15,IF(CI15=CA15,CB15,IF(CI15=CE15,CF15,0)))))</f>
        <v>7</v>
      </c>
      <c r="CK15">
        <f>IF(CI15=BO15,BQ15,IF(CI15=BS15,BU15,IF(CI15=BW15,BY15,IF(CI15=CA15,CC15,IF(CI15=CE15,CG15,0)))))</f>
        <v>1.4311100000000001</v>
      </c>
      <c r="CL15">
        <f t="shared" si="13"/>
        <v>3</v>
      </c>
      <c r="CM15">
        <f t="shared" si="14"/>
        <v>7.6977777777777798E-2</v>
      </c>
      <c r="CN15">
        <v>8</v>
      </c>
      <c r="CO15">
        <v>3.7866599999999999</v>
      </c>
      <c r="CP15">
        <f t="shared" si="15"/>
        <v>0</v>
      </c>
      <c r="CQ15">
        <f t="shared" si="16"/>
        <v>4.555E-2</v>
      </c>
      <c r="CR15">
        <f>IF(CQ15=BO15,BP15,IF(CQ15=BS15,BT15,IF(CQ15=BW15,BX15,IF(CQ15=CA15,CB15,IF(CQ15=CE15,CF15,IF(CQ15=CI15,CJ15,IF(CQ15=CM15,CN15,0)))))))</f>
        <v>7</v>
      </c>
      <c r="CS15">
        <f>IF(CQ15=BO15,BQ15,IF(CQ15=BS15,BU15,IF(CQ15=BW15,BY15,IF(CQ15=CA15,CC15,IF(CQ15=CE15,CG15,IF(CQ15=CI15,CK15,IF(CQ15=CM15,CO15,0)))))))</f>
        <v>1.4311100000000001</v>
      </c>
      <c r="CT15">
        <f t="shared" si="17"/>
        <v>3</v>
      </c>
      <c r="CU15">
        <f t="shared" si="18"/>
        <v>4.555E-2</v>
      </c>
      <c r="CV15">
        <f>IF(CU15=BO15,BP15,IF(CU15=BS15,BT15,IF(CU15=BW15,BX15,IF(CU15=CA15,CB15,IF(CU15=CE15,CF15,IF(CU15=CI15,CJ15,IF(CU15=CM15,CN15,IF(CU15=CQ15,CR15,0))))))))</f>
        <v>7</v>
      </c>
      <c r="CW15">
        <f>IF(CU15=BO15,BQ15,IF(CU15=BS15,BU15,IF(CU15=BW15,BY15,IF(CU15=CA15,CC15,IF(CU15=CE15,CG15,IF(CU15=CI15,CK15,IF(CU15=CM15,CO15,IF(CU15=CQ15,CS15,0))))))))</f>
        <v>1.4311100000000001</v>
      </c>
      <c r="CX15">
        <f t="shared" si="19"/>
        <v>3</v>
      </c>
      <c r="CY15">
        <f t="shared" si="20"/>
        <v>4.555E-2</v>
      </c>
      <c r="CZ15">
        <f>IF(CY15=BO15,BP15,IF(CY15=BS15,BT15,IF(CY15=BW15,BX15,IF(CY15=CA15,CB15,IF(CY15=CE15,CF15,IF(CY15=CI15,CJ15,IF(CY15=CM15,CN15,IF(CY15=CQ15,CR15,IF(CY15=CU15,CV15,0)))))))))</f>
        <v>7</v>
      </c>
      <c r="DA15">
        <f>IF(CY15=BO15,BQ15,IF(CY15=BS15,BU15,IF(CY15=BW15,BY15,IF(CY15=CA15,CC15,IF(CY15=CE15,CG15,IF(CY15=CI15,CK15,IF(CY15=CM15,CO15,IF(CY15=CQ15,CS15,IF(CY15=CU15,CW15,0)))))))))</f>
        <v>1.4311100000000001</v>
      </c>
      <c r="DB15">
        <f t="shared" si="21"/>
        <v>3</v>
      </c>
      <c r="DC15">
        <f t="shared" si="22"/>
        <v>4.555E-2</v>
      </c>
      <c r="DD15">
        <f>IF(DC15=BO15,BP15,IF(DC15=BS15,BT15,IF(DC15=BW15,BX15,IF(DC15=CA15,CB15,IF(DC15=CE15,CF15,IF(DC15=CI15,CJ15,IF(DC15=CM15,CN15,IF(DC15=CQ15,CR15,IF(DC15=CU15,CV15,IF(DC15=CY15,CZ15,0))))))))))</f>
        <v>7</v>
      </c>
      <c r="DE15">
        <f>IF(DC15=BO15,BQ15,IF(DC15=BS15,BU15,IF(DC15=BW15,BY15,IF(DC15=CA15,CC15,IF(DC15=CE15,CG15,IF(DC15=CI15,CK15,IF(DC15=CM15,CO15,IF(DC15=CQ15,CS15,IF(DC15=CU15,CW15,IF(DC15=CY15,DA15,0))))))))))</f>
        <v>1.4311100000000001</v>
      </c>
      <c r="DF15">
        <f t="shared" si="23"/>
        <v>3</v>
      </c>
      <c r="DG15">
        <f t="shared" si="24"/>
        <v>4.555E-2</v>
      </c>
      <c r="DH15">
        <f>IF(DG15=BO15,BP15,IF(DG15=BS15,BT15,IF(DG15=BW15,BX15,IF(DG15=CA15,CB15,IF(DG15=CE15,CF15,IF(DG15=CI15,CJ15,IF(DG15=CM15,CN15,IF(DG15=CQ15,CR15,IF(DG15=CU15,CV15,IF(DG15=CY15,CZ15,IF(DG15=DC15,DD15,0)))))))))))</f>
        <v>7</v>
      </c>
      <c r="DI15">
        <f>IF(DG15=BO15,BQ15,IF(DG15=BS15,BU15,IF(DG15=BW15,BY15,IF(DG15=CA15,CC15,IF(DG15=CE15,CG15,IF(DG15=CI15,CK15,IF(DG15=CM15,CO15,IF(DG15=CQ15,CS15,IF(DG15=CU15,CW15,IF(DG15=CY15,DA15,IF(DG15=DC15,DE15,0)))))))))))</f>
        <v>1.4311100000000001</v>
      </c>
      <c r="DJ15">
        <f t="shared" si="25"/>
        <v>3</v>
      </c>
      <c r="DK15">
        <f t="shared" si="26"/>
        <v>4.555E-2</v>
      </c>
      <c r="DL15">
        <f>IF(DK15=BO15,BP15,IF(DK15=BS15,BT15,IF(DK15=BW15,BX15,IF(DK15=CA15,CB15,IF(DK15=CE15,CF15,IF(DK15=CI15,CJ15,IF(DK15=CM15,CN15,IF(DK15=CQ15,CR15,IF(DK15=CU15,CV15,IF(DK15=CY15,CZ15,IF(DK15=DC15,DD15,IF(DK15=DG15,DH15,0))))))))))))</f>
        <v>7</v>
      </c>
      <c r="DM15">
        <f>IF(DK15=BO15,BQ15,IF(DK15=BS15,BU15,IF(DK15=BW15,BY15,IF(DK15=CA15,CC15,IF(DK15=CE15,CG15,IF(DK15=CI15,CK15,IF(DK15=CM15,CO15,IF(DK15=CQ15,CS15,IF(DK15=CU15,CW15,IF(DK15=CY15,DA15,IF(DK15=DC15,DE15,IF(DK15=DG15,DI15,0))))))))))))</f>
        <v>1.4311100000000001</v>
      </c>
      <c r="DN15">
        <f t="shared" si="27"/>
        <v>3</v>
      </c>
      <c r="DO15">
        <f t="shared" si="28"/>
        <v>4.555E-2</v>
      </c>
      <c r="DP15">
        <f>IF(DO15=BO15,BP15,IF(DO15=BS15,BT15,IF(DO15=BW15,BX15,IF(DO15=CA15,CB15,IF(DO15=CE15,CF15,IF(DO15=CI15,CJ15,IF(DO15=CM15,CN15,IF(DO15=CQ15,CR15,IF(DO15=CU15,CV15,IF(DO15=CY15,CZ15,IF(DO15=DC15,DD15,IF(DO15=DG15,DH15,IF(DO15=DK15,DL15,0)))))))))))))</f>
        <v>7</v>
      </c>
      <c r="DQ15">
        <f>IF(DO15=BO15,BQ15,IF(DO15=BS15,BU15,IF(DO15=BW15,BY15,IF(DO15=CA15,CC15,IF(DO15=CE15,CG15,IF(DO15=CI15,CK15,IF(DO15=CM15,CO15,IF(DO15=CQ15,CS15,IF(DO15=CU15,CW15,IF(DO15=CY15,DA15,IF(DO15=DC15,DE15,IF(DO15=DG15,DI15,IF(DO15=DK15,DM15,0)))))))))))))</f>
        <v>1.4311100000000001</v>
      </c>
      <c r="DR15">
        <f t="shared" si="29"/>
        <v>3</v>
      </c>
      <c r="DS15">
        <f t="shared" si="30"/>
        <v>4.555E-2</v>
      </c>
      <c r="DT15">
        <f>IF(DS15=BO15,BP15,IF(DS15=BS15,BT15,IF(DS15=BW15,BX15,IF(DS15=CA15,CB15,IF(DS15=CE15,CF15,IF(DS15=CI15,CJ15,IF(DS15=CM15,CN15,IF(DS15=CQ15,CR15,IF(DS15=CU15,CV15,IF(DS15=CY15,CZ15,IF(DS15=DC15,DD15,IF(DS15=DG15,DH15,IF(DS15=DK15,DL15,IF(DS15=DO15,DP15,0))))))))))))))</f>
        <v>7</v>
      </c>
      <c r="DU15">
        <f>IF(DS15=BO15,BQ15,IF(DS15=BS15,BU15,IF(DS15=BW15,BY15,IF(DS15=CA15,CC15,IF(DS15=CE15,CG15,IF(DS15=CI15,CK15,IF(DS15=CM15,CO15,IF(DS15=CQ15,CS15,IF(DS15=CU15,CW15,IF(DS15=CY15,DA15,IF(DS15=DC15,DE15,IF(DS15=DG15,DI15,IF(DS15=DK15,DM15,IF(DS15=DO15,DQ15,0))))))))))))))</f>
        <v>1.4311100000000001</v>
      </c>
      <c r="DV15">
        <f t="shared" si="31"/>
        <v>3</v>
      </c>
      <c r="DW15">
        <v>22500.5</v>
      </c>
      <c r="DX15">
        <v>4</v>
      </c>
      <c r="DY15">
        <v>50</v>
      </c>
      <c r="DZ15">
        <v>0</v>
      </c>
      <c r="EA15">
        <v>0</v>
      </c>
      <c r="EB15">
        <v>10.114099490560401</v>
      </c>
      <c r="EC15">
        <v>0</v>
      </c>
      <c r="ED15">
        <v>0</v>
      </c>
      <c r="EE15">
        <v>4.555E-2</v>
      </c>
      <c r="EF15">
        <v>1.4311100000000001</v>
      </c>
      <c r="EG15">
        <v>3.2232511287583598</v>
      </c>
      <c r="EH15">
        <v>8</v>
      </c>
      <c r="EI15">
        <v>0</v>
      </c>
      <c r="EJ15">
        <v>0</v>
      </c>
      <c r="EK15">
        <v>0</v>
      </c>
      <c r="EL15">
        <v>0</v>
      </c>
      <c r="EM15">
        <v>42</v>
      </c>
      <c r="EN15">
        <v>1</v>
      </c>
      <c r="EO15">
        <v>2</v>
      </c>
      <c r="EP15">
        <v>8</v>
      </c>
      <c r="EQ15">
        <v>3</v>
      </c>
      <c r="ER15">
        <v>14.1987814663817</v>
      </c>
      <c r="ES15">
        <v>4.5249938890973098</v>
      </c>
      <c r="ET15">
        <v>4.5249938890973098</v>
      </c>
      <c r="EU15">
        <v>1.2935089915873701</v>
      </c>
      <c r="EV15">
        <v>1.2935089915873701</v>
      </c>
      <c r="EW15">
        <v>0</v>
      </c>
      <c r="EX15">
        <v>2.18598128886872</v>
      </c>
      <c r="EY15">
        <v>2.18598128886872</v>
      </c>
      <c r="EZ15">
        <v>0</v>
      </c>
      <c r="FA15">
        <v>1.2935089915873701</v>
      </c>
      <c r="FB15">
        <v>1.2935089915873701</v>
      </c>
      <c r="FC15">
        <v>0</v>
      </c>
      <c r="FD15">
        <v>5.6522193732895198</v>
      </c>
      <c r="FE15">
        <v>5.6522193732895198</v>
      </c>
      <c r="FF15">
        <v>0</v>
      </c>
      <c r="FG15">
        <v>1.2935089915873701</v>
      </c>
      <c r="FH15">
        <v>1.2935089915873701</v>
      </c>
    </row>
    <row r="16" spans="1:164" x14ac:dyDescent="0.2">
      <c r="A16">
        <v>15</v>
      </c>
      <c r="B16">
        <v>20</v>
      </c>
      <c r="C16">
        <v>44</v>
      </c>
      <c r="D16">
        <v>3</v>
      </c>
      <c r="E16">
        <v>12</v>
      </c>
      <c r="F16" t="s">
        <v>101</v>
      </c>
      <c r="G16" t="s">
        <v>138</v>
      </c>
      <c r="H16">
        <v>3</v>
      </c>
      <c r="I16">
        <v>1</v>
      </c>
      <c r="K16" t="s">
        <v>139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3</v>
      </c>
      <c r="AC16">
        <v>10</v>
      </c>
      <c r="AD16">
        <v>104</v>
      </c>
      <c r="AE16">
        <v>120</v>
      </c>
      <c r="AF16">
        <v>60</v>
      </c>
      <c r="AG16">
        <v>150</v>
      </c>
      <c r="AH16">
        <v>3</v>
      </c>
      <c r="AI16">
        <v>0.16748333333333301</v>
      </c>
      <c r="AJ16">
        <v>6.3378699999999997</v>
      </c>
      <c r="AK16">
        <v>0.35158333333333303</v>
      </c>
      <c r="AL16">
        <v>18.742000000000001</v>
      </c>
      <c r="AM16">
        <v>0.24569444444444399</v>
      </c>
      <c r="AN16">
        <v>16.27186</v>
      </c>
      <c r="AO16">
        <v>0.241836111111111</v>
      </c>
      <c r="AP16">
        <v>13.89836</v>
      </c>
      <c r="AQ16">
        <v>0.26513611111111102</v>
      </c>
      <c r="AR16">
        <v>14.22626</v>
      </c>
      <c r="AS16">
        <v>0.23032222222222201</v>
      </c>
      <c r="AT16">
        <v>10.7264</v>
      </c>
      <c r="AU16">
        <v>0.127461111111111</v>
      </c>
      <c r="AV16">
        <v>5.0532199999999996</v>
      </c>
      <c r="AW16">
        <v>6.5644444444444394E-2</v>
      </c>
      <c r="AX16">
        <v>1.1821999999999999</v>
      </c>
      <c r="AY16">
        <v>4.4097222222222197E-2</v>
      </c>
      <c r="AZ16">
        <v>1.0767899999999999</v>
      </c>
      <c r="BA16">
        <v>7.4475E-2</v>
      </c>
      <c r="BB16">
        <v>2.1208900000000002</v>
      </c>
      <c r="BC16">
        <v>0.15929722222222201</v>
      </c>
      <c r="BD16">
        <v>5.7191299999999998</v>
      </c>
      <c r="BE16">
        <v>0.21862500000000001</v>
      </c>
      <c r="BF16">
        <v>13.92179</v>
      </c>
      <c r="BG16">
        <v>0.28249999999999997</v>
      </c>
      <c r="BH16">
        <v>17.324639999999999</v>
      </c>
      <c r="BI16">
        <v>0.32632777777777799</v>
      </c>
      <c r="BJ16">
        <v>19.298549999999999</v>
      </c>
      <c r="BK16">
        <v>0.39446666666666702</v>
      </c>
      <c r="BL16">
        <v>26.1142</v>
      </c>
      <c r="BM16">
        <v>0.43596944444444402</v>
      </c>
      <c r="BN16">
        <v>28.10688</v>
      </c>
      <c r="BO16">
        <f t="shared" si="0"/>
        <v>4.4097222222222197E-2</v>
      </c>
      <c r="BP16">
        <v>8</v>
      </c>
      <c r="BQ16">
        <v>1.0767899999999999</v>
      </c>
      <c r="BR16">
        <f t="shared" si="1"/>
        <v>0</v>
      </c>
      <c r="BS16">
        <f t="shared" si="2"/>
        <v>4.4097222222222197E-2</v>
      </c>
      <c r="BT16">
        <f t="shared" si="3"/>
        <v>8</v>
      </c>
      <c r="BU16">
        <f t="shared" si="4"/>
        <v>1.0767899999999999</v>
      </c>
      <c r="BV16">
        <f t="shared" si="5"/>
        <v>0</v>
      </c>
      <c r="BW16">
        <f t="shared" si="6"/>
        <v>4.4097222222222197E-2</v>
      </c>
      <c r="BX16">
        <f t="shared" si="32"/>
        <v>8</v>
      </c>
      <c r="BY16">
        <f t="shared" si="33"/>
        <v>1.0767899999999999</v>
      </c>
      <c r="BZ16">
        <f t="shared" si="7"/>
        <v>0</v>
      </c>
      <c r="CA16">
        <f t="shared" si="8"/>
        <v>4.4097222222222197E-2</v>
      </c>
      <c r="CB16">
        <f>IF(CA16=BO16,BP16,IF(CA16=BS16,BT16,IF(CA16=BW16,BX16,0)))</f>
        <v>8</v>
      </c>
      <c r="CC16">
        <f>IF(CA16=BO16,BQ16,IF(CA16=BS16,BU16,IF(CA16=BW16,BY16,0)))</f>
        <v>1.0767899999999999</v>
      </c>
      <c r="CD16">
        <f t="shared" si="9"/>
        <v>0</v>
      </c>
      <c r="CE16">
        <f t="shared" si="10"/>
        <v>4.4097222222222197E-2</v>
      </c>
      <c r="CF16">
        <f>IF(CE16=BO16,BP16,IF(CE16=BS16,BT16,IF(CE16=BW16,BX16,IF(CE16=CA16,CB16,0))))</f>
        <v>8</v>
      </c>
      <c r="CG16">
        <f>IF(CE16=BO16,BQ16,IF(CE16=BS16,BU16,IF(CE16=BW16,BY16,IF(CE16=CA16,CC16,0))))</f>
        <v>1.0767899999999999</v>
      </c>
      <c r="CH16">
        <f t="shared" si="11"/>
        <v>0</v>
      </c>
      <c r="CI16">
        <f t="shared" si="12"/>
        <v>4.4097222222222197E-2</v>
      </c>
      <c r="CJ16">
        <f>IF(CI16=BO16,BP16,IF(CI16=BS16,BT16,IF(CI16=BW16,BX16,IF(CI16=CA16,CB16,IF(CI16=CE16,CF16,0)))))</f>
        <v>8</v>
      </c>
      <c r="CK16">
        <f>IF(CI16=BO16,BQ16,IF(CI16=BS16,BU16,IF(CI16=BW16,BY16,IF(CI16=CA16,CC16,IF(CI16=CE16,CG16,0)))))</f>
        <v>1.0767899999999999</v>
      </c>
      <c r="CL16">
        <f t="shared" si="13"/>
        <v>0</v>
      </c>
      <c r="CM16">
        <f t="shared" si="14"/>
        <v>4.4097222222222197E-2</v>
      </c>
      <c r="CN16">
        <f>IF(CM16=BO16,BP16,IF(CM16=BS16,BT16,IF(CM16=BW16,BX16,IF(CM16=CA16,CB16,IF(CM16=CE16,CF16,IF(CM16=CI16,CJ16,0))))))</f>
        <v>8</v>
      </c>
      <c r="CO16">
        <f>IF(CM16=BO16,BQ16,IF(CM16=BS16,BU16,IF(CM16=BW16,BY16,IF(CM16=CA16,CC16,IF(CM16=CE16,CG16,IF(CM16=CI16,CK16,0))))))</f>
        <v>1.0767899999999999</v>
      </c>
      <c r="CP16">
        <f t="shared" si="15"/>
        <v>0</v>
      </c>
      <c r="CQ16">
        <f t="shared" si="16"/>
        <v>6.5644444444444394E-2</v>
      </c>
      <c r="CR16">
        <v>7</v>
      </c>
      <c r="CS16">
        <v>1.1821999999999999</v>
      </c>
      <c r="CT16">
        <f t="shared" si="17"/>
        <v>3</v>
      </c>
      <c r="CU16">
        <f t="shared" si="18"/>
        <v>4.4097222222222197E-2</v>
      </c>
      <c r="CV16">
        <f>IF(CU16=BO16,BP16,IF(CU16=BS16,BT16,IF(CU16=BW16,BX16,IF(CU16=CA16,CB16,IF(CU16=CE16,CF16,IF(CU16=CI16,CJ16,IF(CU16=CM16,CN16,IF(CU16=CQ16,CR16,0))))))))</f>
        <v>8</v>
      </c>
      <c r="CW16">
        <f>IF(CU16=BO16,BQ16,IF(CU16=BS16,BU16,IF(CU16=BW16,BY16,IF(CU16=CA16,CC16,IF(CU16=CE16,CG16,IF(CU16=CI16,CK16,IF(CU16=CM16,CO16,IF(CU16=CQ16,CS16,0))))))))</f>
        <v>1.0767899999999999</v>
      </c>
      <c r="CX16">
        <f t="shared" si="19"/>
        <v>0</v>
      </c>
      <c r="CY16">
        <f t="shared" si="20"/>
        <v>4.4097222222222197E-2</v>
      </c>
      <c r="CZ16">
        <f>IF(CY16=BO16,BP16,IF(CY16=BS16,BT16,IF(CY16=BW16,BX16,IF(CY16=CA16,CB16,IF(CY16=CE16,CF16,IF(CY16=CI16,CJ16,IF(CY16=CM16,CN16,IF(CY16=CQ16,CR16,IF(CY16=CU16,CV16,0)))))))))</f>
        <v>8</v>
      </c>
      <c r="DA16">
        <f>IF(CY16=BO16,BQ16,IF(CY16=BS16,BU16,IF(CY16=BW16,BY16,IF(CY16=CA16,CC16,IF(CY16=CE16,CG16,IF(CY16=CI16,CK16,IF(CY16=CM16,CO16,IF(CY16=CQ16,CS16,IF(CY16=CU16,CW16,0)))))))))</f>
        <v>1.0767899999999999</v>
      </c>
      <c r="DB16">
        <f t="shared" si="21"/>
        <v>0</v>
      </c>
      <c r="DC16">
        <f t="shared" si="22"/>
        <v>4.4097222222222197E-2</v>
      </c>
      <c r="DD16">
        <f>IF(DC16=BO16,BP16,IF(DC16=BS16,BT16,IF(DC16=BW16,BX16,IF(DC16=CA16,CB16,IF(DC16=CE16,CF16,IF(DC16=CI16,CJ16,IF(DC16=CM16,CN16,IF(DC16=CQ16,CR16,IF(DC16=CU16,CV16,IF(DC16=CY16,CZ16,0))))))))))</f>
        <v>8</v>
      </c>
      <c r="DE16">
        <f>IF(DC16=BO16,BQ16,IF(DC16=BS16,BU16,IF(DC16=BW16,BY16,IF(DC16=CA16,CC16,IF(DC16=CE16,CG16,IF(DC16=CI16,CK16,IF(DC16=CM16,CO16,IF(DC16=CQ16,CS16,IF(DC16=CU16,CW16,IF(DC16=CY16,DA16,0))))))))))</f>
        <v>1.0767899999999999</v>
      </c>
      <c r="DF16">
        <f t="shared" si="23"/>
        <v>0</v>
      </c>
      <c r="DG16">
        <f t="shared" si="24"/>
        <v>4.4097222222222197E-2</v>
      </c>
      <c r="DH16">
        <f>IF(DG16=BO16,BP16,IF(DG16=BS16,BT16,IF(DG16=BW16,BX16,IF(DG16=CA16,CB16,IF(DG16=CE16,CF16,IF(DG16=CI16,CJ16,IF(DG16=CM16,CN16,IF(DG16=CQ16,CR16,IF(DG16=CU16,CV16,IF(DG16=CY16,CZ16,IF(DG16=DC16,DD16,0)))))))))))</f>
        <v>8</v>
      </c>
      <c r="DI16">
        <f>IF(DG16=BO16,BQ16,IF(DG16=BS16,BU16,IF(DG16=BW16,BY16,IF(DG16=CA16,CC16,IF(DG16=CE16,CG16,IF(DG16=CI16,CK16,IF(DG16=CM16,CO16,IF(DG16=CQ16,CS16,IF(DG16=CU16,CW16,IF(DG16=CY16,DA16,IF(DG16=DC16,DE16,0)))))))))))</f>
        <v>1.0767899999999999</v>
      </c>
      <c r="DJ16">
        <f t="shared" si="25"/>
        <v>0</v>
      </c>
      <c r="DK16">
        <f t="shared" si="26"/>
        <v>4.4097222222222197E-2</v>
      </c>
      <c r="DL16">
        <f>IF(DK16=BO16,BP16,IF(DK16=BS16,BT16,IF(DK16=BW16,BX16,IF(DK16=CA16,CB16,IF(DK16=CE16,CF16,IF(DK16=CI16,CJ16,IF(DK16=CM16,CN16,IF(DK16=CQ16,CR16,IF(DK16=CU16,CV16,IF(DK16=CY16,CZ16,IF(DK16=DC16,DD16,IF(DK16=DG16,DH16,0))))))))))))</f>
        <v>8</v>
      </c>
      <c r="DM16">
        <f>IF(DK16=BO16,BQ16,IF(DK16=BS16,BU16,IF(DK16=BW16,BY16,IF(DK16=CA16,CC16,IF(DK16=CE16,CG16,IF(DK16=CI16,CK16,IF(DK16=CM16,CO16,IF(DK16=CQ16,CS16,IF(DK16=CU16,CW16,IF(DK16=CY16,DA16,IF(DK16=DC16,DE16,IF(DK16=DG16,DI16,0))))))))))))</f>
        <v>1.0767899999999999</v>
      </c>
      <c r="DN16">
        <f t="shared" si="27"/>
        <v>0</v>
      </c>
      <c r="DO16">
        <f t="shared" si="28"/>
        <v>4.4097222222222197E-2</v>
      </c>
      <c r="DP16">
        <f>IF(DO16=BO16,BP16,IF(DO16=BS16,BT16,IF(DO16=BW16,BX16,IF(DO16=CA16,CB16,IF(DO16=CE16,CF16,IF(DO16=CI16,CJ16,IF(DO16=CM16,CN16,IF(DO16=CQ16,CR16,IF(DO16=CU16,CV16,IF(DO16=CY16,CZ16,IF(DO16=DC16,DD16,IF(DO16=DG16,DH16,IF(DO16=DK16,DL16,0)))))))))))))</f>
        <v>8</v>
      </c>
      <c r="DQ16">
        <f>IF(DO16=BO16,BQ16,IF(DO16=BS16,BU16,IF(DO16=BW16,BY16,IF(DO16=CA16,CC16,IF(DO16=CE16,CG16,IF(DO16=CI16,CK16,IF(DO16=CM16,CO16,IF(DO16=CQ16,CS16,IF(DO16=CU16,CW16,IF(DO16=CY16,DA16,IF(DO16=DC16,DE16,IF(DO16=DG16,DI16,IF(DO16=DK16,DM16,0)))))))))))))</f>
        <v>1.0767899999999999</v>
      </c>
      <c r="DR16">
        <f t="shared" si="29"/>
        <v>0</v>
      </c>
      <c r="DS16">
        <f t="shared" si="30"/>
        <v>4.4097222222222197E-2</v>
      </c>
      <c r="DT16">
        <f>IF(DS16=BO16,BP16,IF(DS16=BS16,BT16,IF(DS16=BW16,BX16,IF(DS16=CA16,CB16,IF(DS16=CE16,CF16,IF(DS16=CI16,CJ16,IF(DS16=CM16,CN16,IF(DS16=CQ16,CR16,IF(DS16=CU16,CV16,IF(DS16=CY16,CZ16,IF(DS16=DC16,DD16,IF(DS16=DG16,DH16,IF(DS16=DK16,DL16,IF(DS16=DO16,DP16,0))))))))))))))</f>
        <v>8</v>
      </c>
      <c r="DU16">
        <f>IF(DS16=BO16,BQ16,IF(DS16=BS16,BU16,IF(DS16=BW16,BY16,IF(DS16=CA16,CC16,IF(DS16=CE16,CG16,IF(DS16=CI16,CK16,IF(DS16=CM16,CO16,IF(DS16=CQ16,CS16,IF(DS16=CU16,CW16,IF(DS16=CY16,DA16,IF(DS16=DC16,DE16,IF(DS16=DG16,DI16,IF(DS16=DK16,DM16,IF(DS16=DO16,DQ16,0))))))))))))))</f>
        <v>1.0767899999999999</v>
      </c>
      <c r="DV16">
        <f t="shared" si="31"/>
        <v>0</v>
      </c>
      <c r="DW16">
        <v>31226.480769230799</v>
      </c>
      <c r="DX16">
        <v>6</v>
      </c>
      <c r="DY16">
        <v>0</v>
      </c>
      <c r="DZ16">
        <v>0</v>
      </c>
      <c r="EA16">
        <v>0</v>
      </c>
      <c r="EB16">
        <v>14.0364762223093</v>
      </c>
      <c r="EC16">
        <v>0</v>
      </c>
      <c r="ED16">
        <v>0</v>
      </c>
      <c r="EE16">
        <v>4.4097222222222197E-2</v>
      </c>
      <c r="EF16">
        <v>1.0767899999999999</v>
      </c>
      <c r="EG16">
        <v>4.7017516519328701</v>
      </c>
      <c r="EH16">
        <v>9</v>
      </c>
      <c r="EI16">
        <v>0</v>
      </c>
      <c r="EJ16">
        <v>0</v>
      </c>
      <c r="EK16">
        <v>0</v>
      </c>
      <c r="EL16">
        <v>0</v>
      </c>
      <c r="EM16">
        <v>20</v>
      </c>
      <c r="EN16">
        <v>1</v>
      </c>
      <c r="EO16">
        <v>2</v>
      </c>
      <c r="EP16">
        <v>3</v>
      </c>
      <c r="EQ16">
        <v>60</v>
      </c>
      <c r="ER16">
        <v>14.1987814663817</v>
      </c>
      <c r="ES16">
        <v>4.7561184985223104</v>
      </c>
      <c r="ET16">
        <v>4.7561184985223104</v>
      </c>
      <c r="EU16">
        <v>1.2522536432156099</v>
      </c>
      <c r="EV16">
        <v>1.2522536432156099</v>
      </c>
      <c r="EW16">
        <v>0</v>
      </c>
      <c r="EX16">
        <v>1.2522536432156099</v>
      </c>
      <c r="EY16">
        <v>1.2522536432156099</v>
      </c>
      <c r="EZ16">
        <v>0</v>
      </c>
      <c r="FA16">
        <v>1.8641422422974001</v>
      </c>
      <c r="FB16">
        <v>1.8641422422974001</v>
      </c>
      <c r="FC16">
        <v>0</v>
      </c>
      <c r="FD16">
        <v>6.8675561846925302</v>
      </c>
      <c r="FE16">
        <v>6.8675561846925302</v>
      </c>
      <c r="FF16">
        <v>0</v>
      </c>
      <c r="FG16">
        <v>1.2522536432156099</v>
      </c>
      <c r="FH16">
        <v>1.2522536432156099</v>
      </c>
    </row>
    <row r="17" spans="1:164" x14ac:dyDescent="0.2">
      <c r="A17">
        <v>16</v>
      </c>
      <c r="B17">
        <v>21</v>
      </c>
      <c r="C17">
        <v>45</v>
      </c>
      <c r="D17">
        <v>1</v>
      </c>
      <c r="E17">
        <v>11</v>
      </c>
      <c r="F17" t="s">
        <v>140</v>
      </c>
      <c r="G17" t="s">
        <v>141</v>
      </c>
      <c r="H17">
        <v>3</v>
      </c>
      <c r="I17">
        <v>2</v>
      </c>
      <c r="K17" t="s">
        <v>142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4</v>
      </c>
      <c r="AE17">
        <v>6</v>
      </c>
      <c r="AF17">
        <v>3</v>
      </c>
      <c r="AG17">
        <v>7</v>
      </c>
      <c r="AH17">
        <v>12</v>
      </c>
      <c r="AI17">
        <v>0.32812222222222198</v>
      </c>
      <c r="AJ17">
        <v>21.280999999999999</v>
      </c>
      <c r="AK17">
        <v>0.60546111111111101</v>
      </c>
      <c r="AL17">
        <v>41.928159999999998</v>
      </c>
      <c r="AM17">
        <v>0.49956944444444401</v>
      </c>
      <c r="AN17">
        <v>39.458019999999998</v>
      </c>
      <c r="AO17">
        <v>0.49571388888888901</v>
      </c>
      <c r="AP17">
        <v>37.084519999999998</v>
      </c>
      <c r="AQ17">
        <v>0.519013888888889</v>
      </c>
      <c r="AR17">
        <v>37.412410000000001</v>
      </c>
      <c r="AS17">
        <v>0.48420000000000002</v>
      </c>
      <c r="AT17">
        <v>33.912550000000003</v>
      </c>
      <c r="AU17">
        <v>0.38354444444444402</v>
      </c>
      <c r="AV17">
        <v>28.377009999999999</v>
      </c>
      <c r="AW17">
        <v>0.35881944444444402</v>
      </c>
      <c r="AX17">
        <v>26.350840000000002</v>
      </c>
      <c r="AY17">
        <v>0.348308333333333</v>
      </c>
      <c r="AZ17">
        <v>24.794419999999999</v>
      </c>
      <c r="BA17">
        <v>0.33329999999999999</v>
      </c>
      <c r="BB17">
        <v>24.211449999999999</v>
      </c>
      <c r="BC17">
        <v>0.33975555555555598</v>
      </c>
      <c r="BD17">
        <v>21.756710000000002</v>
      </c>
      <c r="BE17">
        <v>0.23739722222222201</v>
      </c>
      <c r="BF17">
        <v>15.271240000000001</v>
      </c>
      <c r="BG17">
        <v>0.25705</v>
      </c>
      <c r="BH17">
        <v>14.906739999999999</v>
      </c>
      <c r="BI17">
        <v>0.24815000000000001</v>
      </c>
      <c r="BJ17">
        <v>9.8687299999999993</v>
      </c>
      <c r="BK17">
        <v>0.23482222222222199</v>
      </c>
      <c r="BL17">
        <v>8.8425399999999996</v>
      </c>
      <c r="BM17">
        <v>0.20424444444444401</v>
      </c>
      <c r="BN17">
        <v>7.5376500000000002</v>
      </c>
      <c r="BO17">
        <f t="shared" si="0"/>
        <v>0.20424444444444401</v>
      </c>
      <c r="BP17">
        <v>18</v>
      </c>
      <c r="BQ17">
        <v>7.5376500000000002</v>
      </c>
      <c r="BR17">
        <f t="shared" si="1"/>
        <v>0</v>
      </c>
      <c r="BS17">
        <f t="shared" si="2"/>
        <v>0.20424444444444401</v>
      </c>
      <c r="BT17">
        <f t="shared" si="3"/>
        <v>18</v>
      </c>
      <c r="BU17">
        <f t="shared" si="4"/>
        <v>7.5376500000000002</v>
      </c>
      <c r="BV17">
        <f t="shared" si="5"/>
        <v>0</v>
      </c>
      <c r="BW17">
        <f t="shared" si="6"/>
        <v>0.20424444444444401</v>
      </c>
      <c r="BX17">
        <f t="shared" si="32"/>
        <v>18</v>
      </c>
      <c r="BY17">
        <f t="shared" si="33"/>
        <v>7.5376500000000002</v>
      </c>
      <c r="BZ17">
        <f t="shared" si="7"/>
        <v>0</v>
      </c>
      <c r="CA17">
        <f t="shared" si="8"/>
        <v>0.20424444444444401</v>
      </c>
      <c r="CB17">
        <f>IF(CA17=BO17,BP17,IF(CA17=BS17,BT17,IF(CA17=BW17,BX17,0)))</f>
        <v>18</v>
      </c>
      <c r="CC17">
        <f>IF(CA17=BO17,BQ17,IF(CA17=BS17,BU17,IF(CA17=BW17,BY17,0)))</f>
        <v>7.5376500000000002</v>
      </c>
      <c r="CD17">
        <f t="shared" si="9"/>
        <v>0</v>
      </c>
      <c r="CE17">
        <f t="shared" si="10"/>
        <v>0.20424444444444401</v>
      </c>
      <c r="CF17">
        <f>IF(CE17=BO17,BP17,IF(CE17=BS17,BT17,IF(CE17=BW17,BX17,IF(CE17=CA17,CB17,0))))</f>
        <v>18</v>
      </c>
      <c r="CG17">
        <f>IF(CE17=BO17,BQ17,IF(CE17=BS17,BU17,IF(CE17=BW17,BY17,IF(CE17=CA17,CC17,0))))</f>
        <v>7.5376500000000002</v>
      </c>
      <c r="CH17">
        <f t="shared" si="11"/>
        <v>0</v>
      </c>
      <c r="CI17">
        <f t="shared" si="12"/>
        <v>0.20424444444444401</v>
      </c>
      <c r="CJ17">
        <f>IF(CI17=BO17,BP17,IF(CI17=BS17,BT17,IF(CI17=BW17,BX17,IF(CI17=CA17,CB17,IF(CI17=CE17,CF17,0)))))</f>
        <v>18</v>
      </c>
      <c r="CK17">
        <f>IF(CI17=BO17,BQ17,IF(CI17=BS17,BU17,IF(CI17=BW17,BY17,IF(CI17=CA17,CC17,IF(CI17=CE17,CG17,0)))))</f>
        <v>7.5376500000000002</v>
      </c>
      <c r="CL17">
        <f t="shared" si="13"/>
        <v>0</v>
      </c>
      <c r="CM17">
        <f t="shared" si="14"/>
        <v>0.20424444444444401</v>
      </c>
      <c r="CN17">
        <f>IF(CM17=BO17,BP17,IF(CM17=BS17,BT17,IF(CM17=BW17,BX17,IF(CM17=CA17,CB17,IF(CM17=CE17,CF17,IF(CM17=CI17,CJ17,0))))))</f>
        <v>18</v>
      </c>
      <c r="CO17">
        <f>IF(CM17=BO17,BQ17,IF(CM17=BS17,BU17,IF(CM17=BW17,BY17,IF(CM17=CA17,CC17,IF(CM17=CE17,CG17,IF(CM17=CI17,CK17,0))))))</f>
        <v>7.5376500000000002</v>
      </c>
      <c r="CP17">
        <f t="shared" si="15"/>
        <v>0</v>
      </c>
      <c r="CQ17">
        <f t="shared" si="16"/>
        <v>0.20424444444444401</v>
      </c>
      <c r="CR17">
        <f>IF(CQ17=BO17,BP17,IF(CQ17=BS17,BT17,IF(CQ17=BW17,BX17,IF(CQ17=CA17,CB17,IF(CQ17=CE17,CF17,IF(CQ17=CI17,CJ17,IF(CQ17=CM17,CN17,0)))))))</f>
        <v>18</v>
      </c>
      <c r="CS17">
        <f>IF(CQ17=BO17,BQ17,IF(CQ17=BS17,BU17,IF(CQ17=BW17,BY17,IF(CQ17=CA17,CC17,IF(CQ17=CE17,CG17,IF(CQ17=CI17,CK17,IF(CQ17=CM17,CO17,0)))))))</f>
        <v>7.5376500000000002</v>
      </c>
      <c r="CT17">
        <f t="shared" si="17"/>
        <v>0</v>
      </c>
      <c r="CU17">
        <f t="shared" si="18"/>
        <v>0.20424444444444401</v>
      </c>
      <c r="CV17">
        <f>IF(CU17=BO17,BP17,IF(CU17=BS17,BT17,IF(CU17=BW17,BX17,IF(CU17=CA17,CB17,IF(CU17=CE17,CF17,IF(CU17=CI17,CJ17,IF(CU17=CM17,CN17,IF(CU17=CQ17,CR17,0))))))))</f>
        <v>18</v>
      </c>
      <c r="CW17">
        <f>IF(CU17=BO17,BQ17,IF(CU17=BS17,BU17,IF(CU17=BW17,BY17,IF(CU17=CA17,CC17,IF(CU17=CE17,CG17,IF(CU17=CI17,CK17,IF(CU17=CM17,CO17,IF(CU17=CQ17,CS17,0))))))))</f>
        <v>7.5376500000000002</v>
      </c>
      <c r="CX17">
        <f t="shared" si="19"/>
        <v>0</v>
      </c>
      <c r="CY17">
        <f t="shared" si="20"/>
        <v>0.20424444444444401</v>
      </c>
      <c r="CZ17">
        <f>IF(CY17=BO17,BP17,IF(CY17=BS17,BT17,IF(CY17=BW17,BX17,IF(CY17=CA17,CB17,IF(CY17=CE17,CF17,IF(CY17=CI17,CJ17,IF(CY17=CM17,CN17,IF(CY17=CQ17,CR17,IF(CY17=CU17,CV17,0)))))))))</f>
        <v>18</v>
      </c>
      <c r="DA17">
        <f>IF(CY17=BO17,BQ17,IF(CY17=BS17,BU17,IF(CY17=BW17,BY17,IF(CY17=CA17,CC17,IF(CY17=CE17,CG17,IF(CY17=CI17,CK17,IF(CY17=CM17,CO17,IF(CY17=CQ17,CS17,IF(CY17=CU17,CW17,0)))))))))</f>
        <v>7.5376500000000002</v>
      </c>
      <c r="DB17">
        <f t="shared" si="21"/>
        <v>0</v>
      </c>
      <c r="DC17">
        <f t="shared" si="22"/>
        <v>0.20424444444444401</v>
      </c>
      <c r="DD17">
        <f>IF(DC17=BO17,BP17,IF(DC17=BS17,BT17,IF(DC17=BW17,BX17,IF(DC17=CA17,CB17,IF(DC17=CE17,CF17,IF(DC17=CI17,CJ17,IF(DC17=CM17,CN17,IF(DC17=CQ17,CR17,IF(DC17=CU17,CV17,IF(DC17=CY17,CZ17,0))))))))))</f>
        <v>18</v>
      </c>
      <c r="DE17">
        <f>IF(DC17=BO17,BQ17,IF(DC17=BS17,BU17,IF(DC17=BW17,BY17,IF(DC17=CA17,CC17,IF(DC17=CE17,CG17,IF(DC17=CI17,CK17,IF(DC17=CM17,CO17,IF(DC17=CQ17,CS17,IF(DC17=CU17,CW17,IF(DC17=CY17,DA17,0))))))))))</f>
        <v>7.5376500000000002</v>
      </c>
      <c r="DF17">
        <f t="shared" si="23"/>
        <v>0</v>
      </c>
      <c r="DG17">
        <f t="shared" si="24"/>
        <v>0.20424444444444401</v>
      </c>
      <c r="DH17">
        <f>IF(DG17=BO17,BP17,IF(DG17=BS17,BT17,IF(DG17=BW17,BX17,IF(DG17=CA17,CB17,IF(DG17=CE17,CF17,IF(DG17=CI17,CJ17,IF(DG17=CM17,CN17,IF(DG17=CQ17,CR17,IF(DG17=CU17,CV17,IF(DG17=CY17,CZ17,IF(DG17=DC17,DD17,0)))))))))))</f>
        <v>18</v>
      </c>
      <c r="DI17">
        <f>IF(DG17=BO17,BQ17,IF(DG17=BS17,BU17,IF(DG17=BW17,BY17,IF(DG17=CA17,CC17,IF(DG17=CE17,CG17,IF(DG17=CI17,CK17,IF(DG17=CM17,CO17,IF(DG17=CQ17,CS17,IF(DG17=CU17,CW17,IF(DG17=CY17,DA17,IF(DG17=DC17,DE17,0)))))))))))</f>
        <v>7.5376500000000002</v>
      </c>
      <c r="DJ17">
        <f t="shared" si="25"/>
        <v>0</v>
      </c>
      <c r="DK17">
        <f t="shared" si="26"/>
        <v>0.20424444444444401</v>
      </c>
      <c r="DL17">
        <f>IF(DK17=BO17,BP17,IF(DK17=BS17,BT17,IF(DK17=BW17,BX17,IF(DK17=CA17,CB17,IF(DK17=CE17,CF17,IF(DK17=CI17,CJ17,IF(DK17=CM17,CN17,IF(DK17=CQ17,CR17,IF(DK17=CU17,CV17,IF(DK17=CY17,CZ17,IF(DK17=DC17,DD17,IF(DK17=DG17,DH17,0))))))))))))</f>
        <v>18</v>
      </c>
      <c r="DM17">
        <f>IF(DK17=BO17,BQ17,IF(DK17=BS17,BU17,IF(DK17=BW17,BY17,IF(DK17=CA17,CC17,IF(DK17=CE17,CG17,IF(DK17=CI17,CK17,IF(DK17=CM17,CO17,IF(DK17=CQ17,CS17,IF(DK17=CU17,CW17,IF(DK17=CY17,DA17,IF(DK17=DC17,DE17,IF(DK17=DG17,DI17,0))))))))))))</f>
        <v>7.5376500000000002</v>
      </c>
      <c r="DN17">
        <f t="shared" si="27"/>
        <v>0</v>
      </c>
      <c r="DO17">
        <f t="shared" si="28"/>
        <v>0.20424444444444401</v>
      </c>
      <c r="DP17">
        <f>IF(DO17=BO17,BP17,IF(DO17=BS17,BT17,IF(DO17=BW17,BX17,IF(DO17=CA17,CB17,IF(DO17=CE17,CF17,IF(DO17=CI17,CJ17,IF(DO17=CM17,CN17,IF(DO17=CQ17,CR17,IF(DO17=CU17,CV17,IF(DO17=CY17,CZ17,IF(DO17=DC17,DD17,IF(DO17=DG17,DH17,IF(DO17=DK17,DL17,0)))))))))))))</f>
        <v>18</v>
      </c>
      <c r="DQ17">
        <f>IF(DO17=BO17,BQ17,IF(DO17=BS17,BU17,IF(DO17=BW17,BY17,IF(DO17=CA17,CC17,IF(DO17=CE17,CG17,IF(DO17=CI17,CK17,IF(DO17=CM17,CO17,IF(DO17=CQ17,CS17,IF(DO17=CU17,CW17,IF(DO17=CY17,DA17,IF(DO17=DC17,DE17,IF(DO17=DG17,DI17,IF(DO17=DK17,DM17,0)))))))))))))</f>
        <v>7.5376500000000002</v>
      </c>
      <c r="DR17">
        <f t="shared" si="29"/>
        <v>0</v>
      </c>
      <c r="DS17">
        <f t="shared" si="30"/>
        <v>0.23482222222222199</v>
      </c>
      <c r="DT17">
        <v>17</v>
      </c>
      <c r="DU17">
        <v>8.8425399999999996</v>
      </c>
      <c r="DV17">
        <f t="shared" si="31"/>
        <v>0</v>
      </c>
      <c r="DW17">
        <v>31226.480769230799</v>
      </c>
      <c r="DX17">
        <v>4</v>
      </c>
      <c r="DY17">
        <v>10</v>
      </c>
      <c r="DZ17">
        <v>10</v>
      </c>
      <c r="EA17">
        <v>10</v>
      </c>
      <c r="EB17">
        <v>14.0364762223093</v>
      </c>
      <c r="EC17">
        <v>2.5</v>
      </c>
      <c r="ED17">
        <v>0</v>
      </c>
      <c r="EE17">
        <v>0.20424444444444401</v>
      </c>
      <c r="EF17">
        <v>15.375819999999999</v>
      </c>
      <c r="EG17">
        <v>11.711359540467001</v>
      </c>
      <c r="EH17">
        <v>13</v>
      </c>
      <c r="EI17">
        <v>0.25</v>
      </c>
      <c r="EJ17">
        <v>0</v>
      </c>
      <c r="EK17">
        <v>0</v>
      </c>
      <c r="EL17">
        <v>0</v>
      </c>
      <c r="EM17">
        <v>53</v>
      </c>
      <c r="EN17">
        <v>2</v>
      </c>
      <c r="EO17">
        <v>1</v>
      </c>
      <c r="EP17">
        <v>12</v>
      </c>
      <c r="EQ17">
        <v>3</v>
      </c>
      <c r="ER17">
        <v>14.1987814663817</v>
      </c>
      <c r="ES17">
        <v>9.3178714551937105</v>
      </c>
      <c r="ET17">
        <v>9.3178714551937105</v>
      </c>
      <c r="EU17">
        <v>5.8000444647783898</v>
      </c>
      <c r="EV17">
        <v>5.8000444647783898</v>
      </c>
      <c r="EW17">
        <v>0</v>
      </c>
      <c r="EX17">
        <v>9.8911078158392396</v>
      </c>
      <c r="EY17">
        <v>9.8911078158392396</v>
      </c>
      <c r="EZ17">
        <v>0</v>
      </c>
      <c r="FA17">
        <v>5.8000444647783898</v>
      </c>
      <c r="FB17">
        <v>5.8000444647783898</v>
      </c>
      <c r="FC17">
        <v>0</v>
      </c>
      <c r="FD17">
        <v>14.0770663563671</v>
      </c>
      <c r="FE17">
        <v>14.0770663563671</v>
      </c>
      <c r="FF17">
        <v>0</v>
      </c>
      <c r="FG17">
        <v>5.8000444647783898</v>
      </c>
      <c r="FH17">
        <v>5.8000444647783898</v>
      </c>
    </row>
    <row r="18" spans="1:164" x14ac:dyDescent="0.2">
      <c r="A18">
        <v>17</v>
      </c>
      <c r="B18">
        <v>22</v>
      </c>
      <c r="C18">
        <v>46</v>
      </c>
      <c r="D18">
        <v>1</v>
      </c>
      <c r="E18">
        <v>11</v>
      </c>
      <c r="F18" t="s">
        <v>143</v>
      </c>
      <c r="G18" t="s">
        <v>144</v>
      </c>
      <c r="H18">
        <v>3</v>
      </c>
      <c r="I18">
        <v>1</v>
      </c>
      <c r="K18" t="s">
        <v>145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2</v>
      </c>
      <c r="AF18">
        <v>1</v>
      </c>
      <c r="AG18">
        <v>7</v>
      </c>
      <c r="AH18">
        <v>3</v>
      </c>
      <c r="AI18">
        <v>0.16748333333333301</v>
      </c>
      <c r="AJ18">
        <v>6.3378699999999997</v>
      </c>
      <c r="AK18">
        <v>0.35158333333333303</v>
      </c>
      <c r="AL18">
        <v>18.742000000000001</v>
      </c>
      <c r="AM18">
        <v>0.24569444444444399</v>
      </c>
      <c r="AN18">
        <v>16.27186</v>
      </c>
      <c r="AO18">
        <v>0.241836111111111</v>
      </c>
      <c r="AP18">
        <v>13.89836</v>
      </c>
      <c r="AQ18">
        <v>0.26513611111111102</v>
      </c>
      <c r="AR18">
        <v>14.22626</v>
      </c>
      <c r="AS18">
        <v>0.23032222222222201</v>
      </c>
      <c r="AT18">
        <v>10.7264</v>
      </c>
      <c r="AU18">
        <v>0.127461111111111</v>
      </c>
      <c r="AV18">
        <v>5.0532199999999996</v>
      </c>
      <c r="AW18">
        <v>6.5644444444444394E-2</v>
      </c>
      <c r="AX18">
        <v>1.1821999999999999</v>
      </c>
      <c r="AY18">
        <v>4.4097222222222197E-2</v>
      </c>
      <c r="AZ18">
        <v>1.0767899999999999</v>
      </c>
      <c r="BA18">
        <v>7.4475E-2</v>
      </c>
      <c r="BB18">
        <v>2.1208900000000002</v>
      </c>
      <c r="BC18">
        <v>0.15929722222222201</v>
      </c>
      <c r="BD18">
        <v>5.7191299999999998</v>
      </c>
      <c r="BE18">
        <v>0.21862500000000001</v>
      </c>
      <c r="BF18">
        <v>13.92179</v>
      </c>
      <c r="BG18">
        <v>0.28249999999999997</v>
      </c>
      <c r="BH18">
        <v>17.324639999999999</v>
      </c>
      <c r="BI18">
        <v>0.32632777777777799</v>
      </c>
      <c r="BJ18">
        <v>19.298549999999999</v>
      </c>
      <c r="BK18">
        <v>0.39446666666666702</v>
      </c>
      <c r="BL18">
        <v>26.1142</v>
      </c>
      <c r="BM18">
        <v>0.43596944444444402</v>
      </c>
      <c r="BN18">
        <v>28.10688</v>
      </c>
      <c r="BO18">
        <f t="shared" si="0"/>
        <v>4.4097222222222197E-2</v>
      </c>
      <c r="BP18">
        <v>8</v>
      </c>
      <c r="BQ18">
        <v>1.0767899999999999</v>
      </c>
      <c r="BR18">
        <f t="shared" si="1"/>
        <v>0</v>
      </c>
      <c r="BS18">
        <f t="shared" si="2"/>
        <v>4.4097222222222197E-2</v>
      </c>
      <c r="BT18">
        <f t="shared" si="3"/>
        <v>8</v>
      </c>
      <c r="BU18">
        <f t="shared" si="4"/>
        <v>1.0767899999999999</v>
      </c>
      <c r="BV18">
        <f t="shared" si="5"/>
        <v>0</v>
      </c>
      <c r="BW18">
        <f t="shared" si="6"/>
        <v>4.4097222222222197E-2</v>
      </c>
      <c r="BX18">
        <f t="shared" si="32"/>
        <v>8</v>
      </c>
      <c r="BY18">
        <f t="shared" si="33"/>
        <v>1.0767899999999999</v>
      </c>
      <c r="BZ18">
        <f t="shared" si="7"/>
        <v>0</v>
      </c>
      <c r="CA18">
        <f t="shared" si="8"/>
        <v>4.4097222222222197E-2</v>
      </c>
      <c r="CB18">
        <f>IF(CA18=BO18,BP18,IF(CA18=BS18,BT18,IF(CA18=BW18,BX18,0)))</f>
        <v>8</v>
      </c>
      <c r="CC18">
        <f>IF(CA18=BO18,BQ18,IF(CA18=BS18,BU18,IF(CA18=BW18,BY18,0)))</f>
        <v>1.0767899999999999</v>
      </c>
      <c r="CD18">
        <f t="shared" si="9"/>
        <v>0</v>
      </c>
      <c r="CE18">
        <f t="shared" si="10"/>
        <v>4.4097222222222197E-2</v>
      </c>
      <c r="CF18">
        <f>IF(CE18=BO18,BP18,IF(CE18=BS18,BT18,IF(CE18=BW18,BX18,IF(CE18=CA18,CB18,0))))</f>
        <v>8</v>
      </c>
      <c r="CG18">
        <f>IF(CE18=BO18,BQ18,IF(CE18=BS18,BU18,IF(CE18=BW18,BY18,IF(CE18=CA18,CC18,0))))</f>
        <v>1.0767899999999999</v>
      </c>
      <c r="CH18">
        <f t="shared" si="11"/>
        <v>0</v>
      </c>
      <c r="CI18">
        <f t="shared" si="12"/>
        <v>4.4097222222222197E-2</v>
      </c>
      <c r="CJ18">
        <f>IF(CI18=BO18,BP18,IF(CI18=BS18,BT18,IF(CI18=BW18,BX18,IF(CI18=CA18,CB18,IF(CI18=CE18,CF18,0)))))</f>
        <v>8</v>
      </c>
      <c r="CK18">
        <f>IF(CI18=BO18,BQ18,IF(CI18=BS18,BU18,IF(CI18=BW18,BY18,IF(CI18=CA18,CC18,IF(CI18=CE18,CG18,0)))))</f>
        <v>1.0767899999999999</v>
      </c>
      <c r="CL18">
        <f t="shared" si="13"/>
        <v>0</v>
      </c>
      <c r="CM18">
        <f t="shared" si="14"/>
        <v>4.4097222222222197E-2</v>
      </c>
      <c r="CN18">
        <f>IF(CM18=BO18,BP18,IF(CM18=BS18,BT18,IF(CM18=BW18,BX18,IF(CM18=CA18,CB18,IF(CM18=CE18,CF18,IF(CM18=CI18,CJ18,0))))))</f>
        <v>8</v>
      </c>
      <c r="CO18">
        <f>IF(CM18=BO18,BQ18,IF(CM18=BS18,BU18,IF(CM18=BW18,BY18,IF(CM18=CA18,CC18,IF(CM18=CE18,CG18,IF(CM18=CI18,CK18,0))))))</f>
        <v>1.0767899999999999</v>
      </c>
      <c r="CP18">
        <f t="shared" si="15"/>
        <v>0</v>
      </c>
      <c r="CQ18">
        <f t="shared" si="16"/>
        <v>6.5644444444444394E-2</v>
      </c>
      <c r="CR18">
        <v>7</v>
      </c>
      <c r="CS18">
        <v>1.1821999999999999</v>
      </c>
      <c r="CT18">
        <f t="shared" si="17"/>
        <v>3</v>
      </c>
      <c r="CU18">
        <f t="shared" si="18"/>
        <v>4.4097222222222197E-2</v>
      </c>
      <c r="CV18">
        <f>IF(CU18=BO18,BP18,IF(CU18=BS18,BT18,IF(CU18=BW18,BX18,IF(CU18=CA18,CB18,IF(CU18=CE18,CF18,IF(CU18=CI18,CJ18,IF(CU18=CM18,CN18,IF(CU18=CQ18,CR18,0))))))))</f>
        <v>8</v>
      </c>
      <c r="CW18">
        <f>IF(CU18=BO18,BQ18,IF(CU18=BS18,BU18,IF(CU18=BW18,BY18,IF(CU18=CA18,CC18,IF(CU18=CE18,CG18,IF(CU18=CI18,CK18,IF(CU18=CM18,CO18,IF(CU18=CQ18,CS18,0))))))))</f>
        <v>1.0767899999999999</v>
      </c>
      <c r="CX18">
        <f t="shared" si="19"/>
        <v>0</v>
      </c>
      <c r="CY18">
        <f t="shared" si="20"/>
        <v>4.4097222222222197E-2</v>
      </c>
      <c r="CZ18">
        <f>IF(CY18=BO18,BP18,IF(CY18=BS18,BT18,IF(CY18=BW18,BX18,IF(CY18=CA18,CB18,IF(CY18=CE18,CF18,IF(CY18=CI18,CJ18,IF(CY18=CM18,CN18,IF(CY18=CQ18,CR18,IF(CY18=CU18,CV18,0)))))))))</f>
        <v>8</v>
      </c>
      <c r="DA18">
        <f>IF(CY18=BO18,BQ18,IF(CY18=BS18,BU18,IF(CY18=BW18,BY18,IF(CY18=CA18,CC18,IF(CY18=CE18,CG18,IF(CY18=CI18,CK18,IF(CY18=CM18,CO18,IF(CY18=CQ18,CS18,IF(CY18=CU18,CW18,0)))))))))</f>
        <v>1.0767899999999999</v>
      </c>
      <c r="DB18">
        <f t="shared" si="21"/>
        <v>0</v>
      </c>
      <c r="DC18">
        <f t="shared" si="22"/>
        <v>4.4097222222222197E-2</v>
      </c>
      <c r="DD18">
        <f>IF(DC18=BO18,BP18,IF(DC18=BS18,BT18,IF(DC18=BW18,BX18,IF(DC18=CA18,CB18,IF(DC18=CE18,CF18,IF(DC18=CI18,CJ18,IF(DC18=CM18,CN18,IF(DC18=CQ18,CR18,IF(DC18=CU18,CV18,IF(DC18=CY18,CZ18,0))))))))))</f>
        <v>8</v>
      </c>
      <c r="DE18">
        <f>IF(DC18=BO18,BQ18,IF(DC18=BS18,BU18,IF(DC18=BW18,BY18,IF(DC18=CA18,CC18,IF(DC18=CE18,CG18,IF(DC18=CI18,CK18,IF(DC18=CM18,CO18,IF(DC18=CQ18,CS18,IF(DC18=CU18,CW18,IF(DC18=CY18,DA18,0))))))))))</f>
        <v>1.0767899999999999</v>
      </c>
      <c r="DF18">
        <f t="shared" si="23"/>
        <v>0</v>
      </c>
      <c r="DG18">
        <f t="shared" si="24"/>
        <v>4.4097222222222197E-2</v>
      </c>
      <c r="DH18">
        <f>IF(DG18=BO18,BP18,IF(DG18=BS18,BT18,IF(DG18=BW18,BX18,IF(DG18=CA18,CB18,IF(DG18=CE18,CF18,IF(DG18=CI18,CJ18,IF(DG18=CM18,CN18,IF(DG18=CQ18,CR18,IF(DG18=CU18,CV18,IF(DG18=CY18,CZ18,IF(DG18=DC18,DD18,0)))))))))))</f>
        <v>8</v>
      </c>
      <c r="DI18">
        <f>IF(DG18=BO18,BQ18,IF(DG18=BS18,BU18,IF(DG18=BW18,BY18,IF(DG18=CA18,CC18,IF(DG18=CE18,CG18,IF(DG18=CI18,CK18,IF(DG18=CM18,CO18,IF(DG18=CQ18,CS18,IF(DG18=CU18,CW18,IF(DG18=CY18,DA18,IF(DG18=DC18,DE18,0)))))))))))</f>
        <v>1.0767899999999999</v>
      </c>
      <c r="DJ18">
        <f t="shared" si="25"/>
        <v>0</v>
      </c>
      <c r="DK18">
        <f t="shared" si="26"/>
        <v>4.4097222222222197E-2</v>
      </c>
      <c r="DL18">
        <f>IF(DK18=BO18,BP18,IF(DK18=BS18,BT18,IF(DK18=BW18,BX18,IF(DK18=CA18,CB18,IF(DK18=CE18,CF18,IF(DK18=CI18,CJ18,IF(DK18=CM18,CN18,IF(DK18=CQ18,CR18,IF(DK18=CU18,CV18,IF(DK18=CY18,CZ18,IF(DK18=DC18,DD18,IF(DK18=DG18,DH18,0))))))))))))</f>
        <v>8</v>
      </c>
      <c r="DM18">
        <f>IF(DK18=BO18,BQ18,IF(DK18=BS18,BU18,IF(DK18=BW18,BY18,IF(DK18=CA18,CC18,IF(DK18=CE18,CG18,IF(DK18=CI18,CK18,IF(DK18=CM18,CO18,IF(DK18=CQ18,CS18,IF(DK18=CU18,CW18,IF(DK18=CY18,DA18,IF(DK18=DC18,DE18,IF(DK18=DG18,DI18,0))))))))))))</f>
        <v>1.0767899999999999</v>
      </c>
      <c r="DN18">
        <f t="shared" si="27"/>
        <v>0</v>
      </c>
      <c r="DO18">
        <f t="shared" si="28"/>
        <v>4.4097222222222197E-2</v>
      </c>
      <c r="DP18">
        <f>IF(DO18=BO18,BP18,IF(DO18=BS18,BT18,IF(DO18=BW18,BX18,IF(DO18=CA18,CB18,IF(DO18=CE18,CF18,IF(DO18=CI18,CJ18,IF(DO18=CM18,CN18,IF(DO18=CQ18,CR18,IF(DO18=CU18,CV18,IF(DO18=CY18,CZ18,IF(DO18=DC18,DD18,IF(DO18=DG18,DH18,IF(DO18=DK18,DL18,0)))))))))))))</f>
        <v>8</v>
      </c>
      <c r="DQ18">
        <f>IF(DO18=BO18,BQ18,IF(DO18=BS18,BU18,IF(DO18=BW18,BY18,IF(DO18=CA18,CC18,IF(DO18=CE18,CG18,IF(DO18=CI18,CK18,IF(DO18=CM18,CO18,IF(DO18=CQ18,CS18,IF(DO18=CU18,CW18,IF(DO18=CY18,DA18,IF(DO18=DC18,DE18,IF(DO18=DG18,DI18,IF(DO18=DK18,DM18,0)))))))))))))</f>
        <v>1.0767899999999999</v>
      </c>
      <c r="DR18">
        <f t="shared" si="29"/>
        <v>0</v>
      </c>
      <c r="DS18">
        <f t="shared" si="30"/>
        <v>4.4097222222222197E-2</v>
      </c>
      <c r="DT18">
        <f>IF(DS18=BO18,BP18,IF(DS18=BS18,BT18,IF(DS18=BW18,BX18,IF(DS18=CA18,CB18,IF(DS18=CE18,CF18,IF(DS18=CI18,CJ18,IF(DS18=CM18,CN18,IF(DS18=CQ18,CR18,IF(DS18=CU18,CV18,IF(DS18=CY18,CZ18,IF(DS18=DC18,DD18,IF(DS18=DG18,DH18,IF(DS18=DK18,DL18,IF(DS18=DO18,DP18,0))))))))))))))</f>
        <v>8</v>
      </c>
      <c r="DU18">
        <f>IF(DS18=BO18,BQ18,IF(DS18=BS18,BU18,IF(DS18=BW18,BY18,IF(DS18=CA18,CC18,IF(DS18=CE18,CG18,IF(DS18=CI18,CK18,IF(DS18=CM18,CO18,IF(DS18=CQ18,CS18,IF(DS18=CU18,CW18,IF(DS18=CY18,DA18,IF(DS18=DC18,DE18,IF(DS18=DG18,DI18,IF(DS18=DK18,DM18,IF(DS18=DO18,DQ18,0))))))))))))))</f>
        <v>1.0767899999999999</v>
      </c>
      <c r="DV18">
        <f t="shared" si="31"/>
        <v>0</v>
      </c>
      <c r="DW18">
        <v>22500.5</v>
      </c>
      <c r="DX18">
        <v>6</v>
      </c>
      <c r="DY18">
        <v>0</v>
      </c>
      <c r="DZ18">
        <v>0</v>
      </c>
      <c r="EA18">
        <v>0</v>
      </c>
      <c r="EB18">
        <v>10.114099490560401</v>
      </c>
      <c r="EC18">
        <v>0</v>
      </c>
      <c r="ED18">
        <v>0</v>
      </c>
      <c r="EE18">
        <v>4.4097222222222197E-2</v>
      </c>
      <c r="EF18">
        <v>1.0767899999999999</v>
      </c>
      <c r="EG18">
        <v>3.3878861926880401</v>
      </c>
      <c r="EH18">
        <v>8</v>
      </c>
      <c r="EI18">
        <v>0</v>
      </c>
      <c r="EJ18">
        <v>0</v>
      </c>
      <c r="EK18">
        <v>0</v>
      </c>
      <c r="EL18">
        <v>0</v>
      </c>
      <c r="EM18">
        <v>45</v>
      </c>
      <c r="EN18">
        <v>1</v>
      </c>
      <c r="EO18">
        <v>2</v>
      </c>
      <c r="EP18">
        <v>3</v>
      </c>
      <c r="EQ18">
        <v>1</v>
      </c>
      <c r="ER18">
        <v>14.1987814663817</v>
      </c>
      <c r="ES18">
        <v>4.7561184985223104</v>
      </c>
      <c r="ET18">
        <v>4.7561184985223104</v>
      </c>
      <c r="EU18">
        <v>1.2522536432156099</v>
      </c>
      <c r="EV18">
        <v>1.2522536432156099</v>
      </c>
      <c r="EW18">
        <v>0</v>
      </c>
      <c r="EX18">
        <v>1.2522536432156099</v>
      </c>
      <c r="EY18">
        <v>1.2522536432156099</v>
      </c>
      <c r="EZ18">
        <v>0</v>
      </c>
      <c r="FA18">
        <v>1.8641422422974001</v>
      </c>
      <c r="FB18">
        <v>1.8641422422974001</v>
      </c>
      <c r="FC18">
        <v>0</v>
      </c>
      <c r="FD18">
        <v>6.8675561846925302</v>
      </c>
      <c r="FE18">
        <v>6.8675561846925302</v>
      </c>
      <c r="FF18">
        <v>0</v>
      </c>
      <c r="FG18">
        <v>1.2522536432156099</v>
      </c>
      <c r="FH18">
        <v>1.2522536432156099</v>
      </c>
    </row>
    <row r="19" spans="1:164" x14ac:dyDescent="0.2">
      <c r="A19">
        <v>18</v>
      </c>
      <c r="B19">
        <v>23</v>
      </c>
      <c r="C19">
        <v>47</v>
      </c>
      <c r="D19">
        <v>1</v>
      </c>
      <c r="E19">
        <v>11</v>
      </c>
      <c r="F19" t="s">
        <v>146</v>
      </c>
      <c r="G19" t="s">
        <v>146</v>
      </c>
      <c r="H19">
        <v>3</v>
      </c>
      <c r="I19">
        <v>1</v>
      </c>
      <c r="K19" t="s">
        <v>147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1</v>
      </c>
      <c r="AD19">
        <v>11</v>
      </c>
      <c r="AE19">
        <v>14</v>
      </c>
      <c r="AF19">
        <v>7</v>
      </c>
      <c r="AG19">
        <v>10</v>
      </c>
      <c r="AH19">
        <v>3</v>
      </c>
      <c r="AI19">
        <v>0.16748333333333301</v>
      </c>
      <c r="AJ19">
        <v>6.3378699999999997</v>
      </c>
      <c r="AK19">
        <v>0.35158333333333303</v>
      </c>
      <c r="AL19">
        <v>18.742000000000001</v>
      </c>
      <c r="AM19">
        <v>0.24569444444444399</v>
      </c>
      <c r="AN19">
        <v>16.27186</v>
      </c>
      <c r="AO19">
        <v>0.241836111111111</v>
      </c>
      <c r="AP19">
        <v>13.89836</v>
      </c>
      <c r="AQ19">
        <v>0.26513611111111102</v>
      </c>
      <c r="AR19">
        <v>14.22626</v>
      </c>
      <c r="AS19">
        <v>0.23032222222222201</v>
      </c>
      <c r="AT19">
        <v>10.7264</v>
      </c>
      <c r="AU19">
        <v>0.127461111111111</v>
      </c>
      <c r="AV19">
        <v>5.0532199999999996</v>
      </c>
      <c r="AW19">
        <v>6.5644444444444394E-2</v>
      </c>
      <c r="AX19">
        <v>1.1821999999999999</v>
      </c>
      <c r="AY19">
        <v>4.4097222222222197E-2</v>
      </c>
      <c r="AZ19">
        <v>1.0767899999999999</v>
      </c>
      <c r="BA19">
        <v>7.4475E-2</v>
      </c>
      <c r="BB19">
        <v>2.1208900000000002</v>
      </c>
      <c r="BC19">
        <v>0.15929722222222201</v>
      </c>
      <c r="BD19">
        <v>5.7191299999999998</v>
      </c>
      <c r="BE19">
        <v>0.21862500000000001</v>
      </c>
      <c r="BF19">
        <v>13.92179</v>
      </c>
      <c r="BG19">
        <v>0.28249999999999997</v>
      </c>
      <c r="BH19">
        <v>17.324639999999999</v>
      </c>
      <c r="BI19">
        <v>0.32632777777777799</v>
      </c>
      <c r="BJ19">
        <v>19.298549999999999</v>
      </c>
      <c r="BK19">
        <v>0.39446666666666702</v>
      </c>
      <c r="BL19">
        <v>26.1142</v>
      </c>
      <c r="BM19">
        <v>0.43596944444444402</v>
      </c>
      <c r="BN19">
        <v>28.10688</v>
      </c>
      <c r="BO19">
        <f t="shared" si="0"/>
        <v>4.4097222222222197E-2</v>
      </c>
      <c r="BP19">
        <v>8</v>
      </c>
      <c r="BQ19">
        <v>1.0767899999999999</v>
      </c>
      <c r="BR19">
        <f t="shared" si="1"/>
        <v>0</v>
      </c>
      <c r="BS19">
        <f t="shared" si="2"/>
        <v>4.4097222222222197E-2</v>
      </c>
      <c r="BT19">
        <f t="shared" si="3"/>
        <v>8</v>
      </c>
      <c r="BU19">
        <f t="shared" si="4"/>
        <v>1.0767899999999999</v>
      </c>
      <c r="BV19">
        <f t="shared" si="5"/>
        <v>0</v>
      </c>
      <c r="BW19">
        <f t="shared" si="6"/>
        <v>4.4097222222222197E-2</v>
      </c>
      <c r="BX19">
        <f t="shared" si="32"/>
        <v>8</v>
      </c>
      <c r="BY19">
        <f t="shared" si="33"/>
        <v>1.0767899999999999</v>
      </c>
      <c r="BZ19">
        <f t="shared" si="7"/>
        <v>0</v>
      </c>
      <c r="CA19">
        <f t="shared" si="8"/>
        <v>4.4097222222222197E-2</v>
      </c>
      <c r="CB19">
        <f>IF(CA19=BO19,BP19,IF(CA19=BS19,BT19,IF(CA19=BW19,BX19,0)))</f>
        <v>8</v>
      </c>
      <c r="CC19">
        <f>IF(CA19=BO19,BQ19,IF(CA19=BS19,BU19,IF(CA19=BW19,BY19,0)))</f>
        <v>1.0767899999999999</v>
      </c>
      <c r="CD19">
        <f t="shared" si="9"/>
        <v>0</v>
      </c>
      <c r="CE19">
        <f t="shared" si="10"/>
        <v>4.4097222222222197E-2</v>
      </c>
      <c r="CF19">
        <f>IF(CE19=BO19,BP19,IF(CE19=BS19,BT19,IF(CE19=BW19,BX19,IF(CE19=CA19,CB19,0))))</f>
        <v>8</v>
      </c>
      <c r="CG19">
        <f>IF(CE19=BO19,BQ19,IF(CE19=BS19,BU19,IF(CE19=BW19,BY19,IF(CE19=CA19,CC19,0))))</f>
        <v>1.0767899999999999</v>
      </c>
      <c r="CH19">
        <f t="shared" si="11"/>
        <v>0</v>
      </c>
      <c r="CI19">
        <f t="shared" si="12"/>
        <v>4.4097222222222197E-2</v>
      </c>
      <c r="CJ19">
        <f>IF(CI19=BO19,BP19,IF(CI19=BS19,BT19,IF(CI19=BW19,BX19,IF(CI19=CA19,CB19,IF(CI19=CE19,CF19,0)))))</f>
        <v>8</v>
      </c>
      <c r="CK19">
        <f>IF(CI19=BO19,BQ19,IF(CI19=BS19,BU19,IF(CI19=BW19,BY19,IF(CI19=CA19,CC19,IF(CI19=CE19,CG19,0)))))</f>
        <v>1.0767899999999999</v>
      </c>
      <c r="CL19">
        <f t="shared" si="13"/>
        <v>0</v>
      </c>
      <c r="CM19">
        <f t="shared" si="14"/>
        <v>4.4097222222222197E-2</v>
      </c>
      <c r="CN19">
        <f>IF(CM19=BO19,BP19,IF(CM19=BS19,BT19,IF(CM19=BW19,BX19,IF(CM19=CA19,CB19,IF(CM19=CE19,CF19,IF(CM19=CI19,CJ19,0))))))</f>
        <v>8</v>
      </c>
      <c r="CO19">
        <f>IF(CM19=BO19,BQ19,IF(CM19=BS19,BU19,IF(CM19=BW19,BY19,IF(CM19=CA19,CC19,IF(CM19=CE19,CG19,IF(CM19=CI19,CK19,0))))))</f>
        <v>1.0767899999999999</v>
      </c>
      <c r="CP19">
        <f t="shared" si="15"/>
        <v>0</v>
      </c>
      <c r="CQ19">
        <f t="shared" si="16"/>
        <v>6.5644444444444394E-2</v>
      </c>
      <c r="CR19">
        <v>7</v>
      </c>
      <c r="CS19">
        <v>1.1821999999999999</v>
      </c>
      <c r="CT19">
        <f t="shared" si="17"/>
        <v>3</v>
      </c>
      <c r="CU19">
        <f t="shared" si="18"/>
        <v>4.4097222222222197E-2</v>
      </c>
      <c r="CV19">
        <f>IF(CU19=BO19,BP19,IF(CU19=BS19,BT19,IF(CU19=BW19,BX19,IF(CU19=CA19,CB19,IF(CU19=CE19,CF19,IF(CU19=CI19,CJ19,IF(CU19=CM19,CN19,IF(CU19=CQ19,CR19,0))))))))</f>
        <v>8</v>
      </c>
      <c r="CW19">
        <f>IF(CU19=BO19,BQ19,IF(CU19=BS19,BU19,IF(CU19=BW19,BY19,IF(CU19=CA19,CC19,IF(CU19=CE19,CG19,IF(CU19=CI19,CK19,IF(CU19=CM19,CO19,IF(CU19=CQ19,CS19,0))))))))</f>
        <v>1.0767899999999999</v>
      </c>
      <c r="CX19">
        <f t="shared" si="19"/>
        <v>0</v>
      </c>
      <c r="CY19">
        <f t="shared" si="20"/>
        <v>4.4097222222222197E-2</v>
      </c>
      <c r="CZ19">
        <f>IF(CY19=BO19,BP19,IF(CY19=BS19,BT19,IF(CY19=BW19,BX19,IF(CY19=CA19,CB19,IF(CY19=CE19,CF19,IF(CY19=CI19,CJ19,IF(CY19=CM19,CN19,IF(CY19=CQ19,CR19,IF(CY19=CU19,CV19,0)))))))))</f>
        <v>8</v>
      </c>
      <c r="DA19">
        <f>IF(CY19=BO19,BQ19,IF(CY19=BS19,BU19,IF(CY19=BW19,BY19,IF(CY19=CA19,CC19,IF(CY19=CE19,CG19,IF(CY19=CI19,CK19,IF(CY19=CM19,CO19,IF(CY19=CQ19,CS19,IF(CY19=CU19,CW19,0)))))))))</f>
        <v>1.0767899999999999</v>
      </c>
      <c r="DB19">
        <f t="shared" si="21"/>
        <v>0</v>
      </c>
      <c r="DC19">
        <f t="shared" si="22"/>
        <v>4.4097222222222197E-2</v>
      </c>
      <c r="DD19">
        <f>IF(DC19=BO19,BP19,IF(DC19=BS19,BT19,IF(DC19=BW19,BX19,IF(DC19=CA19,CB19,IF(DC19=CE19,CF19,IF(DC19=CI19,CJ19,IF(DC19=CM19,CN19,IF(DC19=CQ19,CR19,IF(DC19=CU19,CV19,IF(DC19=CY19,CZ19,0))))))))))</f>
        <v>8</v>
      </c>
      <c r="DE19">
        <f>IF(DC19=BO19,BQ19,IF(DC19=BS19,BU19,IF(DC19=BW19,BY19,IF(DC19=CA19,CC19,IF(DC19=CE19,CG19,IF(DC19=CI19,CK19,IF(DC19=CM19,CO19,IF(DC19=CQ19,CS19,IF(DC19=CU19,CW19,IF(DC19=CY19,DA19,0))))))))))</f>
        <v>1.0767899999999999</v>
      </c>
      <c r="DF19">
        <f t="shared" si="23"/>
        <v>0</v>
      </c>
      <c r="DG19">
        <f t="shared" si="24"/>
        <v>4.4097222222222197E-2</v>
      </c>
      <c r="DH19">
        <f>IF(DG19=BO19,BP19,IF(DG19=BS19,BT19,IF(DG19=BW19,BX19,IF(DG19=CA19,CB19,IF(DG19=CE19,CF19,IF(DG19=CI19,CJ19,IF(DG19=CM19,CN19,IF(DG19=CQ19,CR19,IF(DG19=CU19,CV19,IF(DG19=CY19,CZ19,IF(DG19=DC19,DD19,0)))))))))))</f>
        <v>8</v>
      </c>
      <c r="DI19">
        <f>IF(DG19=BO19,BQ19,IF(DG19=BS19,BU19,IF(DG19=BW19,BY19,IF(DG19=CA19,CC19,IF(DG19=CE19,CG19,IF(DG19=CI19,CK19,IF(DG19=CM19,CO19,IF(DG19=CQ19,CS19,IF(DG19=CU19,CW19,IF(DG19=CY19,DA19,IF(DG19=DC19,DE19,0)))))))))))</f>
        <v>1.0767899999999999</v>
      </c>
      <c r="DJ19">
        <f t="shared" si="25"/>
        <v>0</v>
      </c>
      <c r="DK19">
        <f t="shared" si="26"/>
        <v>4.4097222222222197E-2</v>
      </c>
      <c r="DL19">
        <f>IF(DK19=BO19,BP19,IF(DK19=BS19,BT19,IF(DK19=BW19,BX19,IF(DK19=CA19,CB19,IF(DK19=CE19,CF19,IF(DK19=CI19,CJ19,IF(DK19=CM19,CN19,IF(DK19=CQ19,CR19,IF(DK19=CU19,CV19,IF(DK19=CY19,CZ19,IF(DK19=DC19,DD19,IF(DK19=DG19,DH19,0))))))))))))</f>
        <v>8</v>
      </c>
      <c r="DM19">
        <f>IF(DK19=BO19,BQ19,IF(DK19=BS19,BU19,IF(DK19=BW19,BY19,IF(DK19=CA19,CC19,IF(DK19=CE19,CG19,IF(DK19=CI19,CK19,IF(DK19=CM19,CO19,IF(DK19=CQ19,CS19,IF(DK19=CU19,CW19,IF(DK19=CY19,DA19,IF(DK19=DC19,DE19,IF(DK19=DG19,DI19,0))))))))))))</f>
        <v>1.0767899999999999</v>
      </c>
      <c r="DN19">
        <f t="shared" si="27"/>
        <v>0</v>
      </c>
      <c r="DO19">
        <f t="shared" si="28"/>
        <v>4.4097222222222197E-2</v>
      </c>
      <c r="DP19">
        <f>IF(DO19=BO19,BP19,IF(DO19=BS19,BT19,IF(DO19=BW19,BX19,IF(DO19=CA19,CB19,IF(DO19=CE19,CF19,IF(DO19=CI19,CJ19,IF(DO19=CM19,CN19,IF(DO19=CQ19,CR19,IF(DO19=CU19,CV19,IF(DO19=CY19,CZ19,IF(DO19=DC19,DD19,IF(DO19=DG19,DH19,IF(DO19=DK19,DL19,0)))))))))))))</f>
        <v>8</v>
      </c>
      <c r="DQ19">
        <f>IF(DO19=BO19,BQ19,IF(DO19=BS19,BU19,IF(DO19=BW19,BY19,IF(DO19=CA19,CC19,IF(DO19=CE19,CG19,IF(DO19=CI19,CK19,IF(DO19=CM19,CO19,IF(DO19=CQ19,CS19,IF(DO19=CU19,CW19,IF(DO19=CY19,DA19,IF(DO19=DC19,DE19,IF(DO19=DG19,DI19,IF(DO19=DK19,DM19,0)))))))))))))</f>
        <v>1.0767899999999999</v>
      </c>
      <c r="DR19">
        <f t="shared" si="29"/>
        <v>0</v>
      </c>
      <c r="DS19">
        <f t="shared" si="30"/>
        <v>4.4097222222222197E-2</v>
      </c>
      <c r="DT19">
        <f>IF(DS19=BO19,BP19,IF(DS19=BS19,BT19,IF(DS19=BW19,BX19,IF(DS19=CA19,CB19,IF(DS19=CE19,CF19,IF(DS19=CI19,CJ19,IF(DS19=CM19,CN19,IF(DS19=CQ19,CR19,IF(DS19=CU19,CV19,IF(DS19=CY19,CZ19,IF(DS19=DC19,DD19,IF(DS19=DG19,DH19,IF(DS19=DK19,DL19,IF(DS19=DO19,DP19,0))))))))))))))</f>
        <v>8</v>
      </c>
      <c r="DU19">
        <f>IF(DS19=BO19,BQ19,IF(DS19=BS19,BU19,IF(DS19=BW19,BY19,IF(DS19=CA19,CC19,IF(DS19=CE19,CG19,IF(DS19=CI19,CK19,IF(DS19=CM19,CO19,IF(DS19=CQ19,CS19,IF(DS19=CU19,CW19,IF(DS19=CY19,DA19,IF(DS19=DC19,DE19,IF(DS19=DG19,DI19,IF(DS19=DK19,DM19,IF(DS19=DO19,DQ19,0))))))))))))))</f>
        <v>1.0767899999999999</v>
      </c>
      <c r="DV19">
        <f t="shared" si="31"/>
        <v>0</v>
      </c>
      <c r="DW19">
        <v>37501</v>
      </c>
      <c r="DX19">
        <v>6</v>
      </c>
      <c r="DY19">
        <v>0</v>
      </c>
      <c r="DZ19">
        <v>0</v>
      </c>
      <c r="EA19">
        <v>0</v>
      </c>
      <c r="EB19">
        <v>16.856907401857999</v>
      </c>
      <c r="EC19">
        <v>0</v>
      </c>
      <c r="ED19">
        <v>0</v>
      </c>
      <c r="EE19">
        <v>4.4097222222222197E-2</v>
      </c>
      <c r="EF19">
        <v>1.0767899999999999</v>
      </c>
      <c r="EG19">
        <v>5.6465020827090102</v>
      </c>
      <c r="EH19">
        <v>8</v>
      </c>
      <c r="EI19">
        <v>0</v>
      </c>
      <c r="EJ19">
        <v>0</v>
      </c>
      <c r="EK19">
        <v>0</v>
      </c>
      <c r="EL19">
        <v>0</v>
      </c>
      <c r="EM19">
        <v>42</v>
      </c>
      <c r="EN19">
        <v>1</v>
      </c>
      <c r="EO19">
        <v>2</v>
      </c>
      <c r="EP19">
        <v>3</v>
      </c>
      <c r="EQ19">
        <v>7</v>
      </c>
      <c r="ER19">
        <v>14.1987814663817</v>
      </c>
      <c r="ES19">
        <v>4.7561184985223104</v>
      </c>
      <c r="ET19">
        <v>4.7561184985223104</v>
      </c>
      <c r="EU19">
        <v>1.2522536432156099</v>
      </c>
      <c r="EV19">
        <v>1.2522536432156099</v>
      </c>
      <c r="EW19">
        <v>0</v>
      </c>
      <c r="EX19">
        <v>1.2522536432156099</v>
      </c>
      <c r="EY19">
        <v>1.2522536432156099</v>
      </c>
      <c r="EZ19">
        <v>0</v>
      </c>
      <c r="FA19">
        <v>1.8641422422974001</v>
      </c>
      <c r="FB19">
        <v>1.8641422422974001</v>
      </c>
      <c r="FC19">
        <v>0</v>
      </c>
      <c r="FD19">
        <v>6.8675561846925302</v>
      </c>
      <c r="FE19">
        <v>6.8675561846925302</v>
      </c>
      <c r="FF19">
        <v>0</v>
      </c>
      <c r="FG19">
        <v>1.2522536432156099</v>
      </c>
      <c r="FH19">
        <v>1.2522536432156099</v>
      </c>
    </row>
    <row r="20" spans="1:164" x14ac:dyDescent="0.2">
      <c r="A20">
        <v>19</v>
      </c>
      <c r="B20">
        <v>24</v>
      </c>
      <c r="C20">
        <v>49</v>
      </c>
      <c r="D20">
        <v>3</v>
      </c>
      <c r="E20">
        <v>12</v>
      </c>
      <c r="F20" t="s">
        <v>146</v>
      </c>
      <c r="G20" t="s">
        <v>148</v>
      </c>
      <c r="H20">
        <v>3</v>
      </c>
      <c r="I20">
        <v>1</v>
      </c>
      <c r="K20" t="s">
        <v>149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3</v>
      </c>
      <c r="AC20">
        <v>0</v>
      </c>
      <c r="AD20">
        <v>10</v>
      </c>
      <c r="AE20">
        <v>14</v>
      </c>
      <c r="AF20">
        <v>7</v>
      </c>
      <c r="AG20">
        <v>10</v>
      </c>
      <c r="AH20">
        <v>3</v>
      </c>
      <c r="AI20">
        <v>0.16748333333333301</v>
      </c>
      <c r="AJ20">
        <v>6.3378699999999997</v>
      </c>
      <c r="AK20">
        <v>0.35158333333333303</v>
      </c>
      <c r="AL20">
        <v>18.742000000000001</v>
      </c>
      <c r="AM20">
        <v>0.24569444444444399</v>
      </c>
      <c r="AN20">
        <v>16.27186</v>
      </c>
      <c r="AO20">
        <v>0.241836111111111</v>
      </c>
      <c r="AP20">
        <v>13.89836</v>
      </c>
      <c r="AQ20">
        <v>0.26513611111111102</v>
      </c>
      <c r="AR20">
        <v>14.22626</v>
      </c>
      <c r="AS20">
        <v>0.23032222222222201</v>
      </c>
      <c r="AT20">
        <v>10.7264</v>
      </c>
      <c r="AU20">
        <v>0.127461111111111</v>
      </c>
      <c r="AV20">
        <v>5.0532199999999996</v>
      </c>
      <c r="AW20">
        <v>6.5644444444444394E-2</v>
      </c>
      <c r="AX20">
        <v>1.1821999999999999</v>
      </c>
      <c r="AY20">
        <v>4.4097222222222197E-2</v>
      </c>
      <c r="AZ20">
        <v>1.0767899999999999</v>
      </c>
      <c r="BA20">
        <v>7.4475E-2</v>
      </c>
      <c r="BB20">
        <v>2.1208900000000002</v>
      </c>
      <c r="BC20">
        <v>0.15929722222222201</v>
      </c>
      <c r="BD20">
        <v>5.7191299999999998</v>
      </c>
      <c r="BE20">
        <v>0.21862500000000001</v>
      </c>
      <c r="BF20">
        <v>13.92179</v>
      </c>
      <c r="BG20">
        <v>0.28249999999999997</v>
      </c>
      <c r="BH20">
        <v>17.324639999999999</v>
      </c>
      <c r="BI20">
        <v>0.32632777777777799</v>
      </c>
      <c r="BJ20">
        <v>19.298549999999999</v>
      </c>
      <c r="BK20">
        <v>0.39446666666666702</v>
      </c>
      <c r="BL20">
        <v>26.1142</v>
      </c>
      <c r="BM20">
        <v>0.43596944444444402</v>
      </c>
      <c r="BN20">
        <v>28.10688</v>
      </c>
      <c r="BO20">
        <f t="shared" si="0"/>
        <v>4.4097222222222197E-2</v>
      </c>
      <c r="BP20">
        <v>8</v>
      </c>
      <c r="BQ20">
        <v>1.0767899999999999</v>
      </c>
      <c r="BR20">
        <f t="shared" si="1"/>
        <v>0</v>
      </c>
      <c r="BS20">
        <f t="shared" si="2"/>
        <v>4.4097222222222197E-2</v>
      </c>
      <c r="BT20">
        <f t="shared" si="3"/>
        <v>8</v>
      </c>
      <c r="BU20">
        <f t="shared" si="4"/>
        <v>1.0767899999999999</v>
      </c>
      <c r="BV20">
        <f t="shared" si="5"/>
        <v>0</v>
      </c>
      <c r="BW20">
        <f t="shared" si="6"/>
        <v>4.4097222222222197E-2</v>
      </c>
      <c r="BX20">
        <f t="shared" si="32"/>
        <v>8</v>
      </c>
      <c r="BY20">
        <f t="shared" si="33"/>
        <v>1.0767899999999999</v>
      </c>
      <c r="BZ20">
        <f t="shared" si="7"/>
        <v>0</v>
      </c>
      <c r="CA20">
        <f t="shared" si="8"/>
        <v>4.4097222222222197E-2</v>
      </c>
      <c r="CB20">
        <f>IF(CA20=BO20,BP20,IF(CA20=BS20,BT20,IF(CA20=BW20,BX20,0)))</f>
        <v>8</v>
      </c>
      <c r="CC20">
        <f>IF(CA20=BO20,BQ20,IF(CA20=BS20,BU20,IF(CA20=BW20,BY20,0)))</f>
        <v>1.0767899999999999</v>
      </c>
      <c r="CD20">
        <f t="shared" si="9"/>
        <v>0</v>
      </c>
      <c r="CE20">
        <f t="shared" si="10"/>
        <v>4.4097222222222197E-2</v>
      </c>
      <c r="CF20">
        <f>IF(CE20=BO20,BP20,IF(CE20=BS20,BT20,IF(CE20=BW20,BX20,IF(CE20=CA20,CB20,0))))</f>
        <v>8</v>
      </c>
      <c r="CG20">
        <f>IF(CE20=BO20,BQ20,IF(CE20=BS20,BU20,IF(CE20=BW20,BY20,IF(CE20=CA20,CC20,0))))</f>
        <v>1.0767899999999999</v>
      </c>
      <c r="CH20">
        <f t="shared" si="11"/>
        <v>0</v>
      </c>
      <c r="CI20">
        <f t="shared" si="12"/>
        <v>4.4097222222222197E-2</v>
      </c>
      <c r="CJ20">
        <f>IF(CI20=BO20,BP20,IF(CI20=BS20,BT20,IF(CI20=BW20,BX20,IF(CI20=CA20,CB20,IF(CI20=CE20,CF20,0)))))</f>
        <v>8</v>
      </c>
      <c r="CK20">
        <f>IF(CI20=BO20,BQ20,IF(CI20=BS20,BU20,IF(CI20=BW20,BY20,IF(CI20=CA20,CC20,IF(CI20=CE20,CG20,0)))))</f>
        <v>1.0767899999999999</v>
      </c>
      <c r="CL20">
        <f t="shared" si="13"/>
        <v>0</v>
      </c>
      <c r="CM20">
        <f t="shared" si="14"/>
        <v>4.4097222222222197E-2</v>
      </c>
      <c r="CN20">
        <f>IF(CM20=BO20,BP20,IF(CM20=BS20,BT20,IF(CM20=BW20,BX20,IF(CM20=CA20,CB20,IF(CM20=CE20,CF20,IF(CM20=CI20,CJ20,0))))))</f>
        <v>8</v>
      </c>
      <c r="CO20">
        <f>IF(CM20=BO20,BQ20,IF(CM20=BS20,BU20,IF(CM20=BW20,BY20,IF(CM20=CA20,CC20,IF(CM20=CE20,CG20,IF(CM20=CI20,CK20,0))))))</f>
        <v>1.0767899999999999</v>
      </c>
      <c r="CP20">
        <f t="shared" si="15"/>
        <v>0</v>
      </c>
      <c r="CQ20">
        <f t="shared" si="16"/>
        <v>6.5644444444444394E-2</v>
      </c>
      <c r="CR20">
        <v>7</v>
      </c>
      <c r="CS20">
        <v>1.1821999999999999</v>
      </c>
      <c r="CT20">
        <f t="shared" si="17"/>
        <v>3</v>
      </c>
      <c r="CU20">
        <f t="shared" si="18"/>
        <v>4.4097222222222197E-2</v>
      </c>
      <c r="CV20">
        <f>IF(CU20=BO20,BP20,IF(CU20=BS20,BT20,IF(CU20=BW20,BX20,IF(CU20=CA20,CB20,IF(CU20=CE20,CF20,IF(CU20=CI20,CJ20,IF(CU20=CM20,CN20,IF(CU20=CQ20,CR20,0))))))))</f>
        <v>8</v>
      </c>
      <c r="CW20">
        <f>IF(CU20=BO20,BQ20,IF(CU20=BS20,BU20,IF(CU20=BW20,BY20,IF(CU20=CA20,CC20,IF(CU20=CE20,CG20,IF(CU20=CI20,CK20,IF(CU20=CM20,CO20,IF(CU20=CQ20,CS20,0))))))))</f>
        <v>1.0767899999999999</v>
      </c>
      <c r="CX20">
        <f t="shared" si="19"/>
        <v>0</v>
      </c>
      <c r="CY20">
        <f t="shared" si="20"/>
        <v>4.4097222222222197E-2</v>
      </c>
      <c r="CZ20">
        <f>IF(CY20=BO20,BP20,IF(CY20=BS20,BT20,IF(CY20=BW20,BX20,IF(CY20=CA20,CB20,IF(CY20=CE20,CF20,IF(CY20=CI20,CJ20,IF(CY20=CM20,CN20,IF(CY20=CQ20,CR20,IF(CY20=CU20,CV20,0)))))))))</f>
        <v>8</v>
      </c>
      <c r="DA20">
        <f>IF(CY20=BO20,BQ20,IF(CY20=BS20,BU20,IF(CY20=BW20,BY20,IF(CY20=CA20,CC20,IF(CY20=CE20,CG20,IF(CY20=CI20,CK20,IF(CY20=CM20,CO20,IF(CY20=CQ20,CS20,IF(CY20=CU20,CW20,0)))))))))</f>
        <v>1.0767899999999999</v>
      </c>
      <c r="DB20">
        <f t="shared" si="21"/>
        <v>0</v>
      </c>
      <c r="DC20">
        <f t="shared" si="22"/>
        <v>4.4097222222222197E-2</v>
      </c>
      <c r="DD20">
        <f>IF(DC20=BO20,BP20,IF(DC20=BS20,BT20,IF(DC20=BW20,BX20,IF(DC20=CA20,CB20,IF(DC20=CE20,CF20,IF(DC20=CI20,CJ20,IF(DC20=CM20,CN20,IF(DC20=CQ20,CR20,IF(DC20=CU20,CV20,IF(DC20=CY20,CZ20,0))))))))))</f>
        <v>8</v>
      </c>
      <c r="DE20">
        <f>IF(DC20=BO20,BQ20,IF(DC20=BS20,BU20,IF(DC20=BW20,BY20,IF(DC20=CA20,CC20,IF(DC20=CE20,CG20,IF(DC20=CI20,CK20,IF(DC20=CM20,CO20,IF(DC20=CQ20,CS20,IF(DC20=CU20,CW20,IF(DC20=CY20,DA20,0))))))))))</f>
        <v>1.0767899999999999</v>
      </c>
      <c r="DF20">
        <f t="shared" si="23"/>
        <v>0</v>
      </c>
      <c r="DG20">
        <f t="shared" si="24"/>
        <v>4.4097222222222197E-2</v>
      </c>
      <c r="DH20">
        <f>IF(DG20=BO20,BP20,IF(DG20=BS20,BT20,IF(DG20=BW20,BX20,IF(DG20=CA20,CB20,IF(DG20=CE20,CF20,IF(DG20=CI20,CJ20,IF(DG20=CM20,CN20,IF(DG20=CQ20,CR20,IF(DG20=CU20,CV20,IF(DG20=CY20,CZ20,IF(DG20=DC20,DD20,0)))))))))))</f>
        <v>8</v>
      </c>
      <c r="DI20">
        <f>IF(DG20=BO20,BQ20,IF(DG20=BS20,BU20,IF(DG20=BW20,BY20,IF(DG20=CA20,CC20,IF(DG20=CE20,CG20,IF(DG20=CI20,CK20,IF(DG20=CM20,CO20,IF(DG20=CQ20,CS20,IF(DG20=CU20,CW20,IF(DG20=CY20,DA20,IF(DG20=DC20,DE20,0)))))))))))</f>
        <v>1.0767899999999999</v>
      </c>
      <c r="DJ20">
        <f t="shared" si="25"/>
        <v>0</v>
      </c>
      <c r="DK20">
        <f t="shared" si="26"/>
        <v>4.4097222222222197E-2</v>
      </c>
      <c r="DL20">
        <f>IF(DK20=BO20,BP20,IF(DK20=BS20,BT20,IF(DK20=BW20,BX20,IF(DK20=CA20,CB20,IF(DK20=CE20,CF20,IF(DK20=CI20,CJ20,IF(DK20=CM20,CN20,IF(DK20=CQ20,CR20,IF(DK20=CU20,CV20,IF(DK20=CY20,CZ20,IF(DK20=DC20,DD20,IF(DK20=DG20,DH20,0))))))))))))</f>
        <v>8</v>
      </c>
      <c r="DM20">
        <f>IF(DK20=BO20,BQ20,IF(DK20=BS20,BU20,IF(DK20=BW20,BY20,IF(DK20=CA20,CC20,IF(DK20=CE20,CG20,IF(DK20=CI20,CK20,IF(DK20=CM20,CO20,IF(DK20=CQ20,CS20,IF(DK20=CU20,CW20,IF(DK20=CY20,DA20,IF(DK20=DC20,DE20,IF(DK20=DG20,DI20,0))))))))))))</f>
        <v>1.0767899999999999</v>
      </c>
      <c r="DN20">
        <f t="shared" si="27"/>
        <v>0</v>
      </c>
      <c r="DO20">
        <f t="shared" si="28"/>
        <v>4.4097222222222197E-2</v>
      </c>
      <c r="DP20">
        <f>IF(DO20=BO20,BP20,IF(DO20=BS20,BT20,IF(DO20=BW20,BX20,IF(DO20=CA20,CB20,IF(DO20=CE20,CF20,IF(DO20=CI20,CJ20,IF(DO20=CM20,CN20,IF(DO20=CQ20,CR20,IF(DO20=CU20,CV20,IF(DO20=CY20,CZ20,IF(DO20=DC20,DD20,IF(DO20=DG20,DH20,IF(DO20=DK20,DL20,0)))))))))))))</f>
        <v>8</v>
      </c>
      <c r="DQ20">
        <f>IF(DO20=BO20,BQ20,IF(DO20=BS20,BU20,IF(DO20=BW20,BY20,IF(DO20=CA20,CC20,IF(DO20=CE20,CG20,IF(DO20=CI20,CK20,IF(DO20=CM20,CO20,IF(DO20=CQ20,CS20,IF(DO20=CU20,CW20,IF(DO20=CY20,DA20,IF(DO20=DC20,DE20,IF(DO20=DG20,DI20,IF(DO20=DK20,DM20,0)))))))))))))</f>
        <v>1.0767899999999999</v>
      </c>
      <c r="DR20">
        <f t="shared" si="29"/>
        <v>0</v>
      </c>
      <c r="DS20">
        <f t="shared" si="30"/>
        <v>4.4097222222222197E-2</v>
      </c>
      <c r="DT20">
        <f>IF(DS20=BO20,BP20,IF(DS20=BS20,BT20,IF(DS20=BW20,BX20,IF(DS20=CA20,CB20,IF(DS20=CE20,CF20,IF(DS20=CI20,CJ20,IF(DS20=CM20,CN20,IF(DS20=CQ20,CR20,IF(DS20=CU20,CV20,IF(DS20=CY20,CZ20,IF(DS20=DC20,DD20,IF(DS20=DG20,DH20,IF(DS20=DK20,DL20,IF(DS20=DO20,DP20,0))))))))))))))</f>
        <v>8</v>
      </c>
      <c r="DU20">
        <f>IF(DS20=BO20,BQ20,IF(DS20=BS20,BU20,IF(DS20=BW20,BY20,IF(DS20=CA20,CC20,IF(DS20=CE20,CG20,IF(DS20=CI20,CK20,IF(DS20=CM20,CO20,IF(DS20=CQ20,CS20,IF(DS20=CU20,CW20,IF(DS20=CY20,DA20,IF(DS20=DC20,DE20,IF(DS20=DG20,DI20,IF(DS20=DK20,DM20,IF(DS20=DO20,DQ20,0))))))))))))))</f>
        <v>1.0767899999999999</v>
      </c>
      <c r="DV20">
        <f t="shared" si="31"/>
        <v>0</v>
      </c>
      <c r="DW20">
        <v>37501</v>
      </c>
      <c r="DX20">
        <v>6</v>
      </c>
      <c r="DY20">
        <v>0</v>
      </c>
      <c r="DZ20">
        <v>0</v>
      </c>
      <c r="EA20">
        <v>0</v>
      </c>
      <c r="EB20">
        <v>16.856907401857999</v>
      </c>
      <c r="EC20">
        <v>0</v>
      </c>
      <c r="ED20">
        <v>0</v>
      </c>
      <c r="EE20">
        <v>4.4097222222222197E-2</v>
      </c>
      <c r="EF20">
        <v>1.0767899999999999</v>
      </c>
      <c r="EG20">
        <v>5.6465020827090102</v>
      </c>
      <c r="EH20">
        <v>8</v>
      </c>
      <c r="EI20">
        <v>0</v>
      </c>
      <c r="EJ20">
        <v>0</v>
      </c>
      <c r="EK20">
        <v>0</v>
      </c>
      <c r="EL20">
        <v>0</v>
      </c>
      <c r="EM20">
        <v>42</v>
      </c>
      <c r="EN20">
        <v>1</v>
      </c>
      <c r="EO20">
        <v>2</v>
      </c>
      <c r="EP20">
        <v>3</v>
      </c>
      <c r="EQ20">
        <v>7</v>
      </c>
      <c r="ER20">
        <v>14.1987814663817</v>
      </c>
      <c r="ES20">
        <v>4.7561184985223104</v>
      </c>
      <c r="ET20">
        <v>4.7561184985223104</v>
      </c>
      <c r="EU20">
        <v>1.2522536432156099</v>
      </c>
      <c r="EV20">
        <v>1.2522536432156099</v>
      </c>
      <c r="EW20">
        <v>0</v>
      </c>
      <c r="EX20">
        <v>1.2522536432156099</v>
      </c>
      <c r="EY20">
        <v>1.2522536432156099</v>
      </c>
      <c r="EZ20">
        <v>0</v>
      </c>
      <c r="FA20">
        <v>1.8641422422974001</v>
      </c>
      <c r="FB20">
        <v>1.8641422422974001</v>
      </c>
      <c r="FC20">
        <v>0</v>
      </c>
      <c r="FD20">
        <v>6.8675561846925302</v>
      </c>
      <c r="FE20">
        <v>6.8675561846925302</v>
      </c>
      <c r="FF20">
        <v>0</v>
      </c>
      <c r="FG20">
        <v>1.2522536432156099</v>
      </c>
      <c r="FH20">
        <v>1.2522536432156099</v>
      </c>
    </row>
    <row r="21" spans="1:164" x14ac:dyDescent="0.2">
      <c r="A21">
        <v>20</v>
      </c>
      <c r="B21">
        <v>25</v>
      </c>
      <c r="C21">
        <v>50</v>
      </c>
      <c r="D21">
        <v>3</v>
      </c>
      <c r="E21">
        <v>12</v>
      </c>
      <c r="F21" t="s">
        <v>150</v>
      </c>
      <c r="G21" t="s">
        <v>151</v>
      </c>
      <c r="H21">
        <v>3</v>
      </c>
      <c r="I21">
        <v>3</v>
      </c>
      <c r="K21" t="s">
        <v>152</v>
      </c>
      <c r="L21">
        <v>0</v>
      </c>
      <c r="M21">
        <v>1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3</v>
      </c>
      <c r="AD21">
        <v>0</v>
      </c>
      <c r="AE21">
        <v>6</v>
      </c>
      <c r="AF21">
        <v>3</v>
      </c>
      <c r="AG21">
        <v>7</v>
      </c>
      <c r="AH21">
        <v>8</v>
      </c>
      <c r="AI21">
        <v>0.35010277777777798</v>
      </c>
      <c r="AJ21">
        <v>20.890789999999999</v>
      </c>
      <c r="AK21">
        <v>0.62744166666666701</v>
      </c>
      <c r="AL21">
        <v>41.537950000000002</v>
      </c>
      <c r="AM21">
        <v>0.52155277777777798</v>
      </c>
      <c r="AN21">
        <v>39.067810000000001</v>
      </c>
      <c r="AO21">
        <v>0.51769444444444401</v>
      </c>
      <c r="AP21">
        <v>36.694310000000002</v>
      </c>
      <c r="AQ21">
        <v>0.540994444444444</v>
      </c>
      <c r="AR21">
        <v>37.022210000000001</v>
      </c>
      <c r="AS21">
        <v>0.50618055555555597</v>
      </c>
      <c r="AT21">
        <v>33.52234</v>
      </c>
      <c r="AU21">
        <v>0.40552500000000002</v>
      </c>
      <c r="AV21">
        <v>27.986799999999999</v>
      </c>
      <c r="AW21">
        <v>0.38080000000000003</v>
      </c>
      <c r="AX21">
        <v>25.960629999999998</v>
      </c>
      <c r="AY21">
        <v>0.370288888888889</v>
      </c>
      <c r="AZ21">
        <v>24.404209999999999</v>
      </c>
      <c r="BA21">
        <v>0.35528055555555599</v>
      </c>
      <c r="BB21">
        <v>23.82124</v>
      </c>
      <c r="BC21">
        <v>0.36173611111111098</v>
      </c>
      <c r="BD21">
        <v>21.366499999999998</v>
      </c>
      <c r="BE21">
        <v>0.20751111111111101</v>
      </c>
      <c r="BF21">
        <v>8.7910599999999999</v>
      </c>
      <c r="BG21">
        <v>0.11898055555555601</v>
      </c>
      <c r="BH21">
        <v>4.8234899999999996</v>
      </c>
      <c r="BI21">
        <v>7.5149999999999995E-2</v>
      </c>
      <c r="BJ21">
        <v>2.8494799999999998</v>
      </c>
      <c r="BK21">
        <v>9.86166666666667E-2</v>
      </c>
      <c r="BL21">
        <v>3.8012700000000001</v>
      </c>
      <c r="BM21">
        <v>0.14011944444444399</v>
      </c>
      <c r="BN21">
        <v>5.7939499999999997</v>
      </c>
      <c r="BO21">
        <f t="shared" si="0"/>
        <v>7.5149999999999995E-2</v>
      </c>
      <c r="BP21">
        <v>16</v>
      </c>
      <c r="BQ21">
        <v>2.8494799999999998</v>
      </c>
      <c r="BR21">
        <f t="shared" si="1"/>
        <v>0</v>
      </c>
      <c r="BS21">
        <f t="shared" si="2"/>
        <v>7.5149999999999995E-2</v>
      </c>
      <c r="BT21">
        <f t="shared" si="3"/>
        <v>16</v>
      </c>
      <c r="BU21">
        <f t="shared" si="4"/>
        <v>2.8494799999999998</v>
      </c>
      <c r="BV21">
        <f t="shared" si="5"/>
        <v>0</v>
      </c>
      <c r="BW21">
        <f t="shared" si="6"/>
        <v>7.5149999999999995E-2</v>
      </c>
      <c r="BX21">
        <f t="shared" si="32"/>
        <v>16</v>
      </c>
      <c r="BY21">
        <f t="shared" si="33"/>
        <v>2.8494799999999998</v>
      </c>
      <c r="BZ21">
        <f t="shared" si="7"/>
        <v>0</v>
      </c>
      <c r="CA21">
        <f t="shared" si="8"/>
        <v>7.5149999999999995E-2</v>
      </c>
      <c r="CB21">
        <f>IF(CA21=BO21,BP21,IF(CA21=BS21,BT21,IF(CA21=BW21,BX21,0)))</f>
        <v>16</v>
      </c>
      <c r="CC21">
        <f>IF(CA21=BO21,BQ21,IF(CA21=BS21,BU21,IF(CA21=BW21,BY21,0)))</f>
        <v>2.8494799999999998</v>
      </c>
      <c r="CD21">
        <f t="shared" si="9"/>
        <v>0</v>
      </c>
      <c r="CE21">
        <f t="shared" si="10"/>
        <v>7.5149999999999995E-2</v>
      </c>
      <c r="CF21">
        <f>IF(CE21=BO21,BP21,IF(CE21=BS21,BT21,IF(CE21=BW21,BX21,IF(CE21=CA21,CB21,0))))</f>
        <v>16</v>
      </c>
      <c r="CG21">
        <f>IF(CE21=BO21,BQ21,IF(CE21=BS21,BU21,IF(CE21=BW21,BY21,IF(CE21=CA21,CC21,0))))</f>
        <v>2.8494799999999998</v>
      </c>
      <c r="CH21">
        <f t="shared" si="11"/>
        <v>0</v>
      </c>
      <c r="CI21">
        <f t="shared" si="12"/>
        <v>7.5149999999999995E-2</v>
      </c>
      <c r="CJ21">
        <f>IF(CI21=BO21,BP21,IF(CI21=BS21,BT21,IF(CI21=BW21,BX21,IF(CI21=CA21,CB21,IF(CI21=CE21,CF21,0)))))</f>
        <v>16</v>
      </c>
      <c r="CK21">
        <f>IF(CI21=BO21,BQ21,IF(CI21=BS21,BU21,IF(CI21=BW21,BY21,IF(CI21=CA21,CC21,IF(CI21=CE21,CG21,0)))))</f>
        <v>2.8494799999999998</v>
      </c>
      <c r="CL21">
        <f t="shared" si="13"/>
        <v>0</v>
      </c>
      <c r="CM21">
        <f t="shared" si="14"/>
        <v>7.5149999999999995E-2</v>
      </c>
      <c r="CN21">
        <f>IF(CM21=BO21,BP21,IF(CM21=BS21,BT21,IF(CM21=BW21,BX21,IF(CM21=CA21,CB21,IF(CM21=CE21,CF21,IF(CM21=CI21,CJ21,0))))))</f>
        <v>16</v>
      </c>
      <c r="CO21">
        <f>IF(CM21=BO21,BQ21,IF(CM21=BS21,BU21,IF(CM21=BW21,BY21,IF(CM21=CA21,CC21,IF(CM21=CE21,CG21,IF(CM21=CI21,CK21,0))))))</f>
        <v>2.8494799999999998</v>
      </c>
      <c r="CP21">
        <f t="shared" si="15"/>
        <v>0</v>
      </c>
      <c r="CQ21">
        <f t="shared" si="16"/>
        <v>7.5149999999999995E-2</v>
      </c>
      <c r="CR21">
        <f>IF(CQ21=BO21,BP21,IF(CQ21=BS21,BT21,IF(CQ21=BW21,BX21,IF(CQ21=CA21,CB21,IF(CQ21=CE21,CF21,IF(CQ21=CI21,CJ21,IF(CQ21=CM21,CN21,0)))))))</f>
        <v>16</v>
      </c>
      <c r="CS21">
        <f>IF(CQ21=BO21,BQ21,IF(CQ21=BS21,BU21,IF(CQ21=BW21,BY21,IF(CQ21=CA21,CC21,IF(CQ21=CE21,CG21,IF(CQ21=CI21,CK21,IF(CQ21=CM21,CO21,0)))))))</f>
        <v>2.8494799999999998</v>
      </c>
      <c r="CT21">
        <f t="shared" si="17"/>
        <v>0</v>
      </c>
      <c r="CU21">
        <f t="shared" si="18"/>
        <v>7.5149999999999995E-2</v>
      </c>
      <c r="CV21">
        <f>IF(CU21=BO21,BP21,IF(CU21=BS21,BT21,IF(CU21=BW21,BX21,IF(CU21=CA21,CB21,IF(CU21=CE21,CF21,IF(CU21=CI21,CJ21,IF(CU21=CM21,CN21,IF(CU21=CQ21,CR21,0))))))))</f>
        <v>16</v>
      </c>
      <c r="CW21">
        <f>IF(CU21=BO21,BQ21,IF(CU21=BS21,BU21,IF(CU21=BW21,BY21,IF(CU21=CA21,CC21,IF(CU21=CE21,CG21,IF(CU21=CI21,CK21,IF(CU21=CM21,CO21,IF(CU21=CQ21,CS21,0))))))))</f>
        <v>2.8494799999999998</v>
      </c>
      <c r="CX21">
        <f t="shared" si="19"/>
        <v>0</v>
      </c>
      <c r="CY21">
        <f t="shared" si="20"/>
        <v>7.5149999999999995E-2</v>
      </c>
      <c r="CZ21">
        <f>IF(CY21=BO21,BP21,IF(CY21=BS21,BT21,IF(CY21=BW21,BX21,IF(CY21=CA21,CB21,IF(CY21=CE21,CF21,IF(CY21=CI21,CJ21,IF(CY21=CM21,CN21,IF(CY21=CQ21,CR21,IF(CY21=CU21,CV21,0)))))))))</f>
        <v>16</v>
      </c>
      <c r="DA21">
        <f>IF(CY21=BO21,BQ21,IF(CY21=BS21,BU21,IF(CY21=BW21,BY21,IF(CY21=CA21,CC21,IF(CY21=CE21,CG21,IF(CY21=CI21,CK21,IF(CY21=CM21,CO21,IF(CY21=CQ21,CS21,IF(CY21=CU21,CW21,0)))))))))</f>
        <v>2.8494799999999998</v>
      </c>
      <c r="DB21">
        <f t="shared" si="21"/>
        <v>0</v>
      </c>
      <c r="DC21">
        <f t="shared" si="22"/>
        <v>7.5149999999999995E-2</v>
      </c>
      <c r="DD21">
        <f>IF(DC21=BO21,BP21,IF(DC21=BS21,BT21,IF(DC21=BW21,BX21,IF(DC21=CA21,CB21,IF(DC21=CE21,CF21,IF(DC21=CI21,CJ21,IF(DC21=CM21,CN21,IF(DC21=CQ21,CR21,IF(DC21=CU21,CV21,IF(DC21=CY21,CZ21,0))))))))))</f>
        <v>16</v>
      </c>
      <c r="DE21">
        <f>IF(DC21=BO21,BQ21,IF(DC21=BS21,BU21,IF(DC21=BW21,BY21,IF(DC21=CA21,CC21,IF(DC21=CE21,CG21,IF(DC21=CI21,CK21,IF(DC21=CM21,CO21,IF(DC21=CQ21,CS21,IF(DC21=CU21,CW21,IF(DC21=CY21,DA21,0))))))))))</f>
        <v>2.8494799999999998</v>
      </c>
      <c r="DF21">
        <f t="shared" si="23"/>
        <v>0</v>
      </c>
      <c r="DG21">
        <f t="shared" si="24"/>
        <v>7.5149999999999995E-2</v>
      </c>
      <c r="DH21">
        <f>IF(DG21=BO21,BP21,IF(DG21=BS21,BT21,IF(DG21=BW21,BX21,IF(DG21=CA21,CB21,IF(DG21=CE21,CF21,IF(DG21=CI21,CJ21,IF(DG21=CM21,CN21,IF(DG21=CQ21,CR21,IF(DG21=CU21,CV21,IF(DG21=CY21,CZ21,IF(DG21=DC21,DD21,0)))))))))))</f>
        <v>16</v>
      </c>
      <c r="DI21">
        <f>IF(DG21=BO21,BQ21,IF(DG21=BS21,BU21,IF(DG21=BW21,BY21,IF(DG21=CA21,CC21,IF(DG21=CE21,CG21,IF(DG21=CI21,CK21,IF(DG21=CM21,CO21,IF(DG21=CQ21,CS21,IF(DG21=CU21,CW21,IF(DG21=CY21,DA21,IF(DG21=DC21,DE21,0)))))))))))</f>
        <v>2.8494799999999998</v>
      </c>
      <c r="DJ21">
        <f t="shared" si="25"/>
        <v>0</v>
      </c>
      <c r="DK21">
        <f t="shared" si="26"/>
        <v>9.86166666666667E-2</v>
      </c>
      <c r="DL21">
        <v>17</v>
      </c>
      <c r="DM21">
        <v>3.8012700000000001</v>
      </c>
      <c r="DN21">
        <f t="shared" si="27"/>
        <v>0</v>
      </c>
      <c r="DO21">
        <f t="shared" si="28"/>
        <v>7.5149999999999995E-2</v>
      </c>
      <c r="DP21">
        <f>IF(DO21=BO21,BP21,IF(DO21=BS21,BT21,IF(DO21=BW21,BX21,IF(DO21=CA21,CB21,IF(DO21=CE21,CF21,IF(DO21=CI21,CJ21,IF(DO21=CM21,CN21,IF(DO21=CQ21,CR21,IF(DO21=CU21,CV21,IF(DO21=CY21,CZ21,IF(DO21=DC21,DD21,IF(DO21=DG21,DH21,IF(DO21=DK21,DL21,0)))))))))))))</f>
        <v>16</v>
      </c>
      <c r="DQ21">
        <f>IF(DO21=BO21,BQ21,IF(DO21=BS21,BU21,IF(DO21=BW21,BY21,IF(DO21=CA21,CC21,IF(DO21=CE21,CG21,IF(DO21=CI21,CK21,IF(DO21=CM21,CO21,IF(DO21=CQ21,CS21,IF(DO21=CU21,CW21,IF(DO21=CY21,DA21,IF(DO21=DC21,DE21,IF(DO21=DG21,DI21,IF(DO21=DK21,DM21,0)))))))))))))</f>
        <v>2.8494799999999998</v>
      </c>
      <c r="DR21">
        <f t="shared" si="29"/>
        <v>0</v>
      </c>
      <c r="DS21">
        <f t="shared" si="30"/>
        <v>7.5149999999999995E-2</v>
      </c>
      <c r="DT21">
        <f>IF(DS21=BO21,BP21,IF(DS21=BS21,BT21,IF(DS21=BW21,BX21,IF(DS21=CA21,CB21,IF(DS21=CE21,CF21,IF(DS21=CI21,CJ21,IF(DS21=CM21,CN21,IF(DS21=CQ21,CR21,IF(DS21=CU21,CV21,IF(DS21=CY21,CZ21,IF(DS21=DC21,DD21,IF(DS21=DG21,DH21,IF(DS21=DK21,DL21,IF(DS21=DO21,DP21,0))))))))))))))</f>
        <v>16</v>
      </c>
      <c r="DU21">
        <f>IF(DS21=BO21,BQ21,IF(DS21=BS21,BU21,IF(DS21=BW21,BY21,IF(DS21=CA21,CC21,IF(DS21=CE21,CG21,IF(DS21=CI21,CK21,IF(DS21=CM21,CO21,IF(DS21=CQ21,CS21,IF(DS21=CU21,CW21,IF(DS21=CY21,DA21,IF(DS21=DC21,DE21,IF(DS21=DG21,DI21,IF(DS21=DK21,DM21,IF(DS21=DO21,DQ21,0))))))))))))))</f>
        <v>2.8494799999999998</v>
      </c>
      <c r="DV21">
        <f t="shared" si="31"/>
        <v>0</v>
      </c>
      <c r="DW21">
        <v>31226.480769230799</v>
      </c>
      <c r="DX21">
        <v>6</v>
      </c>
      <c r="DY21">
        <v>0</v>
      </c>
      <c r="DZ21">
        <v>6</v>
      </c>
      <c r="EA21">
        <v>6</v>
      </c>
      <c r="EB21">
        <v>14.0364762223093</v>
      </c>
      <c r="EC21">
        <v>1</v>
      </c>
      <c r="ED21">
        <v>2.8105351333333299</v>
      </c>
      <c r="EE21">
        <v>7.5149999999999995E-2</v>
      </c>
      <c r="EF21">
        <v>2.8494799999999998</v>
      </c>
      <c r="EG21">
        <v>11.547005052648499</v>
      </c>
      <c r="EH21">
        <v>16</v>
      </c>
      <c r="EI21">
        <v>0</v>
      </c>
      <c r="EJ21">
        <v>0.24695493333333299</v>
      </c>
      <c r="EK21">
        <v>1</v>
      </c>
      <c r="EL21">
        <v>0</v>
      </c>
      <c r="EM21">
        <v>37</v>
      </c>
      <c r="EN21">
        <v>1</v>
      </c>
      <c r="EO21">
        <v>2</v>
      </c>
      <c r="EP21">
        <v>8</v>
      </c>
      <c r="EQ21">
        <v>3</v>
      </c>
      <c r="ER21">
        <v>14.1987814663817</v>
      </c>
      <c r="ES21">
        <v>9.9420656648797205</v>
      </c>
      <c r="ET21">
        <v>12.752600798213001</v>
      </c>
      <c r="EU21">
        <v>2.1340768543971702</v>
      </c>
      <c r="EV21">
        <v>2.3810317877305001</v>
      </c>
      <c r="EW21">
        <v>2.11503153333333</v>
      </c>
      <c r="EX21">
        <v>10.5153020255252</v>
      </c>
      <c r="EY21">
        <v>12.630333558858601</v>
      </c>
      <c r="EZ21">
        <v>0.24695493333333299</v>
      </c>
      <c r="FA21">
        <v>2.1340768543971702</v>
      </c>
      <c r="FB21">
        <v>2.3810317877305001</v>
      </c>
      <c r="FC21">
        <v>3.1801735333333299</v>
      </c>
      <c r="FD21">
        <v>14.701260566053101</v>
      </c>
      <c r="FE21">
        <v>17.8814340993864</v>
      </c>
      <c r="FF21">
        <v>0.24695493333333299</v>
      </c>
      <c r="FG21">
        <v>2.1340768543971702</v>
      </c>
      <c r="FH21">
        <v>2.3810317877305001</v>
      </c>
    </row>
    <row r="22" spans="1:164" x14ac:dyDescent="0.2">
      <c r="A22">
        <v>21</v>
      </c>
      <c r="B22">
        <v>26</v>
      </c>
      <c r="C22">
        <v>54</v>
      </c>
      <c r="D22">
        <v>3</v>
      </c>
      <c r="E22">
        <v>12</v>
      </c>
      <c r="F22" t="s">
        <v>146</v>
      </c>
      <c r="G22" t="s">
        <v>153</v>
      </c>
      <c r="H22">
        <v>3</v>
      </c>
      <c r="I22">
        <v>5</v>
      </c>
      <c r="K22" t="s">
        <v>154</v>
      </c>
      <c r="L22">
        <v>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2</v>
      </c>
      <c r="AC22">
        <v>0</v>
      </c>
      <c r="AD22">
        <v>3</v>
      </c>
      <c r="AE22">
        <v>8</v>
      </c>
      <c r="AF22">
        <v>4</v>
      </c>
      <c r="AG22">
        <v>9</v>
      </c>
      <c r="AH22">
        <v>7</v>
      </c>
      <c r="AI22">
        <v>0.58426666666666704</v>
      </c>
      <c r="AJ22">
        <v>31.853760000000001</v>
      </c>
      <c r="AK22">
        <v>0.52814444444444397</v>
      </c>
      <c r="AL22">
        <v>20.10576</v>
      </c>
      <c r="AM22">
        <v>0.43129166666666702</v>
      </c>
      <c r="AN22">
        <v>19.30761</v>
      </c>
      <c r="AO22">
        <v>0.41658333333333297</v>
      </c>
      <c r="AP22">
        <v>17.846789999999999</v>
      </c>
      <c r="AQ22">
        <v>0.47950833333333298</v>
      </c>
      <c r="AR22">
        <v>19.918669999999999</v>
      </c>
      <c r="AS22">
        <v>0.49294722222222198</v>
      </c>
      <c r="AT22">
        <v>20.321840000000002</v>
      </c>
      <c r="AU22">
        <v>0.48762222222222201</v>
      </c>
      <c r="AV22">
        <v>22.728249999999999</v>
      </c>
      <c r="AW22">
        <v>0.50919722222222197</v>
      </c>
      <c r="AX22">
        <v>27.10379</v>
      </c>
      <c r="AY22">
        <v>0.519183333333333</v>
      </c>
      <c r="AZ22">
        <v>28.34252</v>
      </c>
      <c r="BA22">
        <v>0.53253333333333297</v>
      </c>
      <c r="BB22">
        <v>29.663239999999998</v>
      </c>
      <c r="BC22">
        <v>0.59336111111111101</v>
      </c>
      <c r="BD22">
        <v>30.987929999999999</v>
      </c>
      <c r="BE22">
        <v>0.60438055555555603</v>
      </c>
      <c r="BF22">
        <v>37.364890000000003</v>
      </c>
      <c r="BG22">
        <v>0.66825555555555505</v>
      </c>
      <c r="BH22">
        <v>40.767740000000003</v>
      </c>
      <c r="BI22">
        <v>0.71208333333333296</v>
      </c>
      <c r="BJ22">
        <v>42.741660000000003</v>
      </c>
      <c r="BK22">
        <v>0.78022222222222204</v>
      </c>
      <c r="BL22">
        <v>49.557310000000001</v>
      </c>
      <c r="BM22">
        <v>0.82172500000000004</v>
      </c>
      <c r="BN22">
        <v>51.549979999999998</v>
      </c>
      <c r="BO22">
        <f t="shared" si="0"/>
        <v>0.41658333333333297</v>
      </c>
      <c r="BP22">
        <v>3</v>
      </c>
      <c r="BQ22">
        <v>17.846789999999999</v>
      </c>
      <c r="BR22">
        <f t="shared" si="1"/>
        <v>0</v>
      </c>
      <c r="BS22">
        <f t="shared" si="2"/>
        <v>0.41658333333333297</v>
      </c>
      <c r="BT22">
        <f t="shared" si="3"/>
        <v>3</v>
      </c>
      <c r="BU22">
        <f t="shared" si="4"/>
        <v>17.846789999999999</v>
      </c>
      <c r="BV22">
        <f t="shared" si="5"/>
        <v>0</v>
      </c>
      <c r="BW22">
        <f t="shared" si="6"/>
        <v>0.43129166666666702</v>
      </c>
      <c r="BX22">
        <v>2</v>
      </c>
      <c r="BY22">
        <v>19.30761</v>
      </c>
      <c r="BZ22">
        <f t="shared" si="7"/>
        <v>0</v>
      </c>
      <c r="CA22">
        <f t="shared" si="8"/>
        <v>0.41658333333333297</v>
      </c>
      <c r="CB22">
        <f>IF(CA22=BO22,BP22,IF(CA22=BS22,BT22,IF(CA22=BW22,BX22,0)))</f>
        <v>3</v>
      </c>
      <c r="CC22">
        <f>IF(CA22=BO22,BQ22,IF(CA22=BS22,BU22,IF(CA22=BW22,BY22,0)))</f>
        <v>17.846789999999999</v>
      </c>
      <c r="CD22">
        <f t="shared" si="9"/>
        <v>0</v>
      </c>
      <c r="CE22">
        <f t="shared" si="10"/>
        <v>0.41658333333333297</v>
      </c>
      <c r="CF22">
        <f>IF(CE22=BO22,BP22,IF(CE22=BS22,BT22,IF(CE22=BW22,BX22,IF(CE22=CA22,CB22,0))))</f>
        <v>3</v>
      </c>
      <c r="CG22">
        <f>IF(CE22=BO22,BQ22,IF(CE22=BS22,BU22,IF(CE22=BW22,BY22,IF(CE22=CA22,CC22,0))))</f>
        <v>17.846789999999999</v>
      </c>
      <c r="CH22">
        <f t="shared" si="11"/>
        <v>0</v>
      </c>
      <c r="CI22">
        <f t="shared" si="12"/>
        <v>0.41658333333333297</v>
      </c>
      <c r="CJ22">
        <f>IF(CI22=BO22,BP22,IF(CI22=BS22,BT22,IF(CI22=BW22,BX22,IF(CI22=CA22,CB22,IF(CI22=CE22,CF22,0)))))</f>
        <v>3</v>
      </c>
      <c r="CK22">
        <f>IF(CI22=BO22,BQ22,IF(CI22=BS22,BU22,IF(CI22=BW22,BY22,IF(CI22=CA22,CC22,IF(CI22=CE22,CG22,0)))))</f>
        <v>17.846789999999999</v>
      </c>
      <c r="CL22">
        <f t="shared" si="13"/>
        <v>0</v>
      </c>
      <c r="CM22">
        <f t="shared" si="14"/>
        <v>0.41658333333333297</v>
      </c>
      <c r="CN22">
        <f>IF(CM22=BO22,BP22,IF(CM22=BS22,BT22,IF(CM22=BW22,BX22,IF(CM22=CA22,CB22,IF(CM22=CE22,CF22,IF(CM22=CI22,CJ22,0))))))</f>
        <v>3</v>
      </c>
      <c r="CO22">
        <f>IF(CM22=BO22,BQ22,IF(CM22=BS22,BU22,IF(CM22=BW22,BY22,IF(CM22=CA22,CC22,IF(CM22=CE22,CG22,IF(CM22=CI22,CK22,0))))))</f>
        <v>17.846789999999999</v>
      </c>
      <c r="CP22">
        <f t="shared" si="15"/>
        <v>0</v>
      </c>
      <c r="CQ22">
        <f t="shared" si="16"/>
        <v>0.41658333333333297</v>
      </c>
      <c r="CR22">
        <f>IF(CQ22=BO22,BP22,IF(CQ22=BS22,BT22,IF(CQ22=BW22,BX22,IF(CQ22=CA22,CB22,IF(CQ22=CE22,CF22,IF(CQ22=CI22,CJ22,IF(CQ22=CM22,CN22,0)))))))</f>
        <v>3</v>
      </c>
      <c r="CS22">
        <f>IF(CQ22=BO22,BQ22,IF(CQ22=BS22,BU22,IF(CQ22=BW22,BY22,IF(CQ22=CA22,CC22,IF(CQ22=CE22,CG22,IF(CQ22=CI22,CK22,IF(CQ22=CM22,CO22,0)))))))</f>
        <v>17.846789999999999</v>
      </c>
      <c r="CT22">
        <f t="shared" si="17"/>
        <v>0</v>
      </c>
      <c r="CU22">
        <f t="shared" si="18"/>
        <v>0.41658333333333297</v>
      </c>
      <c r="CV22">
        <f>IF(CU22=BO22,BP22,IF(CU22=BS22,BT22,IF(CU22=BW22,BX22,IF(CU22=CA22,CB22,IF(CU22=CE22,CF22,IF(CU22=CI22,CJ22,IF(CU22=CM22,CN22,IF(CU22=CQ22,CR22,0))))))))</f>
        <v>3</v>
      </c>
      <c r="CW22">
        <f>IF(CU22=BO22,BQ22,IF(CU22=BS22,BU22,IF(CU22=BW22,BY22,IF(CU22=CA22,CC22,IF(CU22=CE22,CG22,IF(CU22=CI22,CK22,IF(CU22=CM22,CO22,IF(CU22=CQ22,CS22,0))))))))</f>
        <v>17.846789999999999</v>
      </c>
      <c r="CX22">
        <f t="shared" si="19"/>
        <v>0</v>
      </c>
      <c r="CY22">
        <f t="shared" si="20"/>
        <v>0.41658333333333297</v>
      </c>
      <c r="CZ22">
        <f>IF(CY22=BO22,BP22,IF(CY22=BS22,BT22,IF(CY22=BW22,BX22,IF(CY22=CA22,CB22,IF(CY22=CE22,CF22,IF(CY22=CI22,CJ22,IF(CY22=CM22,CN22,IF(CY22=CQ22,CR22,IF(CY22=CU22,CV22,0)))))))))</f>
        <v>3</v>
      </c>
      <c r="DA22">
        <f>IF(CY22=BO22,BQ22,IF(CY22=BS22,BU22,IF(CY22=BW22,BY22,IF(CY22=CA22,CC22,IF(CY22=CE22,CG22,IF(CY22=CI22,CK22,IF(CY22=CM22,CO22,IF(CY22=CQ22,CS22,IF(CY22=CU22,CW22,0)))))))))</f>
        <v>17.846789999999999</v>
      </c>
      <c r="DB22">
        <f t="shared" si="21"/>
        <v>0</v>
      </c>
      <c r="DC22">
        <f t="shared" si="22"/>
        <v>0.41658333333333297</v>
      </c>
      <c r="DD22">
        <f>IF(DC22=BO22,BP22,IF(DC22=BS22,BT22,IF(DC22=BW22,BX22,IF(DC22=CA22,CB22,IF(DC22=CE22,CF22,IF(DC22=CI22,CJ22,IF(DC22=CM22,CN22,IF(DC22=CQ22,CR22,IF(DC22=CU22,CV22,IF(DC22=CY22,CZ22,0))))))))))</f>
        <v>3</v>
      </c>
      <c r="DE22">
        <f>IF(DC22=BO22,BQ22,IF(DC22=BS22,BU22,IF(DC22=BW22,BY22,IF(DC22=CA22,CC22,IF(DC22=CE22,CG22,IF(DC22=CI22,CK22,IF(DC22=CM22,CO22,IF(DC22=CQ22,CS22,IF(DC22=CU22,CW22,IF(DC22=CY22,DA22,0))))))))))</f>
        <v>17.846789999999999</v>
      </c>
      <c r="DF22">
        <f t="shared" si="23"/>
        <v>0</v>
      </c>
      <c r="DG22">
        <f t="shared" si="24"/>
        <v>0.41658333333333297</v>
      </c>
      <c r="DH22">
        <f>IF(DG22=BO22,BP22,IF(DG22=BS22,BT22,IF(DG22=BW22,BX22,IF(DG22=CA22,CB22,IF(DG22=CE22,CF22,IF(DG22=CI22,CJ22,IF(DG22=CM22,CN22,IF(DG22=CQ22,CR22,IF(DG22=CU22,CV22,IF(DG22=CY22,CZ22,IF(DG22=DC22,DD22,0)))))))))))</f>
        <v>3</v>
      </c>
      <c r="DI22">
        <f>IF(DG22=BO22,BQ22,IF(DG22=BS22,BU22,IF(DG22=BW22,BY22,IF(DG22=CA22,CC22,IF(DG22=CE22,CG22,IF(DG22=CI22,CK22,IF(DG22=CM22,CO22,IF(DG22=CQ22,CS22,IF(DG22=CU22,CW22,IF(DG22=CY22,DA22,IF(DG22=DC22,DE22,0)))))))))))</f>
        <v>17.846789999999999</v>
      </c>
      <c r="DJ22">
        <f t="shared" si="25"/>
        <v>0</v>
      </c>
      <c r="DK22">
        <f t="shared" si="26"/>
        <v>0.41658333333333297</v>
      </c>
      <c r="DL22">
        <f>IF(DK22=BO22,BP22,IF(DK22=BS22,BT22,IF(DK22=BW22,BX22,IF(DK22=CA22,CB22,IF(DK22=CE22,CF22,IF(DK22=CI22,CJ22,IF(DK22=CM22,CN22,IF(DK22=CQ22,CR22,IF(DK22=CU22,CV22,IF(DK22=CY22,CZ22,IF(DK22=DC22,DD22,IF(DK22=DG22,DH22,0))))))))))))</f>
        <v>3</v>
      </c>
      <c r="DM22">
        <f>IF(DK22=BO22,BQ22,IF(DK22=BS22,BU22,IF(DK22=BW22,BY22,IF(DK22=CA22,CC22,IF(DK22=CE22,CG22,IF(DK22=CI22,CK22,IF(DK22=CM22,CO22,IF(DK22=CQ22,CS22,IF(DK22=CU22,CW22,IF(DK22=CY22,DA22,IF(DK22=DC22,DE22,IF(DK22=DG22,DI22,0))))))))))))</f>
        <v>17.846789999999999</v>
      </c>
      <c r="DN22">
        <f t="shared" si="27"/>
        <v>0</v>
      </c>
      <c r="DO22">
        <f t="shared" si="28"/>
        <v>0.41658333333333297</v>
      </c>
      <c r="DP22">
        <f>IF(DO22=BO22,BP22,IF(DO22=BS22,BT22,IF(DO22=BW22,BX22,IF(DO22=CA22,CB22,IF(DO22=CE22,CF22,IF(DO22=CI22,CJ22,IF(DO22=CM22,CN22,IF(DO22=CQ22,CR22,IF(DO22=CU22,CV22,IF(DO22=CY22,CZ22,IF(DO22=DC22,DD22,IF(DO22=DG22,DH22,IF(DO22=DK22,DL22,0)))))))))))))</f>
        <v>3</v>
      </c>
      <c r="DQ22">
        <f>IF(DO22=BO22,BQ22,IF(DO22=BS22,BU22,IF(DO22=BW22,BY22,IF(DO22=CA22,CC22,IF(DO22=CE22,CG22,IF(DO22=CI22,CK22,IF(DO22=CM22,CO22,IF(DO22=CQ22,CS22,IF(DO22=CU22,CW22,IF(DO22=CY22,DA22,IF(DO22=DC22,DE22,IF(DO22=DG22,DI22,IF(DO22=DK22,DM22,0)))))))))))))</f>
        <v>17.846789999999999</v>
      </c>
      <c r="DR22">
        <f t="shared" si="29"/>
        <v>0</v>
      </c>
      <c r="DS22">
        <f t="shared" si="30"/>
        <v>0.41658333333333297</v>
      </c>
      <c r="DT22">
        <f>IF(DS22=BO22,BP22,IF(DS22=BS22,BT22,IF(DS22=BW22,BX22,IF(DS22=CA22,CB22,IF(DS22=CE22,CF22,IF(DS22=CI22,CJ22,IF(DS22=CM22,CN22,IF(DS22=CQ22,CR22,IF(DS22=CU22,CV22,IF(DS22=CY22,CZ22,IF(DS22=DC22,DD22,IF(DS22=DG22,DH22,IF(DS22=DK22,DL22,IF(DS22=DO22,DP22,0))))))))))))))</f>
        <v>3</v>
      </c>
      <c r="DU22">
        <f>IF(DS22=BO22,BQ22,IF(DS22=BS22,BU22,IF(DS22=BW22,BY22,IF(DS22=CA22,CC22,IF(DS22=CE22,CG22,IF(DS22=CI22,CK22,IF(DS22=CM22,CO22,IF(DS22=CQ22,CS22,IF(DS22=CU22,CW22,IF(DS22=CY22,DA22,IF(DS22=DC22,DE22,IF(DS22=DG22,DI22,IF(DS22=DK22,DM22,IF(DS22=DO22,DQ22,0))))))))))))))</f>
        <v>17.846789999999999</v>
      </c>
      <c r="DV22">
        <f t="shared" si="31"/>
        <v>0</v>
      </c>
      <c r="DW22">
        <v>22500.5</v>
      </c>
      <c r="DX22">
        <v>4</v>
      </c>
      <c r="DY22">
        <v>0</v>
      </c>
      <c r="DZ22">
        <v>4</v>
      </c>
      <c r="EA22">
        <v>6</v>
      </c>
      <c r="EB22">
        <v>10.114099490560401</v>
      </c>
      <c r="EC22">
        <v>1.5</v>
      </c>
      <c r="ED22">
        <v>5.6409887999999997</v>
      </c>
      <c r="EE22">
        <v>0.41658333333333297</v>
      </c>
      <c r="EF22">
        <v>17.846789999999999</v>
      </c>
      <c r="EG22">
        <v>14.9621866002714</v>
      </c>
      <c r="EH22">
        <v>3</v>
      </c>
      <c r="EI22">
        <v>0</v>
      </c>
      <c r="EJ22">
        <v>2.3200826999999999</v>
      </c>
      <c r="EK22">
        <v>1</v>
      </c>
      <c r="EL22">
        <v>0</v>
      </c>
      <c r="EM22">
        <v>40</v>
      </c>
      <c r="EN22">
        <v>1</v>
      </c>
      <c r="EO22">
        <v>4</v>
      </c>
      <c r="EP22">
        <v>7</v>
      </c>
      <c r="EQ22">
        <v>4</v>
      </c>
      <c r="ER22">
        <v>14.1987814663817</v>
      </c>
      <c r="ES22">
        <v>16.5917494361825</v>
      </c>
      <c r="ET22">
        <v>22.232738236182499</v>
      </c>
      <c r="EU22">
        <v>11.8299514250737</v>
      </c>
      <c r="EV22">
        <v>14.150034125073701</v>
      </c>
      <c r="EW22">
        <v>3.6845276</v>
      </c>
      <c r="EX22">
        <v>14.7435413819752</v>
      </c>
      <c r="EY22">
        <v>18.428068981975201</v>
      </c>
      <c r="EZ22">
        <v>2.3200826999999999</v>
      </c>
      <c r="FA22">
        <v>11.8299514250737</v>
      </c>
      <c r="FB22">
        <v>14.150034125073701</v>
      </c>
      <c r="FC22">
        <v>2.3200826999999999</v>
      </c>
      <c r="FD22">
        <v>11.8299514250737</v>
      </c>
      <c r="FE22">
        <v>14.150034125073701</v>
      </c>
      <c r="FF22">
        <v>2.5099893</v>
      </c>
      <c r="FG22">
        <v>12.2476322465431</v>
      </c>
      <c r="FH22">
        <v>14.757621546543101</v>
      </c>
    </row>
    <row r="23" spans="1:164" x14ac:dyDescent="0.2">
      <c r="A23">
        <v>22</v>
      </c>
      <c r="B23">
        <v>27</v>
      </c>
      <c r="C23">
        <v>58</v>
      </c>
      <c r="D23">
        <v>3</v>
      </c>
      <c r="E23">
        <v>12</v>
      </c>
      <c r="F23" t="s">
        <v>155</v>
      </c>
      <c r="G23" t="s">
        <v>156</v>
      </c>
      <c r="H23">
        <v>3</v>
      </c>
      <c r="I23">
        <v>2</v>
      </c>
      <c r="K23" t="s">
        <v>157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1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3</v>
      </c>
      <c r="AC23">
        <v>10</v>
      </c>
      <c r="AD23">
        <v>4</v>
      </c>
      <c r="AE23">
        <v>20</v>
      </c>
      <c r="AF23">
        <v>10</v>
      </c>
      <c r="AG23">
        <v>15</v>
      </c>
      <c r="AH23">
        <v>7</v>
      </c>
      <c r="AI23">
        <v>0.25794722222222199</v>
      </c>
      <c r="AJ23">
        <v>13.944179999999999</v>
      </c>
      <c r="AK23">
        <v>0.27609444444444398</v>
      </c>
      <c r="AL23">
        <v>11.117979999999999</v>
      </c>
      <c r="AM23">
        <v>0.170205555555556</v>
      </c>
      <c r="AN23">
        <v>8.6478400000000004</v>
      </c>
      <c r="AO23">
        <v>0.16634722222222201</v>
      </c>
      <c r="AP23">
        <v>6.2743399999999996</v>
      </c>
      <c r="AQ23">
        <v>0.18964722222222199</v>
      </c>
      <c r="AR23">
        <v>6.6022400000000001</v>
      </c>
      <c r="AS23">
        <v>0.101594444444444</v>
      </c>
      <c r="AT23">
        <v>1.5441400000000001</v>
      </c>
      <c r="AU23">
        <v>0.15204166666666699</v>
      </c>
      <c r="AV23">
        <v>6.4374200000000004</v>
      </c>
      <c r="AW23">
        <v>0.179555555555556</v>
      </c>
      <c r="AX23">
        <v>8.6072500000000005</v>
      </c>
      <c r="AY23">
        <v>0.192863888888889</v>
      </c>
      <c r="AZ23">
        <v>10.43294</v>
      </c>
      <c r="BA23">
        <v>0.20621666666666699</v>
      </c>
      <c r="BB23">
        <v>11.75366</v>
      </c>
      <c r="BC23">
        <v>0.26704444444444397</v>
      </c>
      <c r="BD23">
        <v>13.07835</v>
      </c>
      <c r="BE23">
        <v>0.278063888888889</v>
      </c>
      <c r="BF23">
        <v>19.455310000000001</v>
      </c>
      <c r="BG23">
        <v>0.341936111111111</v>
      </c>
      <c r="BH23">
        <v>22.858160000000002</v>
      </c>
      <c r="BI23">
        <v>0.38576388888888902</v>
      </c>
      <c r="BJ23">
        <v>24.832080000000001</v>
      </c>
      <c r="BK23">
        <v>0.45390277777777799</v>
      </c>
      <c r="BL23">
        <v>31.647729999999999</v>
      </c>
      <c r="BM23">
        <v>0.49540833333333301</v>
      </c>
      <c r="BN23">
        <v>33.640410000000003</v>
      </c>
      <c r="BO23">
        <f t="shared" si="0"/>
        <v>0.101594444444444</v>
      </c>
      <c r="BP23">
        <v>5</v>
      </c>
      <c r="BQ23">
        <v>1.5441400000000001</v>
      </c>
      <c r="BR23">
        <f t="shared" si="1"/>
        <v>0</v>
      </c>
      <c r="BS23">
        <f t="shared" si="2"/>
        <v>0.101594444444444</v>
      </c>
      <c r="BT23">
        <f t="shared" si="3"/>
        <v>5</v>
      </c>
      <c r="BU23">
        <f t="shared" si="4"/>
        <v>1.5441400000000001</v>
      </c>
      <c r="BV23">
        <f t="shared" si="5"/>
        <v>0</v>
      </c>
      <c r="BW23">
        <f t="shared" si="6"/>
        <v>0.101594444444444</v>
      </c>
      <c r="BX23">
        <f t="shared" si="32"/>
        <v>5</v>
      </c>
      <c r="BY23">
        <f t="shared" si="33"/>
        <v>1.5441400000000001</v>
      </c>
      <c r="BZ23">
        <f t="shared" si="7"/>
        <v>0</v>
      </c>
      <c r="CA23">
        <f t="shared" si="8"/>
        <v>0.101594444444444</v>
      </c>
      <c r="CB23">
        <f>IF(CA23=BO23,BP23,IF(CA23=BS23,BT23,IF(CA23=BW23,BX23,0)))</f>
        <v>5</v>
      </c>
      <c r="CC23">
        <f>IF(CA23=BO23,BQ23,IF(CA23=BS23,BU23,IF(CA23=BW23,BY23,0)))</f>
        <v>1.5441400000000001</v>
      </c>
      <c r="CD23">
        <f t="shared" si="9"/>
        <v>0</v>
      </c>
      <c r="CE23">
        <f t="shared" si="10"/>
        <v>0.15204166666666699</v>
      </c>
      <c r="CF23">
        <v>6</v>
      </c>
      <c r="CG23">
        <v>6.4374200000000004</v>
      </c>
      <c r="CH23">
        <f t="shared" si="11"/>
        <v>0</v>
      </c>
      <c r="CI23">
        <f t="shared" si="12"/>
        <v>0.101594444444444</v>
      </c>
      <c r="CJ23">
        <f>IF(CI23=BO23,BP23,IF(CI23=BS23,BT23,IF(CI23=BW23,BX23,IF(CI23=CA23,CB23,IF(CI23=CE23,CF23,0)))))</f>
        <v>5</v>
      </c>
      <c r="CK23">
        <f>IF(CI23=BO23,BQ23,IF(CI23=BS23,BU23,IF(CI23=BW23,BY23,IF(CI23=CA23,CC23,IF(CI23=CE23,CG23,0)))))</f>
        <v>1.5441400000000001</v>
      </c>
      <c r="CL23">
        <f t="shared" si="13"/>
        <v>0</v>
      </c>
      <c r="CM23">
        <f t="shared" si="14"/>
        <v>0.101594444444444</v>
      </c>
      <c r="CN23">
        <f>IF(CM23=BO23,BP23,IF(CM23=BS23,BT23,IF(CM23=BW23,BX23,IF(CM23=CA23,CB23,IF(CM23=CE23,CF23,IF(CM23=CI23,CJ23,0))))))</f>
        <v>5</v>
      </c>
      <c r="CO23">
        <f>IF(CM23=BO23,BQ23,IF(CM23=BS23,BU23,IF(CM23=BW23,BY23,IF(CM23=CA23,CC23,IF(CM23=CE23,CG23,IF(CM23=CI23,CK23,0))))))</f>
        <v>1.5441400000000001</v>
      </c>
      <c r="CP23">
        <f t="shared" si="15"/>
        <v>0</v>
      </c>
      <c r="CQ23">
        <f t="shared" si="16"/>
        <v>0.101594444444444</v>
      </c>
      <c r="CR23">
        <f>IF(CQ23=BO23,BP23,IF(CQ23=BS23,BT23,IF(CQ23=BW23,BX23,IF(CQ23=CA23,CB23,IF(CQ23=CE23,CF23,IF(CQ23=CI23,CJ23,IF(CQ23=CM23,CN23,0)))))))</f>
        <v>5</v>
      </c>
      <c r="CS23">
        <f>IF(CQ23=BO23,BQ23,IF(CQ23=BS23,BU23,IF(CQ23=BW23,BY23,IF(CQ23=CA23,CC23,IF(CQ23=CE23,CG23,IF(CQ23=CI23,CK23,IF(CQ23=CM23,CO23,0)))))))</f>
        <v>1.5441400000000001</v>
      </c>
      <c r="CT23">
        <f t="shared" si="17"/>
        <v>0</v>
      </c>
      <c r="CU23">
        <f t="shared" si="18"/>
        <v>0.101594444444444</v>
      </c>
      <c r="CV23">
        <f>IF(CU23=BO23,BP23,IF(CU23=BS23,BT23,IF(CU23=BW23,BX23,IF(CU23=CA23,CB23,IF(CU23=CE23,CF23,IF(CU23=CI23,CJ23,IF(CU23=CM23,CN23,IF(CU23=CQ23,CR23,0))))))))</f>
        <v>5</v>
      </c>
      <c r="CW23">
        <f>IF(CU23=BO23,BQ23,IF(CU23=BS23,BU23,IF(CU23=BW23,BY23,IF(CU23=CA23,CC23,IF(CU23=CE23,CG23,IF(CU23=CI23,CK23,IF(CU23=CM23,CO23,IF(CU23=CQ23,CS23,0))))))))</f>
        <v>1.5441400000000001</v>
      </c>
      <c r="CX23">
        <f t="shared" si="19"/>
        <v>0</v>
      </c>
      <c r="CY23">
        <f t="shared" si="20"/>
        <v>0.101594444444444</v>
      </c>
      <c r="CZ23">
        <f>IF(CY23=BO23,BP23,IF(CY23=BS23,BT23,IF(CY23=BW23,BX23,IF(CY23=CA23,CB23,IF(CY23=CE23,CF23,IF(CY23=CI23,CJ23,IF(CY23=CM23,CN23,IF(CY23=CQ23,CR23,IF(CY23=CU23,CV23,0)))))))))</f>
        <v>5</v>
      </c>
      <c r="DA23">
        <f>IF(CY23=BO23,BQ23,IF(CY23=BS23,BU23,IF(CY23=BW23,BY23,IF(CY23=CA23,CC23,IF(CY23=CE23,CG23,IF(CY23=CI23,CK23,IF(CY23=CM23,CO23,IF(CY23=CQ23,CS23,IF(CY23=CU23,CW23,0)))))))))</f>
        <v>1.5441400000000001</v>
      </c>
      <c r="DB23">
        <f t="shared" si="21"/>
        <v>0</v>
      </c>
      <c r="DC23">
        <f t="shared" si="22"/>
        <v>0.101594444444444</v>
      </c>
      <c r="DD23">
        <f>IF(DC23=BO23,BP23,IF(DC23=BS23,BT23,IF(DC23=BW23,BX23,IF(DC23=CA23,CB23,IF(DC23=CE23,CF23,IF(DC23=CI23,CJ23,IF(DC23=CM23,CN23,IF(DC23=CQ23,CR23,IF(DC23=CU23,CV23,IF(DC23=CY23,CZ23,0))))))))))</f>
        <v>5</v>
      </c>
      <c r="DE23">
        <f>IF(DC23=BO23,BQ23,IF(DC23=BS23,BU23,IF(DC23=BW23,BY23,IF(DC23=CA23,CC23,IF(DC23=CE23,CG23,IF(DC23=CI23,CK23,IF(DC23=CM23,CO23,IF(DC23=CQ23,CS23,IF(DC23=CU23,CW23,IF(DC23=CY23,DA23,0))))))))))</f>
        <v>1.5441400000000001</v>
      </c>
      <c r="DF23">
        <f t="shared" si="23"/>
        <v>0</v>
      </c>
      <c r="DG23">
        <f t="shared" si="24"/>
        <v>0.101594444444444</v>
      </c>
      <c r="DH23">
        <f>IF(DG23=BO23,BP23,IF(DG23=BS23,BT23,IF(DG23=BW23,BX23,IF(DG23=CA23,CB23,IF(DG23=CE23,CF23,IF(DG23=CI23,CJ23,IF(DG23=CM23,CN23,IF(DG23=CQ23,CR23,IF(DG23=CU23,CV23,IF(DG23=CY23,CZ23,IF(DG23=DC23,DD23,0)))))))))))</f>
        <v>5</v>
      </c>
      <c r="DI23">
        <f>IF(DG23=BO23,BQ23,IF(DG23=BS23,BU23,IF(DG23=BW23,BY23,IF(DG23=CA23,CC23,IF(DG23=CE23,CG23,IF(DG23=CI23,CK23,IF(DG23=CM23,CO23,IF(DG23=CQ23,CS23,IF(DG23=CU23,CW23,IF(DG23=CY23,DA23,IF(DG23=DC23,DE23,0)))))))))))</f>
        <v>1.5441400000000001</v>
      </c>
      <c r="DJ23">
        <f t="shared" si="25"/>
        <v>0</v>
      </c>
      <c r="DK23">
        <f t="shared" si="26"/>
        <v>0.101594444444444</v>
      </c>
      <c r="DL23">
        <f>IF(DK23=BO23,BP23,IF(DK23=BS23,BT23,IF(DK23=BW23,BX23,IF(DK23=CA23,CB23,IF(DK23=CE23,CF23,IF(DK23=CI23,CJ23,IF(DK23=CM23,CN23,IF(DK23=CQ23,CR23,IF(DK23=CU23,CV23,IF(DK23=CY23,CZ23,IF(DK23=DC23,DD23,IF(DK23=DG23,DH23,0))))))))))))</f>
        <v>5</v>
      </c>
      <c r="DM23">
        <f>IF(DK23=BO23,BQ23,IF(DK23=BS23,BU23,IF(DK23=BW23,BY23,IF(DK23=CA23,CC23,IF(DK23=CE23,CG23,IF(DK23=CI23,CK23,IF(DK23=CM23,CO23,IF(DK23=CQ23,CS23,IF(DK23=CU23,CW23,IF(DK23=CY23,DA23,IF(DK23=DC23,DE23,IF(DK23=DG23,DI23,0))))))))))))</f>
        <v>1.5441400000000001</v>
      </c>
      <c r="DN23">
        <f t="shared" si="27"/>
        <v>0</v>
      </c>
      <c r="DO23">
        <f t="shared" si="28"/>
        <v>0.101594444444444</v>
      </c>
      <c r="DP23">
        <f>IF(DO23=BO23,BP23,IF(DO23=BS23,BT23,IF(DO23=BW23,BX23,IF(DO23=CA23,CB23,IF(DO23=CE23,CF23,IF(DO23=CI23,CJ23,IF(DO23=CM23,CN23,IF(DO23=CQ23,CR23,IF(DO23=CU23,CV23,IF(DO23=CY23,CZ23,IF(DO23=DC23,DD23,IF(DO23=DG23,DH23,IF(DO23=DK23,DL23,0)))))))))))))</f>
        <v>5</v>
      </c>
      <c r="DQ23">
        <f>IF(DO23=BO23,BQ23,IF(DO23=BS23,BU23,IF(DO23=BW23,BY23,IF(DO23=CA23,CC23,IF(DO23=CE23,CG23,IF(DO23=CI23,CK23,IF(DO23=CM23,CO23,IF(DO23=CQ23,CS23,IF(DO23=CU23,CW23,IF(DO23=CY23,DA23,IF(DO23=DC23,DE23,IF(DO23=DG23,DI23,IF(DO23=DK23,DM23,0)))))))))))))</f>
        <v>1.5441400000000001</v>
      </c>
      <c r="DR23">
        <f t="shared" si="29"/>
        <v>0</v>
      </c>
      <c r="DS23">
        <f t="shared" si="30"/>
        <v>0.101594444444444</v>
      </c>
      <c r="DT23">
        <f>IF(DS23=BO23,BP23,IF(DS23=BS23,BT23,IF(DS23=BW23,BX23,IF(DS23=CA23,CB23,IF(DS23=CE23,CF23,IF(DS23=CI23,CJ23,IF(DS23=CM23,CN23,IF(DS23=CQ23,CR23,IF(DS23=CU23,CV23,IF(DS23=CY23,CZ23,IF(DS23=DC23,DD23,IF(DS23=DG23,DH23,IF(DS23=DK23,DL23,IF(DS23=DO23,DP23,0))))))))))))))</f>
        <v>5</v>
      </c>
      <c r="DU23">
        <f>IF(DS23=BO23,BQ23,IF(DS23=BS23,BU23,IF(DS23=BW23,BY23,IF(DS23=CA23,CC23,IF(DS23=CE23,CG23,IF(DS23=CI23,CK23,IF(DS23=CM23,CO23,IF(DS23=CQ23,CS23,IF(DS23=CU23,CW23,IF(DS23=CY23,DA23,IF(DS23=DC23,DE23,IF(DS23=DG23,DI23,IF(DS23=DK23,DM23,IF(DS23=DO23,DQ23,0))))))))))))))</f>
        <v>1.5441400000000001</v>
      </c>
      <c r="DV23">
        <f t="shared" si="31"/>
        <v>0</v>
      </c>
      <c r="DW23">
        <v>22500.5</v>
      </c>
      <c r="DX23">
        <v>6</v>
      </c>
      <c r="DY23">
        <v>0</v>
      </c>
      <c r="DZ23">
        <v>6</v>
      </c>
      <c r="EA23">
        <v>6</v>
      </c>
      <c r="EB23">
        <v>10.114099490560401</v>
      </c>
      <c r="EC23">
        <v>1</v>
      </c>
      <c r="ED23">
        <v>2.2084956</v>
      </c>
      <c r="EE23">
        <v>0.101594444444444</v>
      </c>
      <c r="EF23">
        <v>1.5441400000000001</v>
      </c>
      <c r="EG23">
        <v>6.6974496471663496</v>
      </c>
      <c r="EH23">
        <v>5</v>
      </c>
      <c r="EI23">
        <v>0</v>
      </c>
      <c r="EJ23">
        <v>0.133825466666667</v>
      </c>
      <c r="EK23">
        <v>1</v>
      </c>
      <c r="EL23">
        <v>0</v>
      </c>
      <c r="EM23">
        <v>54</v>
      </c>
      <c r="EN23">
        <v>1</v>
      </c>
      <c r="EO23">
        <v>2</v>
      </c>
      <c r="EP23">
        <v>7</v>
      </c>
      <c r="EQ23">
        <v>10</v>
      </c>
      <c r="ER23">
        <v>14.1987814663817</v>
      </c>
      <c r="ES23">
        <v>7.3250724763870396</v>
      </c>
      <c r="ET23">
        <v>9.5335680763870396</v>
      </c>
      <c r="EU23">
        <v>2.8850346297302298</v>
      </c>
      <c r="EV23">
        <v>3.0188600963968999</v>
      </c>
      <c r="EW23">
        <v>0.90418813333333303</v>
      </c>
      <c r="EX23">
        <v>5.4768644221797098</v>
      </c>
      <c r="EY23">
        <v>6.3810525555130404</v>
      </c>
      <c r="EZ23">
        <v>0.133825466666667</v>
      </c>
      <c r="FA23">
        <v>2.8850346297302298</v>
      </c>
      <c r="FB23">
        <v>3.0188600963968999</v>
      </c>
      <c r="FC23">
        <v>0.54377613333333297</v>
      </c>
      <c r="FD23">
        <v>4.7238557117459203</v>
      </c>
      <c r="FE23">
        <v>5.2676318450792499</v>
      </c>
      <c r="FF23">
        <v>0.133825466666667</v>
      </c>
      <c r="FG23">
        <v>2.8850346297302298</v>
      </c>
      <c r="FH23">
        <v>3.0188600963968999</v>
      </c>
    </row>
    <row r="24" spans="1:164" x14ac:dyDescent="0.2">
      <c r="A24">
        <v>23</v>
      </c>
      <c r="B24">
        <v>28</v>
      </c>
      <c r="C24">
        <v>59</v>
      </c>
      <c r="D24">
        <v>3</v>
      </c>
      <c r="E24">
        <v>12</v>
      </c>
      <c r="F24" t="s">
        <v>158</v>
      </c>
      <c r="G24" t="s">
        <v>159</v>
      </c>
      <c r="H24">
        <v>3</v>
      </c>
      <c r="I24">
        <v>4</v>
      </c>
      <c r="K24" t="s">
        <v>160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3</v>
      </c>
      <c r="AC24">
        <v>0</v>
      </c>
      <c r="AD24">
        <v>4</v>
      </c>
      <c r="AE24">
        <v>8</v>
      </c>
      <c r="AF24">
        <v>4</v>
      </c>
      <c r="AG24">
        <v>7</v>
      </c>
      <c r="AH24">
        <v>5</v>
      </c>
      <c r="AI24">
        <v>0.40813611111111098</v>
      </c>
      <c r="AJ24">
        <v>21.732019999999999</v>
      </c>
      <c r="AK24">
        <v>0.37863333333333299</v>
      </c>
      <c r="AL24">
        <v>10.83484</v>
      </c>
      <c r="AM24">
        <v>0.27598055555555601</v>
      </c>
      <c r="AN24">
        <v>10.09229</v>
      </c>
      <c r="AO24">
        <v>0.261269444444444</v>
      </c>
      <c r="AP24">
        <v>8.6314700000000002</v>
      </c>
      <c r="AQ24">
        <v>0.32419722222222203</v>
      </c>
      <c r="AR24">
        <v>10.70336</v>
      </c>
      <c r="AS24">
        <v>0.31681666666666702</v>
      </c>
      <c r="AT24">
        <v>10.200089999999999</v>
      </c>
      <c r="AU24">
        <v>0.311491666666667</v>
      </c>
      <c r="AV24">
        <v>12.6065</v>
      </c>
      <c r="AW24">
        <v>0.33306944444444397</v>
      </c>
      <c r="AX24">
        <v>16.982040000000001</v>
      </c>
      <c r="AY24">
        <v>0.34305277777777798</v>
      </c>
      <c r="AZ24">
        <v>18.220780000000001</v>
      </c>
      <c r="BA24">
        <v>0.35640555555555598</v>
      </c>
      <c r="BB24">
        <v>19.54149</v>
      </c>
      <c r="BC24">
        <v>0.41723333333333301</v>
      </c>
      <c r="BD24">
        <v>20.86619</v>
      </c>
      <c r="BE24">
        <v>0.42825277777777798</v>
      </c>
      <c r="BF24">
        <v>27.24315</v>
      </c>
      <c r="BG24">
        <v>0.49212499999999998</v>
      </c>
      <c r="BH24">
        <v>30.646000000000001</v>
      </c>
      <c r="BI24">
        <v>0.53595277777777806</v>
      </c>
      <c r="BJ24">
        <v>32.619909999999997</v>
      </c>
      <c r="BK24">
        <v>0.60409166666666703</v>
      </c>
      <c r="BL24">
        <v>39.435560000000002</v>
      </c>
      <c r="BM24">
        <v>0.64559722222222204</v>
      </c>
      <c r="BN24">
        <v>41.428240000000002</v>
      </c>
      <c r="BO24">
        <f t="shared" si="0"/>
        <v>0.261269444444444</v>
      </c>
      <c r="BP24">
        <v>3</v>
      </c>
      <c r="BQ24">
        <v>8.6314700000000002</v>
      </c>
      <c r="BR24">
        <f t="shared" si="1"/>
        <v>0</v>
      </c>
      <c r="BS24">
        <f t="shared" si="2"/>
        <v>0.261269444444444</v>
      </c>
      <c r="BT24">
        <f t="shared" si="3"/>
        <v>3</v>
      </c>
      <c r="BU24">
        <f t="shared" si="4"/>
        <v>8.6314700000000002</v>
      </c>
      <c r="BV24">
        <f t="shared" si="5"/>
        <v>0</v>
      </c>
      <c r="BW24">
        <f t="shared" si="6"/>
        <v>0.27598055555555601</v>
      </c>
      <c r="BX24">
        <v>2</v>
      </c>
      <c r="BY24">
        <v>10.09229</v>
      </c>
      <c r="BZ24">
        <f t="shared" si="7"/>
        <v>0</v>
      </c>
      <c r="CA24">
        <f t="shared" si="8"/>
        <v>0.261269444444444</v>
      </c>
      <c r="CB24">
        <f>IF(CA24=BO24,BP24,IF(CA24=BS24,BT24,IF(CA24=BW24,BX24,0)))</f>
        <v>3</v>
      </c>
      <c r="CC24">
        <f>IF(CA24=BO24,BQ24,IF(CA24=BS24,BU24,IF(CA24=BW24,BY24,0)))</f>
        <v>8.6314700000000002</v>
      </c>
      <c r="CD24">
        <f t="shared" si="9"/>
        <v>0</v>
      </c>
      <c r="CE24">
        <f t="shared" si="10"/>
        <v>0.261269444444444</v>
      </c>
      <c r="CF24">
        <f>IF(CE24=BO24,BP24,IF(CE24=BS24,BT24,IF(CE24=BW24,BX24,IF(CE24=CA24,CB24,0))))</f>
        <v>3</v>
      </c>
      <c r="CG24">
        <f>IF(CE24=BO24,BQ24,IF(CE24=BS24,BU24,IF(CE24=BW24,BY24,IF(CE24=CA24,CC24,0))))</f>
        <v>8.6314700000000002</v>
      </c>
      <c r="CH24">
        <f t="shared" si="11"/>
        <v>0</v>
      </c>
      <c r="CI24">
        <f t="shared" si="12"/>
        <v>0.261269444444444</v>
      </c>
      <c r="CJ24">
        <f>IF(CI24=BO24,BP24,IF(CI24=BS24,BT24,IF(CI24=BW24,BX24,IF(CI24=CA24,CB24,IF(CI24=CE24,CF24,0)))))</f>
        <v>3</v>
      </c>
      <c r="CK24">
        <f>IF(CI24=BO24,BQ24,IF(CI24=BS24,BU24,IF(CI24=BW24,BY24,IF(CI24=CA24,CC24,IF(CI24=CE24,CG24,0)))))</f>
        <v>8.6314700000000002</v>
      </c>
      <c r="CL24">
        <f t="shared" si="13"/>
        <v>0</v>
      </c>
      <c r="CM24">
        <f t="shared" si="14"/>
        <v>0.261269444444444</v>
      </c>
      <c r="CN24">
        <f>IF(CM24=BO24,BP24,IF(CM24=BS24,BT24,IF(CM24=BW24,BX24,IF(CM24=CA24,CB24,IF(CM24=CE24,CF24,IF(CM24=CI24,CJ24,0))))))</f>
        <v>3</v>
      </c>
      <c r="CO24">
        <f>IF(CM24=BO24,BQ24,IF(CM24=BS24,BU24,IF(CM24=BW24,BY24,IF(CM24=CA24,CC24,IF(CM24=CE24,CG24,IF(CM24=CI24,CK24,0))))))</f>
        <v>8.6314700000000002</v>
      </c>
      <c r="CP24">
        <f t="shared" si="15"/>
        <v>0</v>
      </c>
      <c r="CQ24">
        <f t="shared" si="16"/>
        <v>0.261269444444444</v>
      </c>
      <c r="CR24">
        <f>IF(CQ24=BO24,BP24,IF(CQ24=BS24,BT24,IF(CQ24=BW24,BX24,IF(CQ24=CA24,CB24,IF(CQ24=CE24,CF24,IF(CQ24=CI24,CJ24,IF(CQ24=CM24,CN24,0)))))))</f>
        <v>3</v>
      </c>
      <c r="CS24">
        <f>IF(CQ24=BO24,BQ24,IF(CQ24=BS24,BU24,IF(CQ24=BW24,BY24,IF(CQ24=CA24,CC24,IF(CQ24=CE24,CG24,IF(CQ24=CI24,CK24,IF(CQ24=CM24,CO24,0)))))))</f>
        <v>8.6314700000000002</v>
      </c>
      <c r="CT24">
        <f t="shared" si="17"/>
        <v>0</v>
      </c>
      <c r="CU24">
        <f t="shared" si="18"/>
        <v>0.261269444444444</v>
      </c>
      <c r="CV24">
        <f>IF(CU24=BO24,BP24,IF(CU24=BS24,BT24,IF(CU24=BW24,BX24,IF(CU24=CA24,CB24,IF(CU24=CE24,CF24,IF(CU24=CI24,CJ24,IF(CU24=CM24,CN24,IF(CU24=CQ24,CR24,0))))))))</f>
        <v>3</v>
      </c>
      <c r="CW24">
        <f>IF(CU24=BO24,BQ24,IF(CU24=BS24,BU24,IF(CU24=BW24,BY24,IF(CU24=CA24,CC24,IF(CU24=CE24,CG24,IF(CU24=CI24,CK24,IF(CU24=CM24,CO24,IF(CU24=CQ24,CS24,0))))))))</f>
        <v>8.6314700000000002</v>
      </c>
      <c r="CX24">
        <f t="shared" si="19"/>
        <v>0</v>
      </c>
      <c r="CY24">
        <f t="shared" si="20"/>
        <v>0.261269444444444</v>
      </c>
      <c r="CZ24">
        <f>IF(CY24=BO24,BP24,IF(CY24=BS24,BT24,IF(CY24=BW24,BX24,IF(CY24=CA24,CB24,IF(CY24=CE24,CF24,IF(CY24=CI24,CJ24,IF(CY24=CM24,CN24,IF(CY24=CQ24,CR24,IF(CY24=CU24,CV24,0)))))))))</f>
        <v>3</v>
      </c>
      <c r="DA24">
        <f>IF(CY24=BO24,BQ24,IF(CY24=BS24,BU24,IF(CY24=BW24,BY24,IF(CY24=CA24,CC24,IF(CY24=CE24,CG24,IF(CY24=CI24,CK24,IF(CY24=CM24,CO24,IF(CY24=CQ24,CS24,IF(CY24=CU24,CW24,0)))))))))</f>
        <v>8.6314700000000002</v>
      </c>
      <c r="DB24">
        <f t="shared" si="21"/>
        <v>0</v>
      </c>
      <c r="DC24">
        <f t="shared" si="22"/>
        <v>0.261269444444444</v>
      </c>
      <c r="DD24">
        <f>IF(DC24=BO24,BP24,IF(DC24=BS24,BT24,IF(DC24=BW24,BX24,IF(DC24=CA24,CB24,IF(DC24=CE24,CF24,IF(DC24=CI24,CJ24,IF(DC24=CM24,CN24,IF(DC24=CQ24,CR24,IF(DC24=CU24,CV24,IF(DC24=CY24,CZ24,0))))))))))</f>
        <v>3</v>
      </c>
      <c r="DE24">
        <f>IF(DC24=BO24,BQ24,IF(DC24=BS24,BU24,IF(DC24=BW24,BY24,IF(DC24=CA24,CC24,IF(DC24=CE24,CG24,IF(DC24=CI24,CK24,IF(DC24=CM24,CO24,IF(DC24=CQ24,CS24,IF(DC24=CU24,CW24,IF(DC24=CY24,DA24,0))))))))))</f>
        <v>8.6314700000000002</v>
      </c>
      <c r="DF24">
        <f t="shared" si="23"/>
        <v>0</v>
      </c>
      <c r="DG24">
        <f t="shared" si="24"/>
        <v>0.261269444444444</v>
      </c>
      <c r="DH24">
        <f>IF(DG24=BO24,BP24,IF(DG24=BS24,BT24,IF(DG24=BW24,BX24,IF(DG24=CA24,CB24,IF(DG24=CE24,CF24,IF(DG24=CI24,CJ24,IF(DG24=CM24,CN24,IF(DG24=CQ24,CR24,IF(DG24=CU24,CV24,IF(DG24=CY24,CZ24,IF(DG24=DC24,DD24,0)))))))))))</f>
        <v>3</v>
      </c>
      <c r="DI24">
        <f>IF(DG24=BO24,BQ24,IF(DG24=BS24,BU24,IF(DG24=BW24,BY24,IF(DG24=CA24,CC24,IF(DG24=CE24,CG24,IF(DG24=CI24,CK24,IF(DG24=CM24,CO24,IF(DG24=CQ24,CS24,IF(DG24=CU24,CW24,IF(DG24=CY24,DA24,IF(DG24=DC24,DE24,0)))))))))))</f>
        <v>8.6314700000000002</v>
      </c>
      <c r="DJ24">
        <f t="shared" si="25"/>
        <v>0</v>
      </c>
      <c r="DK24">
        <f t="shared" si="26"/>
        <v>0.261269444444444</v>
      </c>
      <c r="DL24">
        <f>IF(DK24=BO24,BP24,IF(DK24=BS24,BT24,IF(DK24=BW24,BX24,IF(DK24=CA24,CB24,IF(DK24=CE24,CF24,IF(DK24=CI24,CJ24,IF(DK24=CM24,CN24,IF(DK24=CQ24,CR24,IF(DK24=CU24,CV24,IF(DK24=CY24,CZ24,IF(DK24=DC24,DD24,IF(DK24=DG24,DH24,0))))))))))))</f>
        <v>3</v>
      </c>
      <c r="DM24">
        <f>IF(DK24=BO24,BQ24,IF(DK24=BS24,BU24,IF(DK24=BW24,BY24,IF(DK24=CA24,CC24,IF(DK24=CE24,CG24,IF(DK24=CI24,CK24,IF(DK24=CM24,CO24,IF(DK24=CQ24,CS24,IF(DK24=CU24,CW24,IF(DK24=CY24,DA24,IF(DK24=DC24,DE24,IF(DK24=DG24,DI24,0))))))))))))</f>
        <v>8.6314700000000002</v>
      </c>
      <c r="DN24">
        <f t="shared" si="27"/>
        <v>0</v>
      </c>
      <c r="DO24">
        <f t="shared" si="28"/>
        <v>0.261269444444444</v>
      </c>
      <c r="DP24">
        <f>IF(DO24=BO24,BP24,IF(DO24=BS24,BT24,IF(DO24=BW24,BX24,IF(DO24=CA24,CB24,IF(DO24=CE24,CF24,IF(DO24=CI24,CJ24,IF(DO24=CM24,CN24,IF(DO24=CQ24,CR24,IF(DO24=CU24,CV24,IF(DO24=CY24,CZ24,IF(DO24=DC24,DD24,IF(DO24=DG24,DH24,IF(DO24=DK24,DL24,0)))))))))))))</f>
        <v>3</v>
      </c>
      <c r="DQ24">
        <f>IF(DO24=BO24,BQ24,IF(DO24=BS24,BU24,IF(DO24=BW24,BY24,IF(DO24=CA24,CC24,IF(DO24=CE24,CG24,IF(DO24=CI24,CK24,IF(DO24=CM24,CO24,IF(DO24=CQ24,CS24,IF(DO24=CU24,CW24,IF(DO24=CY24,DA24,IF(DO24=DC24,DE24,IF(DO24=DG24,DI24,IF(DO24=DK24,DM24,0)))))))))))))</f>
        <v>8.6314700000000002</v>
      </c>
      <c r="DR24">
        <f t="shared" si="29"/>
        <v>0</v>
      </c>
      <c r="DS24">
        <f t="shared" si="30"/>
        <v>0.261269444444444</v>
      </c>
      <c r="DT24">
        <f>IF(DS24=BO24,BP24,IF(DS24=BS24,BT24,IF(DS24=BW24,BX24,IF(DS24=CA24,CB24,IF(DS24=CE24,CF24,IF(DS24=CI24,CJ24,IF(DS24=CM24,CN24,IF(DS24=CQ24,CR24,IF(DS24=CU24,CV24,IF(DS24=CY24,CZ24,IF(DS24=DC24,DD24,IF(DS24=DG24,DH24,IF(DS24=DK24,DL24,IF(DS24=DO24,DP24,0))))))))))))))</f>
        <v>3</v>
      </c>
      <c r="DU24">
        <f>IF(DS24=BO24,BQ24,IF(DS24=BS24,BU24,IF(DS24=BW24,BY24,IF(DS24=CA24,CC24,IF(DS24=CE24,CG24,IF(DS24=CI24,CK24,IF(DS24=CM24,CO24,IF(DS24=CQ24,CS24,IF(DS24=CU24,CW24,IF(DS24=CY24,DA24,IF(DS24=DC24,DE24,IF(DS24=DG24,DI24,IF(DS24=DK24,DM24,IF(DS24=DO24,DQ24,0))))))))))))))</f>
        <v>8.6314700000000002</v>
      </c>
      <c r="DV24">
        <f t="shared" si="31"/>
        <v>0</v>
      </c>
      <c r="DW24">
        <v>22500.5</v>
      </c>
      <c r="DX24">
        <v>2</v>
      </c>
      <c r="DY24">
        <v>0</v>
      </c>
      <c r="DZ24">
        <v>6</v>
      </c>
      <c r="EA24">
        <v>6</v>
      </c>
      <c r="EB24">
        <v>10.114099490560401</v>
      </c>
      <c r="EC24">
        <v>3</v>
      </c>
      <c r="ED24">
        <v>8.6503251999999993</v>
      </c>
      <c r="EE24">
        <v>0.261269444444444</v>
      </c>
      <c r="EF24">
        <v>8.6314700000000002</v>
      </c>
      <c r="EG24">
        <v>13.498425810844299</v>
      </c>
      <c r="EH24">
        <v>3</v>
      </c>
      <c r="EI24">
        <v>0</v>
      </c>
      <c r="EJ24">
        <v>2.2441822</v>
      </c>
      <c r="EK24">
        <v>1</v>
      </c>
      <c r="EL24">
        <v>0</v>
      </c>
      <c r="EM24">
        <v>44</v>
      </c>
      <c r="EN24">
        <v>1</v>
      </c>
      <c r="EO24">
        <v>4</v>
      </c>
      <c r="EP24">
        <v>5</v>
      </c>
      <c r="EQ24">
        <v>4</v>
      </c>
      <c r="ER24">
        <v>14.1987814663817</v>
      </c>
      <c r="ES24">
        <v>11.590070900411099</v>
      </c>
      <c r="ET24">
        <v>20.2403961004111</v>
      </c>
      <c r="EU24">
        <v>7.4194154910192198</v>
      </c>
      <c r="EV24">
        <v>9.6635976910192198</v>
      </c>
      <c r="EW24">
        <v>4.7374027999999999</v>
      </c>
      <c r="EX24">
        <v>9.7418628462037304</v>
      </c>
      <c r="EY24">
        <v>14.4792656462037</v>
      </c>
      <c r="EZ24">
        <v>2.2441822</v>
      </c>
      <c r="FA24">
        <v>7.4194154910192198</v>
      </c>
      <c r="FB24">
        <v>9.6635976910192198</v>
      </c>
      <c r="FC24">
        <v>2.2441822</v>
      </c>
      <c r="FD24">
        <v>7.4194154910192198</v>
      </c>
      <c r="FE24">
        <v>9.6635976910192198</v>
      </c>
      <c r="FF24">
        <v>2.6239954000000001</v>
      </c>
      <c r="FG24">
        <v>7.8371751946078998</v>
      </c>
      <c r="FH24">
        <v>10.4611705946079</v>
      </c>
    </row>
    <row r="25" spans="1:164" x14ac:dyDescent="0.2">
      <c r="A25">
        <v>24</v>
      </c>
      <c r="B25">
        <v>29</v>
      </c>
      <c r="C25">
        <v>60</v>
      </c>
      <c r="D25">
        <v>3</v>
      </c>
      <c r="E25">
        <v>12</v>
      </c>
      <c r="F25" t="s">
        <v>161</v>
      </c>
      <c r="G25" t="s">
        <v>162</v>
      </c>
      <c r="H25">
        <v>3</v>
      </c>
      <c r="I25">
        <v>4</v>
      </c>
      <c r="K25" t="s">
        <v>163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3</v>
      </c>
      <c r="AC25">
        <v>0</v>
      </c>
      <c r="AD25">
        <v>12</v>
      </c>
      <c r="AE25">
        <v>16</v>
      </c>
      <c r="AF25">
        <v>8</v>
      </c>
      <c r="AG25">
        <v>10</v>
      </c>
      <c r="AH25">
        <v>5</v>
      </c>
      <c r="AI25">
        <v>0.40813611111111098</v>
      </c>
      <c r="AJ25">
        <v>21.732019999999999</v>
      </c>
      <c r="AK25">
        <v>0.37863333333333299</v>
      </c>
      <c r="AL25">
        <v>10.83484</v>
      </c>
      <c r="AM25">
        <v>0.27598055555555601</v>
      </c>
      <c r="AN25">
        <v>10.09229</v>
      </c>
      <c r="AO25">
        <v>0.261269444444444</v>
      </c>
      <c r="AP25">
        <v>8.6314700000000002</v>
      </c>
      <c r="AQ25">
        <v>0.32419722222222203</v>
      </c>
      <c r="AR25">
        <v>10.70336</v>
      </c>
      <c r="AS25">
        <v>0.31681666666666702</v>
      </c>
      <c r="AT25">
        <v>10.200089999999999</v>
      </c>
      <c r="AU25">
        <v>0.311491666666667</v>
      </c>
      <c r="AV25">
        <v>12.6065</v>
      </c>
      <c r="AW25">
        <v>0.33306944444444397</v>
      </c>
      <c r="AX25">
        <v>16.982040000000001</v>
      </c>
      <c r="AY25">
        <v>0.34305277777777798</v>
      </c>
      <c r="AZ25">
        <v>18.220780000000001</v>
      </c>
      <c r="BA25">
        <v>0.35640555555555598</v>
      </c>
      <c r="BB25">
        <v>19.54149</v>
      </c>
      <c r="BC25">
        <v>0.41723333333333301</v>
      </c>
      <c r="BD25">
        <v>20.86619</v>
      </c>
      <c r="BE25">
        <v>0.42825277777777798</v>
      </c>
      <c r="BF25">
        <v>27.24315</v>
      </c>
      <c r="BG25">
        <v>0.49212499999999998</v>
      </c>
      <c r="BH25">
        <v>30.646000000000001</v>
      </c>
      <c r="BI25">
        <v>0.53595277777777806</v>
      </c>
      <c r="BJ25">
        <v>32.619909999999997</v>
      </c>
      <c r="BK25">
        <v>0.60409166666666703</v>
      </c>
      <c r="BL25">
        <v>39.435560000000002</v>
      </c>
      <c r="BM25">
        <v>0.64559722222222204</v>
      </c>
      <c r="BN25">
        <v>41.428240000000002</v>
      </c>
      <c r="BO25">
        <f t="shared" si="0"/>
        <v>0.261269444444444</v>
      </c>
      <c r="BP25">
        <v>3</v>
      </c>
      <c r="BQ25">
        <v>8.6314700000000002</v>
      </c>
      <c r="BR25">
        <f t="shared" si="1"/>
        <v>0</v>
      </c>
      <c r="BS25">
        <f t="shared" si="2"/>
        <v>0.261269444444444</v>
      </c>
      <c r="BT25">
        <f t="shared" si="3"/>
        <v>3</v>
      </c>
      <c r="BU25">
        <f t="shared" si="4"/>
        <v>8.6314700000000002</v>
      </c>
      <c r="BV25">
        <f t="shared" si="5"/>
        <v>0</v>
      </c>
      <c r="BW25">
        <f t="shared" si="6"/>
        <v>0.27598055555555601</v>
      </c>
      <c r="BX25">
        <v>2</v>
      </c>
      <c r="BY25">
        <v>10.09229</v>
      </c>
      <c r="BZ25">
        <f t="shared" si="7"/>
        <v>0</v>
      </c>
      <c r="CA25">
        <f t="shared" si="8"/>
        <v>0.261269444444444</v>
      </c>
      <c r="CB25">
        <f>IF(CA25=BO25,BP25,IF(CA25=BS25,BT25,IF(CA25=BW25,BX25,0)))</f>
        <v>3</v>
      </c>
      <c r="CC25">
        <f>IF(CA25=BO25,BQ25,IF(CA25=BS25,BU25,IF(CA25=BW25,BY25,0)))</f>
        <v>8.6314700000000002</v>
      </c>
      <c r="CD25">
        <f t="shared" si="9"/>
        <v>0</v>
      </c>
      <c r="CE25">
        <f t="shared" si="10"/>
        <v>0.261269444444444</v>
      </c>
      <c r="CF25">
        <f>IF(CE25=BO25,BP25,IF(CE25=BS25,BT25,IF(CE25=BW25,BX25,IF(CE25=CA25,CB25,0))))</f>
        <v>3</v>
      </c>
      <c r="CG25">
        <f>IF(CE25=BO25,BQ25,IF(CE25=BS25,BU25,IF(CE25=BW25,BY25,IF(CE25=CA25,CC25,0))))</f>
        <v>8.6314700000000002</v>
      </c>
      <c r="CH25">
        <f t="shared" si="11"/>
        <v>0</v>
      </c>
      <c r="CI25">
        <f t="shared" si="12"/>
        <v>0.261269444444444</v>
      </c>
      <c r="CJ25">
        <f>IF(CI25=BO25,BP25,IF(CI25=BS25,BT25,IF(CI25=BW25,BX25,IF(CI25=CA25,CB25,IF(CI25=CE25,CF25,0)))))</f>
        <v>3</v>
      </c>
      <c r="CK25">
        <f>IF(CI25=BO25,BQ25,IF(CI25=BS25,BU25,IF(CI25=BW25,BY25,IF(CI25=CA25,CC25,IF(CI25=CE25,CG25,0)))))</f>
        <v>8.6314700000000002</v>
      </c>
      <c r="CL25">
        <f t="shared" si="13"/>
        <v>0</v>
      </c>
      <c r="CM25">
        <f t="shared" si="14"/>
        <v>0.261269444444444</v>
      </c>
      <c r="CN25">
        <f>IF(CM25=BO25,BP25,IF(CM25=BS25,BT25,IF(CM25=BW25,BX25,IF(CM25=CA25,CB25,IF(CM25=CE25,CF25,IF(CM25=CI25,CJ25,0))))))</f>
        <v>3</v>
      </c>
      <c r="CO25">
        <f>IF(CM25=BO25,BQ25,IF(CM25=BS25,BU25,IF(CM25=BW25,BY25,IF(CM25=CA25,CC25,IF(CM25=CE25,CG25,IF(CM25=CI25,CK25,0))))))</f>
        <v>8.6314700000000002</v>
      </c>
      <c r="CP25">
        <f t="shared" si="15"/>
        <v>0</v>
      </c>
      <c r="CQ25">
        <f t="shared" si="16"/>
        <v>0.261269444444444</v>
      </c>
      <c r="CR25">
        <f>IF(CQ25=BO25,BP25,IF(CQ25=BS25,BT25,IF(CQ25=BW25,BX25,IF(CQ25=CA25,CB25,IF(CQ25=CE25,CF25,IF(CQ25=CI25,CJ25,IF(CQ25=CM25,CN25,0)))))))</f>
        <v>3</v>
      </c>
      <c r="CS25">
        <f>IF(CQ25=BO25,BQ25,IF(CQ25=BS25,BU25,IF(CQ25=BW25,BY25,IF(CQ25=CA25,CC25,IF(CQ25=CE25,CG25,IF(CQ25=CI25,CK25,IF(CQ25=CM25,CO25,0)))))))</f>
        <v>8.6314700000000002</v>
      </c>
      <c r="CT25">
        <f t="shared" si="17"/>
        <v>0</v>
      </c>
      <c r="CU25">
        <f t="shared" si="18"/>
        <v>0.261269444444444</v>
      </c>
      <c r="CV25">
        <f>IF(CU25=BO25,BP25,IF(CU25=BS25,BT25,IF(CU25=BW25,BX25,IF(CU25=CA25,CB25,IF(CU25=CE25,CF25,IF(CU25=CI25,CJ25,IF(CU25=CM25,CN25,IF(CU25=CQ25,CR25,0))))))))</f>
        <v>3</v>
      </c>
      <c r="CW25">
        <f>IF(CU25=BO25,BQ25,IF(CU25=BS25,BU25,IF(CU25=BW25,BY25,IF(CU25=CA25,CC25,IF(CU25=CE25,CG25,IF(CU25=CI25,CK25,IF(CU25=CM25,CO25,IF(CU25=CQ25,CS25,0))))))))</f>
        <v>8.6314700000000002</v>
      </c>
      <c r="CX25">
        <f t="shared" si="19"/>
        <v>0</v>
      </c>
      <c r="CY25">
        <f t="shared" si="20"/>
        <v>0.261269444444444</v>
      </c>
      <c r="CZ25">
        <f>IF(CY25=BO25,BP25,IF(CY25=BS25,BT25,IF(CY25=BW25,BX25,IF(CY25=CA25,CB25,IF(CY25=CE25,CF25,IF(CY25=CI25,CJ25,IF(CY25=CM25,CN25,IF(CY25=CQ25,CR25,IF(CY25=CU25,CV25,0)))))))))</f>
        <v>3</v>
      </c>
      <c r="DA25">
        <f>IF(CY25=BO25,BQ25,IF(CY25=BS25,BU25,IF(CY25=BW25,BY25,IF(CY25=CA25,CC25,IF(CY25=CE25,CG25,IF(CY25=CI25,CK25,IF(CY25=CM25,CO25,IF(CY25=CQ25,CS25,IF(CY25=CU25,CW25,0)))))))))</f>
        <v>8.6314700000000002</v>
      </c>
      <c r="DB25">
        <f t="shared" si="21"/>
        <v>0</v>
      </c>
      <c r="DC25">
        <f t="shared" si="22"/>
        <v>0.261269444444444</v>
      </c>
      <c r="DD25">
        <f>IF(DC25=BO25,BP25,IF(DC25=BS25,BT25,IF(DC25=BW25,BX25,IF(DC25=CA25,CB25,IF(DC25=CE25,CF25,IF(DC25=CI25,CJ25,IF(DC25=CM25,CN25,IF(DC25=CQ25,CR25,IF(DC25=CU25,CV25,IF(DC25=CY25,CZ25,0))))))))))</f>
        <v>3</v>
      </c>
      <c r="DE25">
        <f>IF(DC25=BO25,BQ25,IF(DC25=BS25,BU25,IF(DC25=BW25,BY25,IF(DC25=CA25,CC25,IF(DC25=CE25,CG25,IF(DC25=CI25,CK25,IF(DC25=CM25,CO25,IF(DC25=CQ25,CS25,IF(DC25=CU25,CW25,IF(DC25=CY25,DA25,0))))))))))</f>
        <v>8.6314700000000002</v>
      </c>
      <c r="DF25">
        <f t="shared" si="23"/>
        <v>0</v>
      </c>
      <c r="DG25">
        <f t="shared" si="24"/>
        <v>0.261269444444444</v>
      </c>
      <c r="DH25">
        <f>IF(DG25=BO25,BP25,IF(DG25=BS25,BT25,IF(DG25=BW25,BX25,IF(DG25=CA25,CB25,IF(DG25=CE25,CF25,IF(DG25=CI25,CJ25,IF(DG25=CM25,CN25,IF(DG25=CQ25,CR25,IF(DG25=CU25,CV25,IF(DG25=CY25,CZ25,IF(DG25=DC25,DD25,0)))))))))))</f>
        <v>3</v>
      </c>
      <c r="DI25">
        <f>IF(DG25=BO25,BQ25,IF(DG25=BS25,BU25,IF(DG25=BW25,BY25,IF(DG25=CA25,CC25,IF(DG25=CE25,CG25,IF(DG25=CI25,CK25,IF(DG25=CM25,CO25,IF(DG25=CQ25,CS25,IF(DG25=CU25,CW25,IF(DG25=CY25,DA25,IF(DG25=DC25,DE25,0)))))))))))</f>
        <v>8.6314700000000002</v>
      </c>
      <c r="DJ25">
        <f t="shared" si="25"/>
        <v>0</v>
      </c>
      <c r="DK25">
        <f t="shared" si="26"/>
        <v>0.261269444444444</v>
      </c>
      <c r="DL25">
        <f>IF(DK25=BO25,BP25,IF(DK25=BS25,BT25,IF(DK25=BW25,BX25,IF(DK25=CA25,CB25,IF(DK25=CE25,CF25,IF(DK25=CI25,CJ25,IF(DK25=CM25,CN25,IF(DK25=CQ25,CR25,IF(DK25=CU25,CV25,IF(DK25=CY25,CZ25,IF(DK25=DC25,DD25,IF(DK25=DG25,DH25,0))))))))))))</f>
        <v>3</v>
      </c>
      <c r="DM25">
        <f>IF(DK25=BO25,BQ25,IF(DK25=BS25,BU25,IF(DK25=BW25,BY25,IF(DK25=CA25,CC25,IF(DK25=CE25,CG25,IF(DK25=CI25,CK25,IF(DK25=CM25,CO25,IF(DK25=CQ25,CS25,IF(DK25=CU25,CW25,IF(DK25=CY25,DA25,IF(DK25=DC25,DE25,IF(DK25=DG25,DI25,0))))))))))))</f>
        <v>8.6314700000000002</v>
      </c>
      <c r="DN25">
        <f t="shared" si="27"/>
        <v>0</v>
      </c>
      <c r="DO25">
        <f t="shared" si="28"/>
        <v>0.261269444444444</v>
      </c>
      <c r="DP25">
        <f>IF(DO25=BO25,BP25,IF(DO25=BS25,BT25,IF(DO25=BW25,BX25,IF(DO25=CA25,CB25,IF(DO25=CE25,CF25,IF(DO25=CI25,CJ25,IF(DO25=CM25,CN25,IF(DO25=CQ25,CR25,IF(DO25=CU25,CV25,IF(DO25=CY25,CZ25,IF(DO25=DC25,DD25,IF(DO25=DG25,DH25,IF(DO25=DK25,DL25,0)))))))))))))</f>
        <v>3</v>
      </c>
      <c r="DQ25">
        <f>IF(DO25=BO25,BQ25,IF(DO25=BS25,BU25,IF(DO25=BW25,BY25,IF(DO25=CA25,CC25,IF(DO25=CE25,CG25,IF(DO25=CI25,CK25,IF(DO25=CM25,CO25,IF(DO25=CQ25,CS25,IF(DO25=CU25,CW25,IF(DO25=CY25,DA25,IF(DO25=DC25,DE25,IF(DO25=DG25,DI25,IF(DO25=DK25,DM25,0)))))))))))))</f>
        <v>8.6314700000000002</v>
      </c>
      <c r="DR25">
        <f t="shared" si="29"/>
        <v>0</v>
      </c>
      <c r="DS25">
        <f t="shared" si="30"/>
        <v>0.261269444444444</v>
      </c>
      <c r="DT25">
        <f>IF(DS25=BO25,BP25,IF(DS25=BS25,BT25,IF(DS25=BW25,BX25,IF(DS25=CA25,CB25,IF(DS25=CE25,CF25,IF(DS25=CI25,CJ25,IF(DS25=CM25,CN25,IF(DS25=CQ25,CR25,IF(DS25=CU25,CV25,IF(DS25=CY25,CZ25,IF(DS25=DC25,DD25,IF(DS25=DG25,DH25,IF(DS25=DK25,DL25,IF(DS25=DO25,DP25,0))))))))))))))</f>
        <v>3</v>
      </c>
      <c r="DU25">
        <f>IF(DS25=BO25,BQ25,IF(DS25=BS25,BU25,IF(DS25=BW25,BY25,IF(DS25=CA25,CC25,IF(DS25=CE25,CG25,IF(DS25=CI25,CK25,IF(DS25=CM25,CO25,IF(DS25=CQ25,CS25,IF(DS25=CU25,CW25,IF(DS25=CY25,DA25,IF(DS25=DC25,DE25,IF(DS25=DG25,DI25,IF(DS25=DK25,DM25,IF(DS25=DO25,DQ25,0))))))))))))))</f>
        <v>8.6314700000000002</v>
      </c>
      <c r="DV25">
        <f t="shared" si="31"/>
        <v>0</v>
      </c>
      <c r="DW25">
        <v>52500.5</v>
      </c>
      <c r="DX25">
        <v>2</v>
      </c>
      <c r="DY25">
        <v>0</v>
      </c>
      <c r="DZ25">
        <v>6</v>
      </c>
      <c r="EA25">
        <v>6</v>
      </c>
      <c r="EB25">
        <v>23.599265807611602</v>
      </c>
      <c r="EC25">
        <v>3</v>
      </c>
      <c r="ED25">
        <v>8.6503251999999993</v>
      </c>
      <c r="EE25">
        <v>0.261269444444444</v>
      </c>
      <c r="EF25">
        <v>8.6314700000000002</v>
      </c>
      <c r="EG25">
        <v>24.505992487499999</v>
      </c>
      <c r="EH25">
        <v>3</v>
      </c>
      <c r="EI25">
        <v>0</v>
      </c>
      <c r="EJ25">
        <v>2.2441822</v>
      </c>
      <c r="EK25">
        <v>1</v>
      </c>
      <c r="EL25">
        <v>0</v>
      </c>
      <c r="EM25">
        <v>43</v>
      </c>
      <c r="EN25">
        <v>1</v>
      </c>
      <c r="EO25">
        <v>4</v>
      </c>
      <c r="EP25">
        <v>5</v>
      </c>
      <c r="EQ25">
        <v>8</v>
      </c>
      <c r="ER25">
        <v>14.1987814663817</v>
      </c>
      <c r="ES25">
        <v>11.590070900411099</v>
      </c>
      <c r="ET25">
        <v>20.2403961004111</v>
      </c>
      <c r="EU25">
        <v>7.4194154910192198</v>
      </c>
      <c r="EV25">
        <v>9.6635976910192198</v>
      </c>
      <c r="EW25">
        <v>4.7374027999999999</v>
      </c>
      <c r="EX25">
        <v>9.7418628462037304</v>
      </c>
      <c r="EY25">
        <v>14.4792656462037</v>
      </c>
      <c r="EZ25">
        <v>2.2441822</v>
      </c>
      <c r="FA25">
        <v>7.4194154910192198</v>
      </c>
      <c r="FB25">
        <v>9.6635976910192198</v>
      </c>
      <c r="FC25">
        <v>2.2441822</v>
      </c>
      <c r="FD25">
        <v>7.4194154910192198</v>
      </c>
      <c r="FE25">
        <v>9.6635976910192198</v>
      </c>
      <c r="FF25">
        <v>2.6239954000000001</v>
      </c>
      <c r="FG25">
        <v>7.8371751946078998</v>
      </c>
      <c r="FH25">
        <v>10.4611705946079</v>
      </c>
    </row>
    <row r="26" spans="1:164" x14ac:dyDescent="0.2">
      <c r="A26">
        <v>25</v>
      </c>
      <c r="B26">
        <v>30</v>
      </c>
      <c r="C26">
        <v>61</v>
      </c>
      <c r="D26">
        <v>1</v>
      </c>
      <c r="E26">
        <v>11</v>
      </c>
      <c r="F26" t="s">
        <v>158</v>
      </c>
      <c r="G26" t="s">
        <v>164</v>
      </c>
      <c r="H26">
        <v>3</v>
      </c>
      <c r="I26">
        <v>4</v>
      </c>
      <c r="K26" t="s">
        <v>165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3</v>
      </c>
      <c r="AC26">
        <v>4</v>
      </c>
      <c r="AD26">
        <v>8</v>
      </c>
      <c r="AE26">
        <v>16</v>
      </c>
      <c r="AF26">
        <v>8</v>
      </c>
      <c r="AG26">
        <v>10</v>
      </c>
      <c r="AH26">
        <v>8</v>
      </c>
      <c r="AI26">
        <v>0.41500833333333298</v>
      </c>
      <c r="AJ26">
        <v>31.26135</v>
      </c>
      <c r="AK26">
        <v>0.27862222222222199</v>
      </c>
      <c r="AL26">
        <v>11.22306</v>
      </c>
      <c r="AM26">
        <v>0.19883611111111099</v>
      </c>
      <c r="AN26">
        <v>11.875209999999999</v>
      </c>
      <c r="AO26">
        <v>0.25001944444444402</v>
      </c>
      <c r="AP26">
        <v>14.489319999999999</v>
      </c>
      <c r="AQ26">
        <v>0.28935277777777801</v>
      </c>
      <c r="AR26">
        <v>16.509799999999998</v>
      </c>
      <c r="AS26">
        <v>0.33392777777777799</v>
      </c>
      <c r="AT26">
        <v>19.850480000000001</v>
      </c>
      <c r="AU26">
        <v>0.33038611111111099</v>
      </c>
      <c r="AV26">
        <v>23.585339999999999</v>
      </c>
      <c r="AW26">
        <v>0.33993888888888901</v>
      </c>
      <c r="AX26">
        <v>26.511379999999999</v>
      </c>
      <c r="AY26">
        <v>0.34992499999999999</v>
      </c>
      <c r="AZ26">
        <v>27.750119999999999</v>
      </c>
      <c r="BA26">
        <v>0.36327777777777798</v>
      </c>
      <c r="BB26">
        <v>29.070830000000001</v>
      </c>
      <c r="BC26">
        <v>0.42410555555555601</v>
      </c>
      <c r="BD26">
        <v>30.395520000000001</v>
      </c>
      <c r="BE26">
        <v>0.43512499999999998</v>
      </c>
      <c r="BF26">
        <v>36.772480000000002</v>
      </c>
      <c r="BG26">
        <v>0.49899722222222198</v>
      </c>
      <c r="BH26">
        <v>40.175339999999998</v>
      </c>
      <c r="BI26">
        <v>0.542825</v>
      </c>
      <c r="BJ26">
        <v>42.149250000000002</v>
      </c>
      <c r="BK26">
        <v>0.61096388888888897</v>
      </c>
      <c r="BL26">
        <v>48.9649</v>
      </c>
      <c r="BM26">
        <v>0.65246666666666697</v>
      </c>
      <c r="BN26">
        <v>50.95758</v>
      </c>
      <c r="BO26">
        <f t="shared" si="0"/>
        <v>0.19883611111111099</v>
      </c>
      <c r="BP26">
        <v>2</v>
      </c>
      <c r="BQ26">
        <v>11.875209999999999</v>
      </c>
      <c r="BR26">
        <f t="shared" si="1"/>
        <v>0</v>
      </c>
      <c r="BS26">
        <f t="shared" si="2"/>
        <v>0.25001944444444402</v>
      </c>
      <c r="BT26">
        <v>3</v>
      </c>
      <c r="BU26">
        <v>14.489319999999999</v>
      </c>
      <c r="BV26">
        <f t="shared" si="5"/>
        <v>0</v>
      </c>
      <c r="BW26">
        <f t="shared" si="6"/>
        <v>0.19883611111111099</v>
      </c>
      <c r="BX26">
        <f t="shared" si="32"/>
        <v>2</v>
      </c>
      <c r="BY26">
        <f t="shared" si="33"/>
        <v>11.875209999999999</v>
      </c>
      <c r="BZ26">
        <f t="shared" si="7"/>
        <v>0</v>
      </c>
      <c r="CA26">
        <f t="shared" si="8"/>
        <v>0.19883611111111099</v>
      </c>
      <c r="CB26">
        <f>IF(CA26=BO26,BP26,IF(CA26=BS26,BT26,IF(CA26=BW26,BX26,0)))</f>
        <v>2</v>
      </c>
      <c r="CC26">
        <f>IF(CA26=BO26,BQ26,IF(CA26=BS26,BU26,IF(CA26=BW26,BY26,0)))</f>
        <v>11.875209999999999</v>
      </c>
      <c r="CD26">
        <f t="shared" si="9"/>
        <v>0</v>
      </c>
      <c r="CE26">
        <f t="shared" si="10"/>
        <v>0.19883611111111099</v>
      </c>
      <c r="CF26">
        <f>IF(CE26=BO26,BP26,IF(CE26=BS26,BT26,IF(CE26=BW26,BX26,IF(CE26=CA26,CB26,0))))</f>
        <v>2</v>
      </c>
      <c r="CG26">
        <f>IF(CE26=BO26,BQ26,IF(CE26=BS26,BU26,IF(CE26=BW26,BY26,IF(CE26=CA26,CC26,0))))</f>
        <v>11.875209999999999</v>
      </c>
      <c r="CH26">
        <f t="shared" si="11"/>
        <v>0</v>
      </c>
      <c r="CI26">
        <f t="shared" si="12"/>
        <v>0.19883611111111099</v>
      </c>
      <c r="CJ26">
        <f>IF(CI26=BO26,BP26,IF(CI26=BS26,BT26,IF(CI26=BW26,BX26,IF(CI26=CA26,CB26,IF(CI26=CE26,CF26,0)))))</f>
        <v>2</v>
      </c>
      <c r="CK26">
        <f>IF(CI26=BO26,BQ26,IF(CI26=BS26,BU26,IF(CI26=BW26,BY26,IF(CI26=CA26,CC26,IF(CI26=CE26,CG26,0)))))</f>
        <v>11.875209999999999</v>
      </c>
      <c r="CL26">
        <f t="shared" si="13"/>
        <v>0</v>
      </c>
      <c r="CM26">
        <f t="shared" si="14"/>
        <v>0.19883611111111099</v>
      </c>
      <c r="CN26">
        <f>IF(CM26=BO26,BP26,IF(CM26=BS26,BT26,IF(CM26=BW26,BX26,IF(CM26=CA26,CB26,IF(CM26=CE26,CF26,IF(CM26=CI26,CJ26,0))))))</f>
        <v>2</v>
      </c>
      <c r="CO26">
        <f>IF(CM26=BO26,BQ26,IF(CM26=BS26,BU26,IF(CM26=BW26,BY26,IF(CM26=CA26,CC26,IF(CM26=CE26,CG26,IF(CM26=CI26,CK26,0))))))</f>
        <v>11.875209999999999</v>
      </c>
      <c r="CP26">
        <f t="shared" si="15"/>
        <v>0</v>
      </c>
      <c r="CQ26">
        <f t="shared" si="16"/>
        <v>0.19883611111111099</v>
      </c>
      <c r="CR26">
        <f>IF(CQ26=BO26,BP26,IF(CQ26=BS26,BT26,IF(CQ26=BW26,BX26,IF(CQ26=CA26,CB26,IF(CQ26=CE26,CF26,IF(CQ26=CI26,CJ26,IF(CQ26=CM26,CN26,0)))))))</f>
        <v>2</v>
      </c>
      <c r="CS26">
        <f>IF(CQ26=BO26,BQ26,IF(CQ26=BS26,BU26,IF(CQ26=BW26,BY26,IF(CQ26=CA26,CC26,IF(CQ26=CE26,CG26,IF(CQ26=CI26,CK26,IF(CQ26=CM26,CO26,0)))))))</f>
        <v>11.875209999999999</v>
      </c>
      <c r="CT26">
        <f t="shared" si="17"/>
        <v>0</v>
      </c>
      <c r="CU26">
        <f t="shared" si="18"/>
        <v>0.19883611111111099</v>
      </c>
      <c r="CV26">
        <f>IF(CU26=BO26,BP26,IF(CU26=BS26,BT26,IF(CU26=BW26,BX26,IF(CU26=CA26,CB26,IF(CU26=CE26,CF26,IF(CU26=CI26,CJ26,IF(CU26=CM26,CN26,IF(CU26=CQ26,CR26,0))))))))</f>
        <v>2</v>
      </c>
      <c r="CW26">
        <f>IF(CU26=BO26,BQ26,IF(CU26=BS26,BU26,IF(CU26=BW26,BY26,IF(CU26=CA26,CC26,IF(CU26=CE26,CG26,IF(CU26=CI26,CK26,IF(CU26=CM26,CO26,IF(CU26=CQ26,CS26,0))))))))</f>
        <v>11.875209999999999</v>
      </c>
      <c r="CX26">
        <f t="shared" si="19"/>
        <v>0</v>
      </c>
      <c r="CY26">
        <f t="shared" si="20"/>
        <v>0.19883611111111099</v>
      </c>
      <c r="CZ26">
        <f>IF(CY26=BO26,BP26,IF(CY26=BS26,BT26,IF(CY26=BW26,BX26,IF(CY26=CA26,CB26,IF(CY26=CE26,CF26,IF(CY26=CI26,CJ26,IF(CY26=CM26,CN26,IF(CY26=CQ26,CR26,IF(CY26=CU26,CV26,0)))))))))</f>
        <v>2</v>
      </c>
      <c r="DA26">
        <f>IF(CY26=BO26,BQ26,IF(CY26=BS26,BU26,IF(CY26=BW26,BY26,IF(CY26=CA26,CC26,IF(CY26=CE26,CG26,IF(CY26=CI26,CK26,IF(CY26=CM26,CO26,IF(CY26=CQ26,CS26,IF(CY26=CU26,CW26,0)))))))))</f>
        <v>11.875209999999999</v>
      </c>
      <c r="DB26">
        <f t="shared" si="21"/>
        <v>0</v>
      </c>
      <c r="DC26">
        <f t="shared" si="22"/>
        <v>0.19883611111111099</v>
      </c>
      <c r="DD26">
        <f>IF(DC26=BO26,BP26,IF(DC26=BS26,BT26,IF(DC26=BW26,BX26,IF(DC26=CA26,CB26,IF(DC26=CE26,CF26,IF(DC26=CI26,CJ26,IF(DC26=CM26,CN26,IF(DC26=CQ26,CR26,IF(DC26=CU26,CV26,IF(DC26=CY26,CZ26,0))))))))))</f>
        <v>2</v>
      </c>
      <c r="DE26">
        <f>IF(DC26=BO26,BQ26,IF(DC26=BS26,BU26,IF(DC26=BW26,BY26,IF(DC26=CA26,CC26,IF(DC26=CE26,CG26,IF(DC26=CI26,CK26,IF(DC26=CM26,CO26,IF(DC26=CQ26,CS26,IF(DC26=CU26,CW26,IF(DC26=CY26,DA26,0))))))))))</f>
        <v>11.875209999999999</v>
      </c>
      <c r="DF26">
        <f t="shared" si="23"/>
        <v>0</v>
      </c>
      <c r="DG26">
        <f t="shared" si="24"/>
        <v>0.19883611111111099</v>
      </c>
      <c r="DH26">
        <f>IF(DG26=BO26,BP26,IF(DG26=BS26,BT26,IF(DG26=BW26,BX26,IF(DG26=CA26,CB26,IF(DG26=CE26,CF26,IF(DG26=CI26,CJ26,IF(DG26=CM26,CN26,IF(DG26=CQ26,CR26,IF(DG26=CU26,CV26,IF(DG26=CY26,CZ26,IF(DG26=DC26,DD26,0)))))))))))</f>
        <v>2</v>
      </c>
      <c r="DI26">
        <f>IF(DG26=BO26,BQ26,IF(DG26=BS26,BU26,IF(DG26=BW26,BY26,IF(DG26=CA26,CC26,IF(DG26=CE26,CG26,IF(DG26=CI26,CK26,IF(DG26=CM26,CO26,IF(DG26=CQ26,CS26,IF(DG26=CU26,CW26,IF(DG26=CY26,DA26,IF(DG26=DC26,DE26,0)))))))))))</f>
        <v>11.875209999999999</v>
      </c>
      <c r="DJ26">
        <f t="shared" si="25"/>
        <v>0</v>
      </c>
      <c r="DK26">
        <f t="shared" si="26"/>
        <v>0.19883611111111099</v>
      </c>
      <c r="DL26">
        <f>IF(DK26=BO26,BP26,IF(DK26=BS26,BT26,IF(DK26=BW26,BX26,IF(DK26=CA26,CB26,IF(DK26=CE26,CF26,IF(DK26=CI26,CJ26,IF(DK26=CM26,CN26,IF(DK26=CQ26,CR26,IF(DK26=CU26,CV26,IF(DK26=CY26,CZ26,IF(DK26=DC26,DD26,IF(DK26=DG26,DH26,0))))))))))))</f>
        <v>2</v>
      </c>
      <c r="DM26">
        <f>IF(DK26=BO26,BQ26,IF(DK26=BS26,BU26,IF(DK26=BW26,BY26,IF(DK26=CA26,CC26,IF(DK26=CE26,CG26,IF(DK26=CI26,CK26,IF(DK26=CM26,CO26,IF(DK26=CQ26,CS26,IF(DK26=CU26,CW26,IF(DK26=CY26,DA26,IF(DK26=DC26,DE26,IF(DK26=DG26,DI26,0))))))))))))</f>
        <v>11.875209999999999</v>
      </c>
      <c r="DN26">
        <f t="shared" si="27"/>
        <v>0</v>
      </c>
      <c r="DO26">
        <f t="shared" si="28"/>
        <v>0.19883611111111099</v>
      </c>
      <c r="DP26">
        <f>IF(DO26=BO26,BP26,IF(DO26=BS26,BT26,IF(DO26=BW26,BX26,IF(DO26=CA26,CB26,IF(DO26=CE26,CF26,IF(DO26=CI26,CJ26,IF(DO26=CM26,CN26,IF(DO26=CQ26,CR26,IF(DO26=CU26,CV26,IF(DO26=CY26,CZ26,IF(DO26=DC26,DD26,IF(DO26=DG26,DH26,IF(DO26=DK26,DL26,0)))))))))))))</f>
        <v>2</v>
      </c>
      <c r="DQ26">
        <f>IF(DO26=BO26,BQ26,IF(DO26=BS26,BU26,IF(DO26=BW26,BY26,IF(DO26=CA26,CC26,IF(DO26=CE26,CG26,IF(DO26=CI26,CK26,IF(DO26=CM26,CO26,IF(DO26=CQ26,CS26,IF(DO26=CU26,CW26,IF(DO26=CY26,DA26,IF(DO26=DC26,DE26,IF(DO26=DG26,DI26,IF(DO26=DK26,DM26,0)))))))))))))</f>
        <v>11.875209999999999</v>
      </c>
      <c r="DR26">
        <f t="shared" si="29"/>
        <v>0</v>
      </c>
      <c r="DS26">
        <f t="shared" si="30"/>
        <v>0.19883611111111099</v>
      </c>
      <c r="DT26">
        <f>IF(DS26=BO26,BP26,IF(DS26=BS26,BT26,IF(DS26=BW26,BX26,IF(DS26=CA26,CB26,IF(DS26=CE26,CF26,IF(DS26=CI26,CJ26,IF(DS26=CM26,CN26,IF(DS26=CQ26,CR26,IF(DS26=CU26,CV26,IF(DS26=CY26,CZ26,IF(DS26=DC26,DD26,IF(DS26=DG26,DH26,IF(DS26=DK26,DL26,IF(DS26=DO26,DP26,0))))))))))))))</f>
        <v>2</v>
      </c>
      <c r="DU26">
        <f>IF(DS26=BO26,BQ26,IF(DS26=BS26,BU26,IF(DS26=BW26,BY26,IF(DS26=CA26,CC26,IF(DS26=CE26,CG26,IF(DS26=CI26,CK26,IF(DS26=CM26,CO26,IF(DS26=CQ26,CS26,IF(DS26=CU26,CW26,IF(DS26=CY26,DA26,IF(DS26=DC26,DE26,IF(DS26=DG26,DI26,IF(DS26=DK26,DM26,IF(DS26=DO26,DQ26,0))))))))))))))</f>
        <v>11.875209999999999</v>
      </c>
      <c r="DV26">
        <f t="shared" si="31"/>
        <v>0</v>
      </c>
      <c r="DW26">
        <v>31226.480769230799</v>
      </c>
      <c r="DX26">
        <v>2</v>
      </c>
      <c r="DY26">
        <v>35</v>
      </c>
      <c r="DZ26">
        <v>4</v>
      </c>
      <c r="EA26">
        <v>6</v>
      </c>
      <c r="EB26">
        <v>14.0364762223093</v>
      </c>
      <c r="EC26">
        <v>3</v>
      </c>
      <c r="ED26">
        <v>11.127950999999999</v>
      </c>
      <c r="EE26">
        <v>0.19883611111111099</v>
      </c>
      <c r="EF26">
        <v>11.875209999999999</v>
      </c>
      <c r="EG26">
        <v>17.876425739844901</v>
      </c>
      <c r="EH26">
        <v>2</v>
      </c>
      <c r="EI26">
        <v>0</v>
      </c>
      <c r="EJ26">
        <v>3.0875545999999998</v>
      </c>
      <c r="EK26">
        <v>1</v>
      </c>
      <c r="EL26">
        <v>0</v>
      </c>
      <c r="EM26">
        <v>53</v>
      </c>
      <c r="EN26">
        <v>1</v>
      </c>
      <c r="EO26">
        <v>4</v>
      </c>
      <c r="EP26">
        <v>8</v>
      </c>
      <c r="EQ26">
        <v>8</v>
      </c>
      <c r="ER26">
        <v>14.1987814663817</v>
      </c>
      <c r="ES26">
        <v>11.785225263454601</v>
      </c>
      <c r="ET26">
        <v>22.913176263454599</v>
      </c>
      <c r="EU26">
        <v>5.6464609785836997</v>
      </c>
      <c r="EV26">
        <v>8.7340155785836995</v>
      </c>
      <c r="EW26">
        <v>7.2150312000000003</v>
      </c>
      <c r="EX26">
        <v>9.9370172092472195</v>
      </c>
      <c r="EY26">
        <v>17.1520484092472</v>
      </c>
      <c r="EZ26">
        <v>3.0875545999999998</v>
      </c>
      <c r="FA26">
        <v>5.6464609785836997</v>
      </c>
      <c r="FB26">
        <v>8.7340155785836995</v>
      </c>
      <c r="FC26">
        <v>3.7672232000000001</v>
      </c>
      <c r="FD26">
        <v>7.0999429080256302</v>
      </c>
      <c r="FE26">
        <v>10.8671661080256</v>
      </c>
      <c r="FF26">
        <v>3.0875545999999998</v>
      </c>
      <c r="FG26">
        <v>5.6464609785836997</v>
      </c>
      <c r="FH26">
        <v>8.7340155785836995</v>
      </c>
    </row>
    <row r="27" spans="1:164" x14ac:dyDescent="0.2">
      <c r="A27">
        <v>26</v>
      </c>
      <c r="B27">
        <v>31</v>
      </c>
      <c r="C27">
        <v>62</v>
      </c>
      <c r="D27">
        <v>1</v>
      </c>
      <c r="E27">
        <v>11</v>
      </c>
      <c r="F27" t="s">
        <v>166</v>
      </c>
      <c r="G27" t="s">
        <v>166</v>
      </c>
      <c r="H27">
        <v>3</v>
      </c>
      <c r="I27">
        <v>4</v>
      </c>
      <c r="K27" t="s">
        <v>167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3</v>
      </c>
      <c r="AC27">
        <v>4</v>
      </c>
      <c r="AD27">
        <v>8</v>
      </c>
      <c r="AE27">
        <v>16</v>
      </c>
      <c r="AF27">
        <v>8</v>
      </c>
      <c r="AG27">
        <v>10</v>
      </c>
      <c r="AH27">
        <v>8</v>
      </c>
      <c r="AI27">
        <v>0.41500833333333298</v>
      </c>
      <c r="AJ27">
        <v>31.26135</v>
      </c>
      <c r="AK27">
        <v>0.27862222222222199</v>
      </c>
      <c r="AL27">
        <v>11.22306</v>
      </c>
      <c r="AM27">
        <v>0.19883611111111099</v>
      </c>
      <c r="AN27">
        <v>11.875209999999999</v>
      </c>
      <c r="AO27">
        <v>0.25001944444444402</v>
      </c>
      <c r="AP27">
        <v>14.489319999999999</v>
      </c>
      <c r="AQ27">
        <v>0.28935277777777801</v>
      </c>
      <c r="AR27">
        <v>16.509799999999998</v>
      </c>
      <c r="AS27">
        <v>0.33392777777777799</v>
      </c>
      <c r="AT27">
        <v>19.850480000000001</v>
      </c>
      <c r="AU27">
        <v>0.33038611111111099</v>
      </c>
      <c r="AV27">
        <v>23.585339999999999</v>
      </c>
      <c r="AW27">
        <v>0.33993888888888901</v>
      </c>
      <c r="AX27">
        <v>26.511379999999999</v>
      </c>
      <c r="AY27">
        <v>0.34992499999999999</v>
      </c>
      <c r="AZ27">
        <v>27.750119999999999</v>
      </c>
      <c r="BA27">
        <v>0.36327777777777798</v>
      </c>
      <c r="BB27">
        <v>29.070830000000001</v>
      </c>
      <c r="BC27">
        <v>0.42410555555555601</v>
      </c>
      <c r="BD27">
        <v>30.395520000000001</v>
      </c>
      <c r="BE27">
        <v>0.43512499999999998</v>
      </c>
      <c r="BF27">
        <v>36.772480000000002</v>
      </c>
      <c r="BG27">
        <v>0.49899722222222198</v>
      </c>
      <c r="BH27">
        <v>40.175339999999998</v>
      </c>
      <c r="BI27">
        <v>0.542825</v>
      </c>
      <c r="BJ27">
        <v>42.149250000000002</v>
      </c>
      <c r="BK27">
        <v>0.61096388888888897</v>
      </c>
      <c r="BL27">
        <v>48.9649</v>
      </c>
      <c r="BM27">
        <v>0.65246666666666697</v>
      </c>
      <c r="BN27">
        <v>50.95758</v>
      </c>
      <c r="BO27">
        <f t="shared" si="0"/>
        <v>0.19883611111111099</v>
      </c>
      <c r="BP27">
        <v>2</v>
      </c>
      <c r="BQ27">
        <v>11.875209999999999</v>
      </c>
      <c r="BR27">
        <f t="shared" si="1"/>
        <v>0</v>
      </c>
      <c r="BS27">
        <f t="shared" si="2"/>
        <v>0.25001944444444402</v>
      </c>
      <c r="BT27">
        <v>3</v>
      </c>
      <c r="BU27">
        <v>14.489319999999999</v>
      </c>
      <c r="BV27">
        <f t="shared" si="5"/>
        <v>0</v>
      </c>
      <c r="BW27">
        <f t="shared" si="6"/>
        <v>0.19883611111111099</v>
      </c>
      <c r="BX27">
        <f t="shared" si="32"/>
        <v>2</v>
      </c>
      <c r="BY27">
        <f t="shared" si="33"/>
        <v>11.875209999999999</v>
      </c>
      <c r="BZ27">
        <f t="shared" si="7"/>
        <v>0</v>
      </c>
      <c r="CA27">
        <f t="shared" si="8"/>
        <v>0.19883611111111099</v>
      </c>
      <c r="CB27">
        <f>IF(CA27=BO27,BP27,IF(CA27=BS27,BT27,IF(CA27=BW27,BX27,0)))</f>
        <v>2</v>
      </c>
      <c r="CC27">
        <f>IF(CA27=BO27,BQ27,IF(CA27=BS27,BU27,IF(CA27=BW27,BY27,0)))</f>
        <v>11.875209999999999</v>
      </c>
      <c r="CD27">
        <f t="shared" si="9"/>
        <v>0</v>
      </c>
      <c r="CE27">
        <f t="shared" si="10"/>
        <v>0.19883611111111099</v>
      </c>
      <c r="CF27">
        <f>IF(CE27=BO27,BP27,IF(CE27=BS27,BT27,IF(CE27=BW27,BX27,IF(CE27=CA27,CB27,0))))</f>
        <v>2</v>
      </c>
      <c r="CG27">
        <f>IF(CE27=BO27,BQ27,IF(CE27=BS27,BU27,IF(CE27=BW27,BY27,IF(CE27=CA27,CC27,0))))</f>
        <v>11.875209999999999</v>
      </c>
      <c r="CH27">
        <f t="shared" si="11"/>
        <v>0</v>
      </c>
      <c r="CI27">
        <f t="shared" si="12"/>
        <v>0.19883611111111099</v>
      </c>
      <c r="CJ27">
        <f>IF(CI27=BO27,BP27,IF(CI27=BS27,BT27,IF(CI27=BW27,BX27,IF(CI27=CA27,CB27,IF(CI27=CE27,CF27,0)))))</f>
        <v>2</v>
      </c>
      <c r="CK27">
        <f>IF(CI27=BO27,BQ27,IF(CI27=BS27,BU27,IF(CI27=BW27,BY27,IF(CI27=CA27,CC27,IF(CI27=CE27,CG27,0)))))</f>
        <v>11.875209999999999</v>
      </c>
      <c r="CL27">
        <f t="shared" si="13"/>
        <v>0</v>
      </c>
      <c r="CM27">
        <f t="shared" si="14"/>
        <v>0.19883611111111099</v>
      </c>
      <c r="CN27">
        <f>IF(CM27=BO27,BP27,IF(CM27=BS27,BT27,IF(CM27=BW27,BX27,IF(CM27=CA27,CB27,IF(CM27=CE27,CF27,IF(CM27=CI27,CJ27,0))))))</f>
        <v>2</v>
      </c>
      <c r="CO27">
        <f>IF(CM27=BO27,BQ27,IF(CM27=BS27,BU27,IF(CM27=BW27,BY27,IF(CM27=CA27,CC27,IF(CM27=CE27,CG27,IF(CM27=CI27,CK27,0))))))</f>
        <v>11.875209999999999</v>
      </c>
      <c r="CP27">
        <f t="shared" si="15"/>
        <v>0</v>
      </c>
      <c r="CQ27">
        <f t="shared" si="16"/>
        <v>0.19883611111111099</v>
      </c>
      <c r="CR27">
        <f>IF(CQ27=BO27,BP27,IF(CQ27=BS27,BT27,IF(CQ27=BW27,BX27,IF(CQ27=CA27,CB27,IF(CQ27=CE27,CF27,IF(CQ27=CI27,CJ27,IF(CQ27=CM27,CN27,0)))))))</f>
        <v>2</v>
      </c>
      <c r="CS27">
        <f>IF(CQ27=BO27,BQ27,IF(CQ27=BS27,BU27,IF(CQ27=BW27,BY27,IF(CQ27=CA27,CC27,IF(CQ27=CE27,CG27,IF(CQ27=CI27,CK27,IF(CQ27=CM27,CO27,0)))))))</f>
        <v>11.875209999999999</v>
      </c>
      <c r="CT27">
        <f t="shared" si="17"/>
        <v>0</v>
      </c>
      <c r="CU27">
        <f t="shared" si="18"/>
        <v>0.19883611111111099</v>
      </c>
      <c r="CV27">
        <f>IF(CU27=BO27,BP27,IF(CU27=BS27,BT27,IF(CU27=BW27,BX27,IF(CU27=CA27,CB27,IF(CU27=CE27,CF27,IF(CU27=CI27,CJ27,IF(CU27=CM27,CN27,IF(CU27=CQ27,CR27,0))))))))</f>
        <v>2</v>
      </c>
      <c r="CW27">
        <f>IF(CU27=BO27,BQ27,IF(CU27=BS27,BU27,IF(CU27=BW27,BY27,IF(CU27=CA27,CC27,IF(CU27=CE27,CG27,IF(CU27=CI27,CK27,IF(CU27=CM27,CO27,IF(CU27=CQ27,CS27,0))))))))</f>
        <v>11.875209999999999</v>
      </c>
      <c r="CX27">
        <f t="shared" si="19"/>
        <v>0</v>
      </c>
      <c r="CY27">
        <f t="shared" si="20"/>
        <v>0.19883611111111099</v>
      </c>
      <c r="CZ27">
        <f>IF(CY27=BO27,BP27,IF(CY27=BS27,BT27,IF(CY27=BW27,BX27,IF(CY27=CA27,CB27,IF(CY27=CE27,CF27,IF(CY27=CI27,CJ27,IF(CY27=CM27,CN27,IF(CY27=CQ27,CR27,IF(CY27=CU27,CV27,0)))))))))</f>
        <v>2</v>
      </c>
      <c r="DA27">
        <f>IF(CY27=BO27,BQ27,IF(CY27=BS27,BU27,IF(CY27=BW27,BY27,IF(CY27=CA27,CC27,IF(CY27=CE27,CG27,IF(CY27=CI27,CK27,IF(CY27=CM27,CO27,IF(CY27=CQ27,CS27,IF(CY27=CU27,CW27,0)))))))))</f>
        <v>11.875209999999999</v>
      </c>
      <c r="DB27">
        <f t="shared" si="21"/>
        <v>0</v>
      </c>
      <c r="DC27">
        <f t="shared" si="22"/>
        <v>0.19883611111111099</v>
      </c>
      <c r="DD27">
        <f>IF(DC27=BO27,BP27,IF(DC27=BS27,BT27,IF(DC27=BW27,BX27,IF(DC27=CA27,CB27,IF(DC27=CE27,CF27,IF(DC27=CI27,CJ27,IF(DC27=CM27,CN27,IF(DC27=CQ27,CR27,IF(DC27=CU27,CV27,IF(DC27=CY27,CZ27,0))))))))))</f>
        <v>2</v>
      </c>
      <c r="DE27">
        <f>IF(DC27=BO27,BQ27,IF(DC27=BS27,BU27,IF(DC27=BW27,BY27,IF(DC27=CA27,CC27,IF(DC27=CE27,CG27,IF(DC27=CI27,CK27,IF(DC27=CM27,CO27,IF(DC27=CQ27,CS27,IF(DC27=CU27,CW27,IF(DC27=CY27,DA27,0))))))))))</f>
        <v>11.875209999999999</v>
      </c>
      <c r="DF27">
        <f t="shared" si="23"/>
        <v>0</v>
      </c>
      <c r="DG27">
        <f t="shared" si="24"/>
        <v>0.19883611111111099</v>
      </c>
      <c r="DH27">
        <f>IF(DG27=BO27,BP27,IF(DG27=BS27,BT27,IF(DG27=BW27,BX27,IF(DG27=CA27,CB27,IF(DG27=CE27,CF27,IF(DG27=CI27,CJ27,IF(DG27=CM27,CN27,IF(DG27=CQ27,CR27,IF(DG27=CU27,CV27,IF(DG27=CY27,CZ27,IF(DG27=DC27,DD27,0)))))))))))</f>
        <v>2</v>
      </c>
      <c r="DI27">
        <f>IF(DG27=BO27,BQ27,IF(DG27=BS27,BU27,IF(DG27=BW27,BY27,IF(DG27=CA27,CC27,IF(DG27=CE27,CG27,IF(DG27=CI27,CK27,IF(DG27=CM27,CO27,IF(DG27=CQ27,CS27,IF(DG27=CU27,CW27,IF(DG27=CY27,DA27,IF(DG27=DC27,DE27,0)))))))))))</f>
        <v>11.875209999999999</v>
      </c>
      <c r="DJ27">
        <f t="shared" si="25"/>
        <v>0</v>
      </c>
      <c r="DK27">
        <f t="shared" si="26"/>
        <v>0.19883611111111099</v>
      </c>
      <c r="DL27">
        <f>IF(DK27=BO27,BP27,IF(DK27=BS27,BT27,IF(DK27=BW27,BX27,IF(DK27=CA27,CB27,IF(DK27=CE27,CF27,IF(DK27=CI27,CJ27,IF(DK27=CM27,CN27,IF(DK27=CQ27,CR27,IF(DK27=CU27,CV27,IF(DK27=CY27,CZ27,IF(DK27=DC27,DD27,IF(DK27=DG27,DH27,0))))))))))))</f>
        <v>2</v>
      </c>
      <c r="DM27">
        <f>IF(DK27=BO27,BQ27,IF(DK27=BS27,BU27,IF(DK27=BW27,BY27,IF(DK27=CA27,CC27,IF(DK27=CE27,CG27,IF(DK27=CI27,CK27,IF(DK27=CM27,CO27,IF(DK27=CQ27,CS27,IF(DK27=CU27,CW27,IF(DK27=CY27,DA27,IF(DK27=DC27,DE27,IF(DK27=DG27,DI27,0))))))))))))</f>
        <v>11.875209999999999</v>
      </c>
      <c r="DN27">
        <f t="shared" si="27"/>
        <v>0</v>
      </c>
      <c r="DO27">
        <f t="shared" si="28"/>
        <v>0.19883611111111099</v>
      </c>
      <c r="DP27">
        <f>IF(DO27=BO27,BP27,IF(DO27=BS27,BT27,IF(DO27=BW27,BX27,IF(DO27=CA27,CB27,IF(DO27=CE27,CF27,IF(DO27=CI27,CJ27,IF(DO27=CM27,CN27,IF(DO27=CQ27,CR27,IF(DO27=CU27,CV27,IF(DO27=CY27,CZ27,IF(DO27=DC27,DD27,IF(DO27=DG27,DH27,IF(DO27=DK27,DL27,0)))))))))))))</f>
        <v>2</v>
      </c>
      <c r="DQ27">
        <f>IF(DO27=BO27,BQ27,IF(DO27=BS27,BU27,IF(DO27=BW27,BY27,IF(DO27=CA27,CC27,IF(DO27=CE27,CG27,IF(DO27=CI27,CK27,IF(DO27=CM27,CO27,IF(DO27=CQ27,CS27,IF(DO27=CU27,CW27,IF(DO27=CY27,DA27,IF(DO27=DC27,DE27,IF(DO27=DG27,DI27,IF(DO27=DK27,DM27,0)))))))))))))</f>
        <v>11.875209999999999</v>
      </c>
      <c r="DR27">
        <f t="shared" si="29"/>
        <v>0</v>
      </c>
      <c r="DS27">
        <f t="shared" si="30"/>
        <v>0.19883611111111099</v>
      </c>
      <c r="DT27">
        <f>IF(DS27=BO27,BP27,IF(DS27=BS27,BT27,IF(DS27=BW27,BX27,IF(DS27=CA27,CB27,IF(DS27=CE27,CF27,IF(DS27=CI27,CJ27,IF(DS27=CM27,CN27,IF(DS27=CQ27,CR27,IF(DS27=CU27,CV27,IF(DS27=CY27,CZ27,IF(DS27=DC27,DD27,IF(DS27=DG27,DH27,IF(DS27=DK27,DL27,IF(DS27=DO27,DP27,0))))))))))))))</f>
        <v>2</v>
      </c>
      <c r="DU27">
        <f>IF(DS27=BO27,BQ27,IF(DS27=BS27,BU27,IF(DS27=BW27,BY27,IF(DS27=CA27,CC27,IF(DS27=CE27,CG27,IF(DS27=CI27,CK27,IF(DS27=CM27,CO27,IF(DS27=CQ27,CS27,IF(DS27=CU27,CW27,IF(DS27=CY27,DA27,IF(DS27=DC27,DE27,IF(DS27=DG27,DI27,IF(DS27=DK27,DM27,IF(DS27=DO27,DQ27,0))))))))))))))</f>
        <v>11.875209999999999</v>
      </c>
      <c r="DV27">
        <f t="shared" si="31"/>
        <v>0</v>
      </c>
      <c r="DW27">
        <v>31226.480769230799</v>
      </c>
      <c r="DX27">
        <v>2</v>
      </c>
      <c r="DY27">
        <v>35</v>
      </c>
      <c r="DZ27">
        <v>4</v>
      </c>
      <c r="EA27">
        <v>6</v>
      </c>
      <c r="EB27">
        <v>14.0364762223093</v>
      </c>
      <c r="EC27">
        <v>3</v>
      </c>
      <c r="ED27">
        <v>11.127950999999999</v>
      </c>
      <c r="EE27">
        <v>0.19883611111111099</v>
      </c>
      <c r="EF27">
        <v>11.875209999999999</v>
      </c>
      <c r="EG27">
        <v>17.876425739844901</v>
      </c>
      <c r="EH27">
        <v>2</v>
      </c>
      <c r="EI27">
        <v>0</v>
      </c>
      <c r="EJ27">
        <v>3.0875545999999998</v>
      </c>
      <c r="EK27">
        <v>1</v>
      </c>
      <c r="EL27">
        <v>0</v>
      </c>
      <c r="EM27">
        <v>55</v>
      </c>
      <c r="EN27">
        <v>1</v>
      </c>
      <c r="EO27">
        <v>2</v>
      </c>
      <c r="EP27">
        <v>8</v>
      </c>
      <c r="EQ27">
        <v>8</v>
      </c>
      <c r="ER27">
        <v>14.1987814663817</v>
      </c>
      <c r="ES27">
        <v>11.785225263454601</v>
      </c>
      <c r="ET27">
        <v>22.913176263454599</v>
      </c>
      <c r="EU27">
        <v>5.6464609785836997</v>
      </c>
      <c r="EV27">
        <v>8.7340155785836995</v>
      </c>
      <c r="EW27">
        <v>7.2150312000000003</v>
      </c>
      <c r="EX27">
        <v>9.9370172092472195</v>
      </c>
      <c r="EY27">
        <v>17.1520484092472</v>
      </c>
      <c r="EZ27">
        <v>3.0875545999999998</v>
      </c>
      <c r="FA27">
        <v>5.6464609785836997</v>
      </c>
      <c r="FB27">
        <v>8.7340155785836995</v>
      </c>
      <c r="FC27">
        <v>3.7672232000000001</v>
      </c>
      <c r="FD27">
        <v>7.0999429080256302</v>
      </c>
      <c r="FE27">
        <v>10.8671661080256</v>
      </c>
      <c r="FF27">
        <v>3.0875545999999998</v>
      </c>
      <c r="FG27">
        <v>5.6464609785836997</v>
      </c>
      <c r="FH27">
        <v>8.7340155785836995</v>
      </c>
    </row>
    <row r="28" spans="1:164" x14ac:dyDescent="0.2">
      <c r="A28">
        <v>27</v>
      </c>
      <c r="B28">
        <v>33</v>
      </c>
      <c r="C28">
        <v>64</v>
      </c>
      <c r="D28">
        <v>1</v>
      </c>
      <c r="E28">
        <v>11</v>
      </c>
      <c r="F28" t="s">
        <v>168</v>
      </c>
      <c r="G28" t="s">
        <v>169</v>
      </c>
      <c r="H28">
        <v>3</v>
      </c>
      <c r="I28">
        <v>6</v>
      </c>
      <c r="K28" t="s">
        <v>170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3</v>
      </c>
      <c r="AC28">
        <v>0</v>
      </c>
      <c r="AD28">
        <v>18</v>
      </c>
      <c r="AE28">
        <v>22</v>
      </c>
      <c r="AF28">
        <v>11</v>
      </c>
      <c r="AG28">
        <v>13</v>
      </c>
      <c r="AH28">
        <v>7</v>
      </c>
      <c r="AI28">
        <v>0.40377222222222198</v>
      </c>
      <c r="AJ28">
        <v>21.68085</v>
      </c>
      <c r="AK28">
        <v>0.37228611111111098</v>
      </c>
      <c r="AL28">
        <v>11.58466</v>
      </c>
      <c r="AM28">
        <v>0.26991111111111099</v>
      </c>
      <c r="AN28">
        <v>10.12307</v>
      </c>
      <c r="AO28">
        <v>0.255202777777778</v>
      </c>
      <c r="AP28">
        <v>8.6622500000000002</v>
      </c>
      <c r="AQ28">
        <v>0.31812777777777801</v>
      </c>
      <c r="AR28">
        <v>10.73414</v>
      </c>
      <c r="AS28">
        <v>0.31245000000000001</v>
      </c>
      <c r="AT28">
        <v>10.14893</v>
      </c>
      <c r="AU28">
        <v>0.30712499999999998</v>
      </c>
      <c r="AV28">
        <v>12.55533</v>
      </c>
      <c r="AW28">
        <v>0.32870277777777801</v>
      </c>
      <c r="AX28">
        <v>16.930879999999998</v>
      </c>
      <c r="AY28">
        <v>0.33868888888888898</v>
      </c>
      <c r="AZ28">
        <v>18.169609999999999</v>
      </c>
      <c r="BA28">
        <v>0.35203888888888901</v>
      </c>
      <c r="BB28">
        <v>19.490320000000001</v>
      </c>
      <c r="BC28">
        <v>0.41286666666666699</v>
      </c>
      <c r="BD28">
        <v>20.815020000000001</v>
      </c>
      <c r="BE28">
        <v>0.42388611111111102</v>
      </c>
      <c r="BF28">
        <v>27.191980000000001</v>
      </c>
      <c r="BG28">
        <v>0.48776111111111098</v>
      </c>
      <c r="BH28">
        <v>30.594830000000002</v>
      </c>
      <c r="BI28">
        <v>0.53158611111111098</v>
      </c>
      <c r="BJ28">
        <v>32.568750000000001</v>
      </c>
      <c r="BK28">
        <v>0.59972777777777797</v>
      </c>
      <c r="BL28">
        <v>39.384390000000003</v>
      </c>
      <c r="BM28">
        <v>0.64123055555555597</v>
      </c>
      <c r="BN28">
        <v>41.377070000000003</v>
      </c>
      <c r="BO28">
        <f t="shared" si="0"/>
        <v>0.255202777777778</v>
      </c>
      <c r="BP28">
        <v>3</v>
      </c>
      <c r="BQ28">
        <v>8.6622500000000002</v>
      </c>
      <c r="BR28">
        <f t="shared" si="1"/>
        <v>0</v>
      </c>
      <c r="BS28">
        <f t="shared" si="2"/>
        <v>0.255202777777778</v>
      </c>
      <c r="BT28">
        <f t="shared" si="3"/>
        <v>3</v>
      </c>
      <c r="BU28">
        <f t="shared" si="4"/>
        <v>8.6622500000000002</v>
      </c>
      <c r="BV28">
        <f t="shared" si="5"/>
        <v>0</v>
      </c>
      <c r="BW28">
        <f t="shared" si="6"/>
        <v>0.26991111111111099</v>
      </c>
      <c r="BX28">
        <v>2</v>
      </c>
      <c r="BY28">
        <v>10.12307</v>
      </c>
      <c r="BZ28">
        <f t="shared" si="7"/>
        <v>0</v>
      </c>
      <c r="CA28">
        <f t="shared" si="8"/>
        <v>0.255202777777778</v>
      </c>
      <c r="CB28">
        <f>IF(CA28=BO28,BP28,IF(CA28=BS28,BT28,IF(CA28=BW28,BX28,0)))</f>
        <v>3</v>
      </c>
      <c r="CC28">
        <f>IF(CA28=BO28,BQ28,IF(CA28=BS28,BU28,IF(CA28=BW28,BY28,0)))</f>
        <v>8.6622500000000002</v>
      </c>
      <c r="CD28">
        <f t="shared" si="9"/>
        <v>0</v>
      </c>
      <c r="CE28">
        <f t="shared" si="10"/>
        <v>0.255202777777778</v>
      </c>
      <c r="CF28">
        <f>IF(CE28=BO28,BP28,IF(CE28=BS28,BT28,IF(CE28=BW28,BX28,IF(CE28=CA28,CB28,0))))</f>
        <v>3</v>
      </c>
      <c r="CG28">
        <f>IF(CE28=BO28,BQ28,IF(CE28=BS28,BU28,IF(CE28=BW28,BY28,IF(CE28=CA28,CC28,0))))</f>
        <v>8.6622500000000002</v>
      </c>
      <c r="CH28">
        <f t="shared" si="11"/>
        <v>0</v>
      </c>
      <c r="CI28">
        <f t="shared" si="12"/>
        <v>0.255202777777778</v>
      </c>
      <c r="CJ28">
        <f>IF(CI28=BO28,BP28,IF(CI28=BS28,BT28,IF(CI28=BW28,BX28,IF(CI28=CA28,CB28,IF(CI28=CE28,CF28,0)))))</f>
        <v>3</v>
      </c>
      <c r="CK28">
        <f>IF(CI28=BO28,BQ28,IF(CI28=BS28,BU28,IF(CI28=BW28,BY28,IF(CI28=CA28,CC28,IF(CI28=CE28,CG28,0)))))</f>
        <v>8.6622500000000002</v>
      </c>
      <c r="CL28">
        <f t="shared" si="13"/>
        <v>0</v>
      </c>
      <c r="CM28">
        <f t="shared" si="14"/>
        <v>0.255202777777778</v>
      </c>
      <c r="CN28">
        <f>IF(CM28=BO28,BP28,IF(CM28=BS28,BT28,IF(CM28=BW28,BX28,IF(CM28=CA28,CB28,IF(CM28=CE28,CF28,IF(CM28=CI28,CJ28,0))))))</f>
        <v>3</v>
      </c>
      <c r="CO28">
        <f>IF(CM28=BO28,BQ28,IF(CM28=BS28,BU28,IF(CM28=BW28,BY28,IF(CM28=CA28,CC28,IF(CM28=CE28,CG28,IF(CM28=CI28,CK28,0))))))</f>
        <v>8.6622500000000002</v>
      </c>
      <c r="CP28">
        <f t="shared" si="15"/>
        <v>0</v>
      </c>
      <c r="CQ28">
        <f t="shared" si="16"/>
        <v>0.255202777777778</v>
      </c>
      <c r="CR28">
        <f>IF(CQ28=BO28,BP28,IF(CQ28=BS28,BT28,IF(CQ28=BW28,BX28,IF(CQ28=CA28,CB28,IF(CQ28=CE28,CF28,IF(CQ28=CI28,CJ28,IF(CQ28=CM28,CN28,0)))))))</f>
        <v>3</v>
      </c>
      <c r="CS28">
        <f>IF(CQ28=BO28,BQ28,IF(CQ28=BS28,BU28,IF(CQ28=BW28,BY28,IF(CQ28=CA28,CC28,IF(CQ28=CE28,CG28,IF(CQ28=CI28,CK28,IF(CQ28=CM28,CO28,0)))))))</f>
        <v>8.6622500000000002</v>
      </c>
      <c r="CT28">
        <f t="shared" si="17"/>
        <v>0</v>
      </c>
      <c r="CU28">
        <f t="shared" si="18"/>
        <v>0.255202777777778</v>
      </c>
      <c r="CV28">
        <f>IF(CU28=BO28,BP28,IF(CU28=BS28,BT28,IF(CU28=BW28,BX28,IF(CU28=CA28,CB28,IF(CU28=CE28,CF28,IF(CU28=CI28,CJ28,IF(CU28=CM28,CN28,IF(CU28=CQ28,CR28,0))))))))</f>
        <v>3</v>
      </c>
      <c r="CW28">
        <f>IF(CU28=BO28,BQ28,IF(CU28=BS28,BU28,IF(CU28=BW28,BY28,IF(CU28=CA28,CC28,IF(CU28=CE28,CG28,IF(CU28=CI28,CK28,IF(CU28=CM28,CO28,IF(CU28=CQ28,CS28,0))))))))</f>
        <v>8.6622500000000002</v>
      </c>
      <c r="CX28">
        <f t="shared" si="19"/>
        <v>0</v>
      </c>
      <c r="CY28">
        <f t="shared" si="20"/>
        <v>0.255202777777778</v>
      </c>
      <c r="CZ28">
        <f>IF(CY28=BO28,BP28,IF(CY28=BS28,BT28,IF(CY28=BW28,BX28,IF(CY28=CA28,CB28,IF(CY28=CE28,CF28,IF(CY28=CI28,CJ28,IF(CY28=CM28,CN28,IF(CY28=CQ28,CR28,IF(CY28=CU28,CV28,0)))))))))</f>
        <v>3</v>
      </c>
      <c r="DA28">
        <f>IF(CY28=BO28,BQ28,IF(CY28=BS28,BU28,IF(CY28=BW28,BY28,IF(CY28=CA28,CC28,IF(CY28=CE28,CG28,IF(CY28=CI28,CK28,IF(CY28=CM28,CO28,IF(CY28=CQ28,CS28,IF(CY28=CU28,CW28,0)))))))))</f>
        <v>8.6622500000000002</v>
      </c>
      <c r="DB28">
        <f t="shared" si="21"/>
        <v>0</v>
      </c>
      <c r="DC28">
        <f t="shared" si="22"/>
        <v>0.255202777777778</v>
      </c>
      <c r="DD28">
        <f>IF(DC28=BO28,BP28,IF(DC28=BS28,BT28,IF(DC28=BW28,BX28,IF(DC28=CA28,CB28,IF(DC28=CE28,CF28,IF(DC28=CI28,CJ28,IF(DC28=CM28,CN28,IF(DC28=CQ28,CR28,IF(DC28=CU28,CV28,IF(DC28=CY28,CZ28,0))))))))))</f>
        <v>3</v>
      </c>
      <c r="DE28">
        <f>IF(DC28=BO28,BQ28,IF(DC28=BS28,BU28,IF(DC28=BW28,BY28,IF(DC28=CA28,CC28,IF(DC28=CE28,CG28,IF(DC28=CI28,CK28,IF(DC28=CM28,CO28,IF(DC28=CQ28,CS28,IF(DC28=CU28,CW28,IF(DC28=CY28,DA28,0))))))))))</f>
        <v>8.6622500000000002</v>
      </c>
      <c r="DF28">
        <f t="shared" si="23"/>
        <v>0</v>
      </c>
      <c r="DG28">
        <f t="shared" si="24"/>
        <v>0.255202777777778</v>
      </c>
      <c r="DH28">
        <f>IF(DG28=BO28,BP28,IF(DG28=BS28,BT28,IF(DG28=BW28,BX28,IF(DG28=CA28,CB28,IF(DG28=CE28,CF28,IF(DG28=CI28,CJ28,IF(DG28=CM28,CN28,IF(DG28=CQ28,CR28,IF(DG28=CU28,CV28,IF(DG28=CY28,CZ28,IF(DG28=DC28,DD28,0)))))))))))</f>
        <v>3</v>
      </c>
      <c r="DI28">
        <f>IF(DG28=BO28,BQ28,IF(DG28=BS28,BU28,IF(DG28=BW28,BY28,IF(DG28=CA28,CC28,IF(DG28=CE28,CG28,IF(DG28=CI28,CK28,IF(DG28=CM28,CO28,IF(DG28=CQ28,CS28,IF(DG28=CU28,CW28,IF(DG28=CY28,DA28,IF(DG28=DC28,DE28,0)))))))))))</f>
        <v>8.6622500000000002</v>
      </c>
      <c r="DJ28">
        <f t="shared" si="25"/>
        <v>0</v>
      </c>
      <c r="DK28">
        <f t="shared" si="26"/>
        <v>0.255202777777778</v>
      </c>
      <c r="DL28">
        <f>IF(DK28=BO28,BP28,IF(DK28=BS28,BT28,IF(DK28=BW28,BX28,IF(DK28=CA28,CB28,IF(DK28=CE28,CF28,IF(DK28=CI28,CJ28,IF(DK28=CM28,CN28,IF(DK28=CQ28,CR28,IF(DK28=CU28,CV28,IF(DK28=CY28,CZ28,IF(DK28=DC28,DD28,IF(DK28=DG28,DH28,0))))))))))))</f>
        <v>3</v>
      </c>
      <c r="DM28">
        <f>IF(DK28=BO28,BQ28,IF(DK28=BS28,BU28,IF(DK28=BW28,BY28,IF(DK28=CA28,CC28,IF(DK28=CE28,CG28,IF(DK28=CI28,CK28,IF(DK28=CM28,CO28,IF(DK28=CQ28,CS28,IF(DK28=CU28,CW28,IF(DK28=CY28,DA28,IF(DK28=DC28,DE28,IF(DK28=DG28,DI28,0))))))))))))</f>
        <v>8.6622500000000002</v>
      </c>
      <c r="DN28">
        <f t="shared" si="27"/>
        <v>0</v>
      </c>
      <c r="DO28">
        <f t="shared" si="28"/>
        <v>0.255202777777778</v>
      </c>
      <c r="DP28">
        <f>IF(DO28=BO28,BP28,IF(DO28=BS28,BT28,IF(DO28=BW28,BX28,IF(DO28=CA28,CB28,IF(DO28=CE28,CF28,IF(DO28=CI28,CJ28,IF(DO28=CM28,CN28,IF(DO28=CQ28,CR28,IF(DO28=CU28,CV28,IF(DO28=CY28,CZ28,IF(DO28=DC28,DD28,IF(DO28=DG28,DH28,IF(DO28=DK28,DL28,0)))))))))))))</f>
        <v>3</v>
      </c>
      <c r="DQ28">
        <f>IF(DO28=BO28,BQ28,IF(DO28=BS28,BU28,IF(DO28=BW28,BY28,IF(DO28=CA28,CC28,IF(DO28=CE28,CG28,IF(DO28=CI28,CK28,IF(DO28=CM28,CO28,IF(DO28=CQ28,CS28,IF(DO28=CU28,CW28,IF(DO28=CY28,DA28,IF(DO28=DC28,DE28,IF(DO28=DG28,DI28,IF(DO28=DK28,DM28,0)))))))))))))</f>
        <v>8.6622500000000002</v>
      </c>
      <c r="DR28">
        <f t="shared" si="29"/>
        <v>0</v>
      </c>
      <c r="DS28">
        <f t="shared" si="30"/>
        <v>0.255202777777778</v>
      </c>
      <c r="DT28">
        <f>IF(DS28=BO28,BP28,IF(DS28=BS28,BT28,IF(DS28=BW28,BX28,IF(DS28=CA28,CB28,IF(DS28=CE28,CF28,IF(DS28=CI28,CJ28,IF(DS28=CM28,CN28,IF(DS28=CQ28,CR28,IF(DS28=CU28,CV28,IF(DS28=CY28,CZ28,IF(DS28=DC28,DD28,IF(DS28=DG28,DH28,IF(DS28=DK28,DL28,IF(DS28=DO28,DP28,0))))))))))))))</f>
        <v>3</v>
      </c>
      <c r="DU28">
        <f>IF(DS28=BO28,BQ28,IF(DS28=BS28,BU28,IF(DS28=BW28,BY28,IF(DS28=CA28,CC28,IF(DS28=CE28,CG28,IF(DS28=CI28,CK28,IF(DS28=CM28,CO28,IF(DS28=CQ28,CS28,IF(DS28=CU28,CW28,IF(DS28=CY28,DA28,IF(DS28=DC28,DE28,IF(DS28=DG28,DI28,IF(DS28=DK28,DM28,IF(DS28=DO28,DQ28,0))))))))))))))</f>
        <v>8.6622500000000002</v>
      </c>
      <c r="DV28">
        <f t="shared" si="31"/>
        <v>0</v>
      </c>
      <c r="DW28">
        <v>22500.5</v>
      </c>
      <c r="DX28">
        <v>2</v>
      </c>
      <c r="DY28">
        <v>0</v>
      </c>
      <c r="DZ28">
        <v>4</v>
      </c>
      <c r="EA28">
        <v>4</v>
      </c>
      <c r="EB28">
        <v>10.114099490560401</v>
      </c>
      <c r="EC28">
        <v>2</v>
      </c>
      <c r="ED28">
        <v>7.6370209999999998</v>
      </c>
      <c r="EE28">
        <v>0.255202777777778</v>
      </c>
      <c r="EF28">
        <v>8.6622500000000002</v>
      </c>
      <c r="EG28">
        <v>12.404871871113601</v>
      </c>
      <c r="EH28">
        <v>3</v>
      </c>
      <c r="EI28">
        <v>0</v>
      </c>
      <c r="EJ28">
        <v>2.2521849999999999</v>
      </c>
      <c r="EK28">
        <v>1</v>
      </c>
      <c r="EL28">
        <v>0</v>
      </c>
      <c r="EM28">
        <v>47</v>
      </c>
      <c r="EN28">
        <v>1</v>
      </c>
      <c r="EO28">
        <v>4</v>
      </c>
      <c r="EP28">
        <v>7</v>
      </c>
      <c r="EQ28">
        <v>11</v>
      </c>
      <c r="ER28">
        <v>14.1987814663817</v>
      </c>
      <c r="ES28">
        <v>11.4661470910573</v>
      </c>
      <c r="ET28">
        <v>19.103168091057299</v>
      </c>
      <c r="EU28">
        <v>7.2471369425604699</v>
      </c>
      <c r="EV28">
        <v>9.4993219425604707</v>
      </c>
      <c r="EW28">
        <v>4.7240985999999996</v>
      </c>
      <c r="EX28">
        <v>9.6179390368499202</v>
      </c>
      <c r="EY28">
        <v>14.3420376368499</v>
      </c>
      <c r="EZ28">
        <v>2.2521849999999999</v>
      </c>
      <c r="FA28">
        <v>7.2471369425604699</v>
      </c>
      <c r="FB28">
        <v>9.4993219425604707</v>
      </c>
      <c r="FC28">
        <v>2.2521849999999999</v>
      </c>
      <c r="FD28">
        <v>7.2471369425604699</v>
      </c>
      <c r="FE28">
        <v>9.4993219425604707</v>
      </c>
      <c r="FF28">
        <v>2.6319982</v>
      </c>
      <c r="FG28">
        <v>7.66481776402986</v>
      </c>
      <c r="FH28">
        <v>10.2968159640299</v>
      </c>
    </row>
    <row r="29" spans="1:164" x14ac:dyDescent="0.2">
      <c r="A29">
        <v>28</v>
      </c>
      <c r="B29">
        <v>34</v>
      </c>
      <c r="C29">
        <v>65</v>
      </c>
      <c r="D29">
        <v>3</v>
      </c>
      <c r="E29">
        <v>12</v>
      </c>
      <c r="F29" t="s">
        <v>158</v>
      </c>
      <c r="G29" t="s">
        <v>122</v>
      </c>
      <c r="H29">
        <v>3</v>
      </c>
      <c r="I29">
        <v>3</v>
      </c>
      <c r="K29" t="s">
        <v>171</v>
      </c>
      <c r="L29">
        <v>0</v>
      </c>
      <c r="M29">
        <v>0</v>
      </c>
      <c r="N29">
        <v>1</v>
      </c>
      <c r="O29">
        <v>0</v>
      </c>
      <c r="P29">
        <v>0</v>
      </c>
      <c r="Q29">
        <v>1</v>
      </c>
      <c r="R29">
        <v>0</v>
      </c>
      <c r="S29">
        <v>2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5</v>
      </c>
      <c r="AE29">
        <v>10</v>
      </c>
      <c r="AF29">
        <v>5</v>
      </c>
      <c r="AG29">
        <v>10</v>
      </c>
      <c r="AH29">
        <v>4</v>
      </c>
      <c r="AI29">
        <v>0.16666666666666699</v>
      </c>
      <c r="AJ29">
        <v>6.7</v>
      </c>
      <c r="AK29">
        <v>0.31666666666666698</v>
      </c>
      <c r="AL29">
        <v>24.2</v>
      </c>
      <c r="AM29">
        <v>0.3</v>
      </c>
      <c r="AN29">
        <v>21.1</v>
      </c>
      <c r="AO29">
        <v>0.3</v>
      </c>
      <c r="AP29">
        <v>20.9</v>
      </c>
      <c r="AQ29">
        <v>0.36666666666666697</v>
      </c>
      <c r="AR29">
        <v>21.3</v>
      </c>
      <c r="AS29">
        <v>0.25</v>
      </c>
      <c r="AT29">
        <v>15</v>
      </c>
      <c r="AU29">
        <v>0.2</v>
      </c>
      <c r="AV29">
        <v>10</v>
      </c>
      <c r="AW29">
        <v>0.16666666666666699</v>
      </c>
      <c r="AX29">
        <v>7.4</v>
      </c>
      <c r="AY29">
        <v>0.133333333333333</v>
      </c>
      <c r="AZ29">
        <v>5.3</v>
      </c>
      <c r="BA29">
        <v>0.1</v>
      </c>
      <c r="BB29">
        <v>4.7</v>
      </c>
      <c r="BC29">
        <v>0.18333333333333299</v>
      </c>
      <c r="BD29">
        <v>7.2</v>
      </c>
      <c r="BE29">
        <v>0.21666666666666701</v>
      </c>
      <c r="BF29">
        <v>13.6</v>
      </c>
      <c r="BG29">
        <v>0.266666666666667</v>
      </c>
      <c r="BH29">
        <v>18.3</v>
      </c>
      <c r="BI29">
        <v>0.31666666666666698</v>
      </c>
      <c r="BJ29">
        <v>20.2</v>
      </c>
      <c r="BK29">
        <v>0.38333333333333303</v>
      </c>
      <c r="BL29">
        <v>22.7</v>
      </c>
      <c r="BM29">
        <v>0.483333333333333</v>
      </c>
      <c r="BN29">
        <v>29</v>
      </c>
      <c r="BO29">
        <f t="shared" si="0"/>
        <v>0.1</v>
      </c>
      <c r="BP29">
        <v>9</v>
      </c>
      <c r="BQ29">
        <v>4.7</v>
      </c>
      <c r="BR29">
        <f t="shared" si="1"/>
        <v>0</v>
      </c>
      <c r="BS29">
        <f t="shared" si="2"/>
        <v>0.1</v>
      </c>
      <c r="BT29">
        <f t="shared" si="3"/>
        <v>9</v>
      </c>
      <c r="BU29">
        <f t="shared" si="4"/>
        <v>4.7</v>
      </c>
      <c r="BV29">
        <f t="shared" si="5"/>
        <v>0</v>
      </c>
      <c r="BW29">
        <f t="shared" si="6"/>
        <v>0.1</v>
      </c>
      <c r="BX29">
        <f t="shared" si="32"/>
        <v>9</v>
      </c>
      <c r="BY29">
        <f t="shared" si="33"/>
        <v>4.7</v>
      </c>
      <c r="BZ29">
        <f t="shared" si="7"/>
        <v>0</v>
      </c>
      <c r="CA29">
        <f t="shared" si="8"/>
        <v>0.1</v>
      </c>
      <c r="CB29">
        <f>IF(CA29=BO29,BP29,IF(CA29=BS29,BT29,IF(CA29=BW29,BX29,0)))</f>
        <v>9</v>
      </c>
      <c r="CC29">
        <f>IF(CA29=BO29,BQ29,IF(CA29=BS29,BU29,IF(CA29=BW29,BY29,0)))</f>
        <v>4.7</v>
      </c>
      <c r="CD29">
        <f t="shared" si="9"/>
        <v>0</v>
      </c>
      <c r="CE29">
        <f t="shared" si="10"/>
        <v>0.1</v>
      </c>
      <c r="CF29">
        <f>IF(CE29=BO29,BP29,IF(CE29=BS29,BT29,IF(CE29=BW29,BX29,IF(CE29=CA29,CB29,0))))</f>
        <v>9</v>
      </c>
      <c r="CG29">
        <f>IF(CE29=BO29,BQ29,IF(CE29=BS29,BU29,IF(CE29=BW29,BY29,IF(CE29=CA29,CC29,0))))</f>
        <v>4.7</v>
      </c>
      <c r="CH29">
        <f t="shared" si="11"/>
        <v>0</v>
      </c>
      <c r="CI29">
        <f t="shared" si="12"/>
        <v>0.1</v>
      </c>
      <c r="CJ29">
        <f>IF(CI29=BO29,BP29,IF(CI29=BS29,BT29,IF(CI29=BW29,BX29,IF(CI29=CA29,CB29,IF(CI29=CE29,CF29,0)))))</f>
        <v>9</v>
      </c>
      <c r="CK29">
        <f>IF(CI29=BO29,BQ29,IF(CI29=BS29,BU29,IF(CI29=BW29,BY29,IF(CI29=CA29,CC29,IF(CI29=CE29,CG29,0)))))</f>
        <v>4.7</v>
      </c>
      <c r="CL29">
        <f t="shared" si="13"/>
        <v>0</v>
      </c>
      <c r="CM29">
        <f t="shared" si="14"/>
        <v>0.1</v>
      </c>
      <c r="CN29">
        <f>IF(CM29=BO29,BP29,IF(CM29=BS29,BT29,IF(CM29=BW29,BX29,IF(CM29=CA29,CB29,IF(CM29=CE29,CF29,IF(CM29=CI29,CJ29,0))))))</f>
        <v>9</v>
      </c>
      <c r="CO29">
        <f>IF(CM29=BO29,BQ29,IF(CM29=BS29,BU29,IF(CM29=BW29,BY29,IF(CM29=CA29,CC29,IF(CM29=CE29,CG29,IF(CM29=CI29,CK29,0))))))</f>
        <v>4.7</v>
      </c>
      <c r="CP29">
        <f t="shared" si="15"/>
        <v>0</v>
      </c>
      <c r="CQ29">
        <f t="shared" si="16"/>
        <v>0.1</v>
      </c>
      <c r="CR29">
        <f>IF(CQ29=BO29,BP29,IF(CQ29=BS29,BT29,IF(CQ29=BW29,BX29,IF(CQ29=CA29,CB29,IF(CQ29=CE29,CF29,IF(CQ29=CI29,CJ29,IF(CQ29=CM29,CN29,0)))))))</f>
        <v>9</v>
      </c>
      <c r="CS29">
        <f>IF(CQ29=BO29,BQ29,IF(CQ29=BS29,BU29,IF(CQ29=BW29,BY29,IF(CQ29=CA29,CC29,IF(CQ29=CE29,CG29,IF(CQ29=CI29,CK29,IF(CQ29=CM29,CO29,0)))))))</f>
        <v>4.7</v>
      </c>
      <c r="CT29">
        <f t="shared" si="17"/>
        <v>0</v>
      </c>
      <c r="CU29">
        <f t="shared" si="18"/>
        <v>0.133333333333333</v>
      </c>
      <c r="CV29">
        <v>8</v>
      </c>
      <c r="CW29">
        <v>5.3</v>
      </c>
      <c r="CX29">
        <f t="shared" si="19"/>
        <v>0</v>
      </c>
      <c r="CY29">
        <f t="shared" si="20"/>
        <v>0.1</v>
      </c>
      <c r="CZ29">
        <f>IF(CY29=BO29,BP29,IF(CY29=BS29,BT29,IF(CY29=BW29,BX29,IF(CY29=CA29,CB29,IF(CY29=CE29,CF29,IF(CY29=CI29,CJ29,IF(CY29=CM29,CN29,IF(CY29=CQ29,CR29,IF(CY29=CU29,CV29,0)))))))))</f>
        <v>9</v>
      </c>
      <c r="DA29">
        <f>IF(CY29=BO29,BQ29,IF(CY29=BS29,BU29,IF(CY29=BW29,BY29,IF(CY29=CA29,CC29,IF(CY29=CE29,CG29,IF(CY29=CI29,CK29,IF(CY29=CM29,CO29,IF(CY29=CQ29,CS29,IF(CY29=CU29,CW29,0)))))))))</f>
        <v>4.7</v>
      </c>
      <c r="DB29">
        <f t="shared" si="21"/>
        <v>0</v>
      </c>
      <c r="DC29">
        <f t="shared" si="22"/>
        <v>0.1</v>
      </c>
      <c r="DD29">
        <f>IF(DC29=BO29,BP29,IF(DC29=BS29,BT29,IF(DC29=BW29,BX29,IF(DC29=CA29,CB29,IF(DC29=CE29,CF29,IF(DC29=CI29,CJ29,IF(DC29=CM29,CN29,IF(DC29=CQ29,CR29,IF(DC29=CU29,CV29,IF(DC29=CY29,CZ29,0))))))))))</f>
        <v>9</v>
      </c>
      <c r="DE29">
        <f>IF(DC29=BO29,BQ29,IF(DC29=BS29,BU29,IF(DC29=BW29,BY29,IF(DC29=CA29,CC29,IF(DC29=CE29,CG29,IF(DC29=CI29,CK29,IF(DC29=CM29,CO29,IF(DC29=CQ29,CS29,IF(DC29=CU29,CW29,IF(DC29=CY29,DA29,0))))))))))</f>
        <v>4.7</v>
      </c>
      <c r="DF29">
        <f t="shared" si="23"/>
        <v>0</v>
      </c>
      <c r="DG29">
        <f t="shared" si="24"/>
        <v>0.1</v>
      </c>
      <c r="DH29">
        <f>IF(DG29=BO29,BP29,IF(DG29=BS29,BT29,IF(DG29=BW29,BX29,IF(DG29=CA29,CB29,IF(DG29=CE29,CF29,IF(DG29=CI29,CJ29,IF(DG29=CM29,CN29,IF(DG29=CQ29,CR29,IF(DG29=CU29,CV29,IF(DG29=CY29,CZ29,IF(DG29=DC29,DD29,0)))))))))))</f>
        <v>9</v>
      </c>
      <c r="DI29">
        <f>IF(DG29=BO29,BQ29,IF(DG29=BS29,BU29,IF(DG29=BW29,BY29,IF(DG29=CA29,CC29,IF(DG29=CE29,CG29,IF(DG29=CI29,CK29,IF(DG29=CM29,CO29,IF(DG29=CQ29,CS29,IF(DG29=CU29,CW29,IF(DG29=CY29,DA29,IF(DG29=DC29,DE29,0)))))))))))</f>
        <v>4.7</v>
      </c>
      <c r="DJ29">
        <f t="shared" si="25"/>
        <v>0</v>
      </c>
      <c r="DK29">
        <f t="shared" si="26"/>
        <v>0.1</v>
      </c>
      <c r="DL29">
        <f>IF(DK29=BO29,BP29,IF(DK29=BS29,BT29,IF(DK29=BW29,BX29,IF(DK29=CA29,CB29,IF(DK29=CE29,CF29,IF(DK29=CI29,CJ29,IF(DK29=CM29,CN29,IF(DK29=CQ29,CR29,IF(DK29=CU29,CV29,IF(DK29=CY29,CZ29,IF(DK29=DC29,DD29,IF(DK29=DG29,DH29,0))))))))))))</f>
        <v>9</v>
      </c>
      <c r="DM29">
        <f>IF(DK29=BO29,BQ29,IF(DK29=BS29,BU29,IF(DK29=BW29,BY29,IF(DK29=CA29,CC29,IF(DK29=CE29,CG29,IF(DK29=CI29,CK29,IF(DK29=CM29,CO29,IF(DK29=CQ29,CS29,IF(DK29=CU29,CW29,IF(DK29=CY29,DA29,IF(DK29=DC29,DE29,IF(DK29=DG29,DI29,0))))))))))))</f>
        <v>4.7</v>
      </c>
      <c r="DN29">
        <f t="shared" si="27"/>
        <v>0</v>
      </c>
      <c r="DO29">
        <f t="shared" si="28"/>
        <v>0.1</v>
      </c>
      <c r="DP29">
        <f>IF(DO29=BO29,BP29,IF(DO29=BS29,BT29,IF(DO29=BW29,BX29,IF(DO29=CA29,CB29,IF(DO29=CE29,CF29,IF(DO29=CI29,CJ29,IF(DO29=CM29,CN29,IF(DO29=CQ29,CR29,IF(DO29=CU29,CV29,IF(DO29=CY29,CZ29,IF(DO29=DC29,DD29,IF(DO29=DG29,DH29,IF(DO29=DK29,DL29,0)))))))))))))</f>
        <v>9</v>
      </c>
      <c r="DQ29">
        <f>IF(DO29=BO29,BQ29,IF(DO29=BS29,BU29,IF(DO29=BW29,BY29,IF(DO29=CA29,CC29,IF(DO29=CE29,CG29,IF(DO29=CI29,CK29,IF(DO29=CM29,CO29,IF(DO29=CQ29,CS29,IF(DO29=CU29,CW29,IF(DO29=CY29,DA29,IF(DO29=DC29,DE29,IF(DO29=DG29,DI29,IF(DO29=DK29,DM29,0)))))))))))))</f>
        <v>4.7</v>
      </c>
      <c r="DR29">
        <f t="shared" si="29"/>
        <v>0</v>
      </c>
      <c r="DS29">
        <f t="shared" si="30"/>
        <v>0.1</v>
      </c>
      <c r="DT29">
        <f>IF(DS29=BO29,BP29,IF(DS29=BS29,BT29,IF(DS29=BW29,BX29,IF(DS29=CA29,CB29,IF(DS29=CE29,CF29,IF(DS29=CI29,CJ29,IF(DS29=CM29,CN29,IF(DS29=CQ29,CR29,IF(DS29=CU29,CV29,IF(DS29=CY29,CZ29,IF(DS29=DC29,DD29,IF(DS29=DG29,DH29,IF(DS29=DK29,DL29,IF(DS29=DO29,DP29,0))))))))))))))</f>
        <v>9</v>
      </c>
      <c r="DU29">
        <f>IF(DS29=BO29,BQ29,IF(DS29=BS29,BU29,IF(DS29=BW29,BY29,IF(DS29=CA29,CC29,IF(DS29=CE29,CG29,IF(DS29=CI29,CK29,IF(DS29=CM29,CO29,IF(DS29=CQ29,CS29,IF(DS29=CU29,CW29,IF(DS29=CY29,DA29,IF(DS29=DC29,DE29,IF(DS29=DG29,DI29,IF(DS29=DK29,DM29,IF(DS29=DO29,DQ29,0))))))))))))))</f>
        <v>4.7</v>
      </c>
      <c r="DV29">
        <f t="shared" si="31"/>
        <v>0</v>
      </c>
      <c r="DW29">
        <v>52500.5</v>
      </c>
      <c r="DX29">
        <v>4</v>
      </c>
      <c r="DY29">
        <v>0</v>
      </c>
      <c r="DZ29">
        <v>6</v>
      </c>
      <c r="EA29">
        <v>6</v>
      </c>
      <c r="EB29">
        <v>23.599265807611602</v>
      </c>
      <c r="EC29">
        <v>1.5</v>
      </c>
      <c r="ED29">
        <v>2.371</v>
      </c>
      <c r="EE29">
        <v>0.1</v>
      </c>
      <c r="EF29">
        <v>4.7</v>
      </c>
      <c r="EG29">
        <v>9.7121146327340409</v>
      </c>
      <c r="EH29">
        <v>9</v>
      </c>
      <c r="EI29">
        <v>0</v>
      </c>
      <c r="EJ29">
        <v>0.61099999999999999</v>
      </c>
      <c r="EK29">
        <v>1</v>
      </c>
      <c r="EL29">
        <v>0</v>
      </c>
      <c r="EM29">
        <v>25</v>
      </c>
      <c r="EN29">
        <v>0</v>
      </c>
      <c r="EO29">
        <v>4</v>
      </c>
      <c r="EP29">
        <v>4</v>
      </c>
      <c r="EQ29">
        <v>5</v>
      </c>
      <c r="ER29">
        <v>14.1987814663817</v>
      </c>
      <c r="ES29">
        <v>4.7329271554605699</v>
      </c>
      <c r="ET29">
        <v>7.1039271554605703</v>
      </c>
      <c r="EU29">
        <v>2.83975629327634</v>
      </c>
      <c r="EV29">
        <v>3.4507562932763398</v>
      </c>
      <c r="EW29">
        <v>0.68899999999999995</v>
      </c>
      <c r="EX29">
        <v>3.7863417243684401</v>
      </c>
      <c r="EY29">
        <v>4.4753417243684401</v>
      </c>
      <c r="EZ29">
        <v>0.61099999999999999</v>
      </c>
      <c r="FA29">
        <v>2.83975629327634</v>
      </c>
      <c r="FB29">
        <v>3.4507562932763398</v>
      </c>
      <c r="FC29">
        <v>2.7170000000000001</v>
      </c>
      <c r="FD29">
        <v>8.5192688798290099</v>
      </c>
      <c r="FE29">
        <v>11.236268879829</v>
      </c>
      <c r="FF29">
        <v>0.61099999999999999</v>
      </c>
      <c r="FG29">
        <v>2.83975629327634</v>
      </c>
      <c r="FH29">
        <v>3.4507562932763398</v>
      </c>
    </row>
    <row r="30" spans="1:164" x14ac:dyDescent="0.2">
      <c r="A30">
        <v>29</v>
      </c>
      <c r="B30">
        <v>35</v>
      </c>
      <c r="C30">
        <v>66</v>
      </c>
      <c r="D30">
        <v>3</v>
      </c>
      <c r="E30">
        <v>12</v>
      </c>
      <c r="F30" t="s">
        <v>172</v>
      </c>
      <c r="G30" t="s">
        <v>173</v>
      </c>
      <c r="H30">
        <v>3</v>
      </c>
      <c r="I30">
        <v>7</v>
      </c>
      <c r="J30" t="s">
        <v>174</v>
      </c>
      <c r="K30" t="s">
        <v>175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7</v>
      </c>
      <c r="AE30">
        <v>10</v>
      </c>
      <c r="AF30">
        <v>5</v>
      </c>
      <c r="AG30">
        <v>7</v>
      </c>
      <c r="AH30">
        <v>5</v>
      </c>
      <c r="AI30">
        <v>0.100186111111111</v>
      </c>
      <c r="AJ30">
        <v>1.81796</v>
      </c>
      <c r="AK30">
        <v>0.39201111111111098</v>
      </c>
      <c r="AL30">
        <v>23.15277</v>
      </c>
      <c r="AM30">
        <v>0.286122222222222</v>
      </c>
      <c r="AN30">
        <v>20.68262</v>
      </c>
      <c r="AO30">
        <v>0.28226388888888898</v>
      </c>
      <c r="AP30">
        <v>18.30913</v>
      </c>
      <c r="AQ30">
        <v>0.30556388888888902</v>
      </c>
      <c r="AR30">
        <v>18.63702</v>
      </c>
      <c r="AS30">
        <v>0.27074999999999999</v>
      </c>
      <c r="AT30">
        <v>15.13716</v>
      </c>
      <c r="AU30">
        <v>0.17009444444444399</v>
      </c>
      <c r="AV30">
        <v>9.6016200000000005</v>
      </c>
      <c r="AW30">
        <v>0.14537222222222199</v>
      </c>
      <c r="AX30">
        <v>7.5754400000000004</v>
      </c>
      <c r="AY30">
        <v>0.115452777777778</v>
      </c>
      <c r="AZ30">
        <v>4.3986200000000002</v>
      </c>
      <c r="BA30">
        <v>0.100444444444444</v>
      </c>
      <c r="BB30">
        <v>3.8156400000000001</v>
      </c>
      <c r="BC30">
        <v>3.9919444444444403E-2</v>
      </c>
      <c r="BD30">
        <v>0.60690999999999995</v>
      </c>
      <c r="BE30">
        <v>0.17330833333333301</v>
      </c>
      <c r="BF30">
        <v>8.8085000000000004</v>
      </c>
      <c r="BG30">
        <v>0.237183333333333</v>
      </c>
      <c r="BH30">
        <v>12.211349999999999</v>
      </c>
      <c r="BI30">
        <v>0.28100833333333303</v>
      </c>
      <c r="BJ30">
        <v>14.185269999999999</v>
      </c>
      <c r="BK30">
        <v>0.34915000000000002</v>
      </c>
      <c r="BL30">
        <v>21.000920000000001</v>
      </c>
      <c r="BM30">
        <v>0.39065277777777802</v>
      </c>
      <c r="BN30">
        <v>22.993600000000001</v>
      </c>
      <c r="BO30">
        <f t="shared" si="0"/>
        <v>3.9919444444444403E-2</v>
      </c>
      <c r="BP30">
        <v>10</v>
      </c>
      <c r="BQ30">
        <v>0.60690999999999995</v>
      </c>
      <c r="BR30">
        <f t="shared" si="1"/>
        <v>0</v>
      </c>
      <c r="BS30">
        <f t="shared" si="2"/>
        <v>3.9919444444444403E-2</v>
      </c>
      <c r="BT30">
        <f t="shared" si="3"/>
        <v>10</v>
      </c>
      <c r="BU30">
        <f t="shared" si="4"/>
        <v>0.60690999999999995</v>
      </c>
      <c r="BV30">
        <f t="shared" si="5"/>
        <v>0</v>
      </c>
      <c r="BW30">
        <f t="shared" si="6"/>
        <v>3.9919444444444403E-2</v>
      </c>
      <c r="BX30">
        <f t="shared" si="32"/>
        <v>10</v>
      </c>
      <c r="BY30">
        <f t="shared" si="33"/>
        <v>0.60690999999999995</v>
      </c>
      <c r="BZ30">
        <f t="shared" si="7"/>
        <v>0</v>
      </c>
      <c r="CA30">
        <f t="shared" si="8"/>
        <v>3.9919444444444403E-2</v>
      </c>
      <c r="CB30">
        <f>IF(CA30=BO30,BP30,IF(CA30=BS30,BT30,IF(CA30=BW30,BX30,0)))</f>
        <v>10</v>
      </c>
      <c r="CC30">
        <f>IF(CA30=BO30,BQ30,IF(CA30=BS30,BU30,IF(CA30=BW30,BY30,0)))</f>
        <v>0.60690999999999995</v>
      </c>
      <c r="CD30">
        <f t="shared" si="9"/>
        <v>0</v>
      </c>
      <c r="CE30">
        <f t="shared" si="10"/>
        <v>3.9919444444444403E-2</v>
      </c>
      <c r="CF30">
        <f>IF(CE30=BO30,BP30,IF(CE30=BS30,BT30,IF(CE30=BW30,BX30,IF(CE30=CA30,CB30,0))))</f>
        <v>10</v>
      </c>
      <c r="CG30">
        <f>IF(CE30=BO30,BQ30,IF(CE30=BS30,BU30,IF(CE30=BW30,BY30,IF(CE30=CA30,CC30,0))))</f>
        <v>0.60690999999999995</v>
      </c>
      <c r="CH30">
        <f t="shared" si="11"/>
        <v>0</v>
      </c>
      <c r="CI30">
        <f t="shared" si="12"/>
        <v>3.9919444444444403E-2</v>
      </c>
      <c r="CJ30">
        <f>IF(CI30=BO30,BP30,IF(CI30=BS30,BT30,IF(CI30=BW30,BX30,IF(CI30=CA30,CB30,IF(CI30=CE30,CF30,0)))))</f>
        <v>10</v>
      </c>
      <c r="CK30">
        <f>IF(CI30=BO30,BQ30,IF(CI30=BS30,BU30,IF(CI30=BW30,BY30,IF(CI30=CA30,CC30,IF(CI30=CE30,CG30,0)))))</f>
        <v>0.60690999999999995</v>
      </c>
      <c r="CL30">
        <f t="shared" si="13"/>
        <v>0</v>
      </c>
      <c r="CM30">
        <f t="shared" si="14"/>
        <v>3.9919444444444403E-2</v>
      </c>
      <c r="CN30">
        <f>IF(CM30=BO30,BP30,IF(CM30=BS30,BT30,IF(CM30=BW30,BX30,IF(CM30=CA30,CB30,IF(CM30=CE30,CF30,IF(CM30=CI30,CJ30,0))))))</f>
        <v>10</v>
      </c>
      <c r="CO30">
        <f>IF(CM30=BO30,BQ30,IF(CM30=BS30,BU30,IF(CM30=BW30,BY30,IF(CM30=CA30,CC30,IF(CM30=CE30,CG30,IF(CM30=CI30,CK30,0))))))</f>
        <v>0.60690999999999995</v>
      </c>
      <c r="CP30">
        <f t="shared" si="15"/>
        <v>0</v>
      </c>
      <c r="CQ30">
        <f t="shared" si="16"/>
        <v>3.9919444444444403E-2</v>
      </c>
      <c r="CR30">
        <f>IF(CQ30=BO30,BP30,IF(CQ30=BS30,BT30,IF(CQ30=BW30,BX30,IF(CQ30=CA30,CB30,IF(CQ30=CE30,CF30,IF(CQ30=CI30,CJ30,IF(CQ30=CM30,CN30,0)))))))</f>
        <v>10</v>
      </c>
      <c r="CS30">
        <f>IF(CQ30=BO30,BQ30,IF(CQ30=BS30,BU30,IF(CQ30=BW30,BY30,IF(CQ30=CA30,CC30,IF(CQ30=CE30,CG30,IF(CQ30=CI30,CK30,IF(CQ30=CM30,CO30,0)))))))</f>
        <v>0.60690999999999995</v>
      </c>
      <c r="CT30">
        <f t="shared" si="17"/>
        <v>0</v>
      </c>
      <c r="CU30">
        <f t="shared" si="18"/>
        <v>3.9919444444444403E-2</v>
      </c>
      <c r="CV30">
        <f>IF(CU30=BO30,BP30,IF(CU30=BS30,BT30,IF(CU30=BW30,BX30,IF(CU30=CA30,CB30,IF(CU30=CE30,CF30,IF(CU30=CI30,CJ30,IF(CU30=CM30,CN30,IF(CU30=CQ30,CR30,0))))))))</f>
        <v>10</v>
      </c>
      <c r="CW30">
        <f>IF(CU30=BO30,BQ30,IF(CU30=BS30,BU30,IF(CU30=BW30,BY30,IF(CU30=CA30,CC30,IF(CU30=CE30,CG30,IF(CU30=CI30,CK30,IF(CU30=CM30,CO30,IF(CU30=CQ30,CS30,0))))))))</f>
        <v>0.60690999999999995</v>
      </c>
      <c r="CX30">
        <f t="shared" si="19"/>
        <v>0</v>
      </c>
      <c r="CY30">
        <f t="shared" si="20"/>
        <v>0.100186111111111</v>
      </c>
      <c r="CZ30" t="s">
        <v>407</v>
      </c>
      <c r="DA30">
        <v>1.81796</v>
      </c>
      <c r="DB30">
        <v>4</v>
      </c>
      <c r="DC30">
        <f t="shared" si="22"/>
        <v>3.9919444444444403E-2</v>
      </c>
      <c r="DD30">
        <f>IF(DC30=BO30,BP30,IF(DC30=BS30,BT30,IF(DC30=BW30,BX30,IF(DC30=CA30,CB30,IF(DC30=CE30,CF30,IF(DC30=CI30,CJ30,IF(DC30=CM30,CN30,IF(DC30=CQ30,CR30,IF(DC30=CU30,CV30,IF(DC30=CY30,CZ30,0))))))))))</f>
        <v>10</v>
      </c>
      <c r="DE30">
        <f>IF(DC30=BO30,BQ30,IF(DC30=BS30,BU30,IF(DC30=BW30,BY30,IF(DC30=CA30,CC30,IF(DC30=CE30,CG30,IF(DC30=CI30,CK30,IF(DC30=CM30,CO30,IF(DC30=CQ30,CS30,IF(DC30=CU30,CW30,IF(DC30=CY30,DA30,0))))))))))</f>
        <v>0.60690999999999995</v>
      </c>
      <c r="DF30">
        <f t="shared" si="23"/>
        <v>0</v>
      </c>
      <c r="DG30">
        <f t="shared" si="24"/>
        <v>3.9919444444444403E-2</v>
      </c>
      <c r="DH30">
        <f>IF(DG30=BO30,BP30,IF(DG30=BS30,BT30,IF(DG30=BW30,BX30,IF(DG30=CA30,CB30,IF(DG30=CE30,CF30,IF(DG30=CI30,CJ30,IF(DG30=CM30,CN30,IF(DG30=CQ30,CR30,IF(DG30=CU30,CV30,IF(DG30=CY30,CZ30,IF(DG30=DC30,DD30,0)))))))))))</f>
        <v>10</v>
      </c>
      <c r="DI30">
        <f>IF(DG30=BO30,BQ30,IF(DG30=BS30,BU30,IF(DG30=BW30,BY30,IF(DG30=CA30,CC30,IF(DG30=CE30,CG30,IF(DG30=CI30,CK30,IF(DG30=CM30,CO30,IF(DG30=CQ30,CS30,IF(DG30=CU30,CW30,IF(DG30=CY30,DA30,IF(DG30=DC30,DE30,0)))))))))))</f>
        <v>0.60690999999999995</v>
      </c>
      <c r="DJ30">
        <f t="shared" si="25"/>
        <v>0</v>
      </c>
      <c r="DK30">
        <f t="shared" si="26"/>
        <v>3.9919444444444403E-2</v>
      </c>
      <c r="DL30">
        <f>IF(DK30=BO30,BP30,IF(DK30=BS30,BT30,IF(DK30=BW30,BX30,IF(DK30=CA30,CB30,IF(DK30=CE30,CF30,IF(DK30=CI30,CJ30,IF(DK30=CM30,CN30,IF(DK30=CQ30,CR30,IF(DK30=CU30,CV30,IF(DK30=CY30,CZ30,IF(DK30=DC30,DD30,IF(DK30=DG30,DH30,0))))))))))))</f>
        <v>10</v>
      </c>
      <c r="DM30">
        <f>IF(DK30=BO30,BQ30,IF(DK30=BS30,BU30,IF(DK30=BW30,BY30,IF(DK30=CA30,CC30,IF(DK30=CE30,CG30,IF(DK30=CI30,CK30,IF(DK30=CM30,CO30,IF(DK30=CQ30,CS30,IF(DK30=CU30,CW30,IF(DK30=CY30,DA30,IF(DK30=DC30,DE30,IF(DK30=DG30,DI30,0))))))))))))</f>
        <v>0.60690999999999995</v>
      </c>
      <c r="DN30">
        <f t="shared" si="27"/>
        <v>0</v>
      </c>
      <c r="DO30">
        <f t="shared" si="28"/>
        <v>3.9919444444444403E-2</v>
      </c>
      <c r="DP30">
        <f>IF(DO30=BO30,BP30,IF(DO30=BS30,BT30,IF(DO30=BW30,BX30,IF(DO30=CA30,CB30,IF(DO30=CE30,CF30,IF(DO30=CI30,CJ30,IF(DO30=CM30,CN30,IF(DO30=CQ30,CR30,IF(DO30=CU30,CV30,IF(DO30=CY30,CZ30,IF(DO30=DC30,DD30,IF(DO30=DG30,DH30,IF(DO30=DK30,DL30,0)))))))))))))</f>
        <v>10</v>
      </c>
      <c r="DQ30">
        <f>IF(DO30=BO30,BQ30,IF(DO30=BS30,BU30,IF(DO30=BW30,BY30,IF(DO30=CA30,CC30,IF(DO30=CE30,CG30,IF(DO30=CI30,CK30,IF(DO30=CM30,CO30,IF(DO30=CQ30,CS30,IF(DO30=CU30,CW30,IF(DO30=CY30,DA30,IF(DO30=DC30,DE30,IF(DO30=DG30,DI30,IF(DO30=DK30,DM30,0)))))))))))))</f>
        <v>0.60690999999999995</v>
      </c>
      <c r="DR30">
        <f t="shared" si="29"/>
        <v>0</v>
      </c>
      <c r="DS30">
        <f t="shared" si="30"/>
        <v>3.9919444444444403E-2</v>
      </c>
      <c r="DT30">
        <f>IF(DS30=BO30,BP30,IF(DS30=BS30,BT30,IF(DS30=BW30,BX30,IF(DS30=CA30,CB30,IF(DS30=CE30,CF30,IF(DS30=CI30,CJ30,IF(DS30=CM30,CN30,IF(DS30=CQ30,CR30,IF(DS30=CU30,CV30,IF(DS30=CY30,CZ30,IF(DS30=DC30,DD30,IF(DS30=DG30,DH30,IF(DS30=DK30,DL30,IF(DS30=DO30,DP30,0))))))))))))))</f>
        <v>10</v>
      </c>
      <c r="DU30">
        <f>IF(DS30=BO30,BQ30,IF(DS30=BS30,BU30,IF(DS30=BW30,BY30,IF(DS30=CA30,CC30,IF(DS30=CE30,CG30,IF(DS30=CI30,CK30,IF(DS30=CM30,CO30,IF(DS30=CQ30,CS30,IF(DS30=CU30,CW30,IF(DS30=CY30,DA30,IF(DS30=DC30,DE30,IF(DS30=DG30,DI30,IF(DS30=DK30,DM30,IF(DS30=DO30,DQ30,0))))))))))))))</f>
        <v>0.60690999999999995</v>
      </c>
      <c r="DV30">
        <f t="shared" si="31"/>
        <v>0</v>
      </c>
      <c r="DW30">
        <v>31226.480769230799</v>
      </c>
      <c r="DX30">
        <v>6</v>
      </c>
      <c r="DY30">
        <v>0</v>
      </c>
      <c r="DZ30">
        <v>0</v>
      </c>
      <c r="EA30">
        <v>0</v>
      </c>
      <c r="EB30">
        <v>14.0364762223093</v>
      </c>
      <c r="EC30">
        <v>0</v>
      </c>
      <c r="ED30">
        <v>0</v>
      </c>
      <c r="EE30">
        <v>3.9919444444444403E-2</v>
      </c>
      <c r="EF30">
        <v>0.60690999999999995</v>
      </c>
      <c r="EG30">
        <v>2.8125199328335002</v>
      </c>
      <c r="EH30">
        <v>10</v>
      </c>
      <c r="EI30">
        <v>0</v>
      </c>
      <c r="EJ30">
        <v>0</v>
      </c>
      <c r="EK30">
        <v>0</v>
      </c>
      <c r="EL30">
        <v>1</v>
      </c>
      <c r="EM30">
        <v>33</v>
      </c>
      <c r="EN30">
        <v>1</v>
      </c>
      <c r="EO30">
        <v>2</v>
      </c>
      <c r="EP30">
        <v>5</v>
      </c>
      <c r="EQ30">
        <v>5</v>
      </c>
      <c r="ER30">
        <v>14.1987814663817</v>
      </c>
      <c r="ES30">
        <v>2.8450413952666</v>
      </c>
      <c r="ET30">
        <v>2.8450413952666</v>
      </c>
      <c r="EU30">
        <v>1.13361493585206</v>
      </c>
      <c r="EV30">
        <v>1.13361493585206</v>
      </c>
      <c r="EW30">
        <v>0</v>
      </c>
      <c r="EX30">
        <v>3.2785775227067901</v>
      </c>
      <c r="EY30">
        <v>3.2785775227067901</v>
      </c>
      <c r="EZ30">
        <v>0</v>
      </c>
      <c r="FA30">
        <v>1.13361493585206</v>
      </c>
      <c r="FB30">
        <v>1.13361493585206</v>
      </c>
      <c r="FC30">
        <v>0</v>
      </c>
      <c r="FD30">
        <v>8.0156065483687495</v>
      </c>
      <c r="FE30">
        <v>8.0156065483687495</v>
      </c>
      <c r="FF30">
        <v>0</v>
      </c>
      <c r="FG30">
        <v>1.13361493585206</v>
      </c>
      <c r="FH30">
        <v>1.13361493585206</v>
      </c>
    </row>
    <row r="31" spans="1:164" x14ac:dyDescent="0.2">
      <c r="A31">
        <v>30</v>
      </c>
      <c r="B31">
        <v>37</v>
      </c>
      <c r="C31">
        <v>68</v>
      </c>
      <c r="D31">
        <v>3</v>
      </c>
      <c r="E31">
        <v>12</v>
      </c>
      <c r="F31" t="s">
        <v>176</v>
      </c>
      <c r="G31" t="s">
        <v>177</v>
      </c>
      <c r="H31">
        <v>3</v>
      </c>
      <c r="I31">
        <v>7</v>
      </c>
      <c r="J31" t="s">
        <v>174</v>
      </c>
      <c r="K31" t="s">
        <v>178</v>
      </c>
      <c r="L31">
        <v>0</v>
      </c>
      <c r="M31">
        <v>0</v>
      </c>
      <c r="N31">
        <v>0</v>
      </c>
      <c r="O31">
        <v>0</v>
      </c>
      <c r="P31">
        <v>0</v>
      </c>
      <c r="Q31">
        <v>5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2</v>
      </c>
      <c r="AC31">
        <v>2</v>
      </c>
      <c r="AD31">
        <v>0</v>
      </c>
      <c r="AE31">
        <v>10</v>
      </c>
      <c r="AF31">
        <v>5</v>
      </c>
      <c r="AG31">
        <v>7</v>
      </c>
      <c r="AH31">
        <v>3</v>
      </c>
      <c r="AI31">
        <v>0.20121944444444401</v>
      </c>
      <c r="AJ31">
        <v>8.98461</v>
      </c>
      <c r="AK31">
        <v>0.31836111111111098</v>
      </c>
      <c r="AL31">
        <v>16.457000000000001</v>
      </c>
      <c r="AM31">
        <v>0.21247222222222201</v>
      </c>
      <c r="AN31">
        <v>13.98686</v>
      </c>
      <c r="AO31">
        <v>0.20861666666666701</v>
      </c>
      <c r="AP31">
        <v>11.61337</v>
      </c>
      <c r="AQ31">
        <v>0.23191666666666699</v>
      </c>
      <c r="AR31">
        <v>11.94126</v>
      </c>
      <c r="AS31">
        <v>0.19710277777777799</v>
      </c>
      <c r="AT31">
        <v>8.4413999999999998</v>
      </c>
      <c r="AU31">
        <v>7.8666666666666704E-2</v>
      </c>
      <c r="AV31">
        <v>1.91187</v>
      </c>
      <c r="AW31">
        <v>9.7047222222222201E-2</v>
      </c>
      <c r="AX31">
        <v>3.6541700000000001</v>
      </c>
      <c r="AY31">
        <v>0.118852777777778</v>
      </c>
      <c r="AZ31">
        <v>5.7204600000000001</v>
      </c>
      <c r="BA31">
        <v>0.133527777777778</v>
      </c>
      <c r="BB31">
        <v>6.5543500000000003</v>
      </c>
      <c r="BC31">
        <v>0.193033333333333</v>
      </c>
      <c r="BD31">
        <v>8.3658699999999993</v>
      </c>
      <c r="BE31">
        <v>0.23284444444444399</v>
      </c>
      <c r="BF31">
        <v>15.40352</v>
      </c>
      <c r="BG31">
        <v>0.29671944444444398</v>
      </c>
      <c r="BH31">
        <v>18.806370000000001</v>
      </c>
      <c r="BI31">
        <v>0.34054444444444398</v>
      </c>
      <c r="BJ31">
        <v>20.780290000000001</v>
      </c>
      <c r="BK31">
        <v>0.40868611111111097</v>
      </c>
      <c r="BL31">
        <v>27.595939999999999</v>
      </c>
      <c r="BM31">
        <v>0.45018888888888903</v>
      </c>
      <c r="BN31">
        <v>29.588609999999999</v>
      </c>
      <c r="BO31">
        <f t="shared" si="0"/>
        <v>7.8666666666666704E-2</v>
      </c>
      <c r="BP31">
        <v>6</v>
      </c>
      <c r="BQ31">
        <v>1.91187</v>
      </c>
      <c r="BR31">
        <f t="shared" si="1"/>
        <v>0</v>
      </c>
      <c r="BS31">
        <f t="shared" si="2"/>
        <v>7.8666666666666704E-2</v>
      </c>
      <c r="BT31">
        <f t="shared" si="3"/>
        <v>6</v>
      </c>
      <c r="BU31">
        <f t="shared" si="4"/>
        <v>1.91187</v>
      </c>
      <c r="BV31">
        <f t="shared" si="5"/>
        <v>0</v>
      </c>
      <c r="BW31">
        <f t="shared" si="6"/>
        <v>7.8666666666666704E-2</v>
      </c>
      <c r="BX31">
        <f t="shared" si="32"/>
        <v>6</v>
      </c>
      <c r="BY31">
        <f t="shared" si="33"/>
        <v>1.91187</v>
      </c>
      <c r="BZ31">
        <f t="shared" si="7"/>
        <v>0</v>
      </c>
      <c r="CA31">
        <f t="shared" si="8"/>
        <v>7.8666666666666704E-2</v>
      </c>
      <c r="CB31">
        <f>IF(CA31=BO31,BP31,IF(CA31=BS31,BT31,IF(CA31=BW31,BX31,0)))</f>
        <v>6</v>
      </c>
      <c r="CC31">
        <f>IF(CA31=BO31,BQ31,IF(CA31=BS31,BU31,IF(CA31=BW31,BY31,0)))</f>
        <v>1.91187</v>
      </c>
      <c r="CD31">
        <f t="shared" si="9"/>
        <v>0</v>
      </c>
      <c r="CE31">
        <f t="shared" si="10"/>
        <v>7.8666666666666704E-2</v>
      </c>
      <c r="CF31">
        <f>IF(CE31=BO31,BP31,IF(CE31=BS31,BT31,IF(CE31=BW31,BX31,IF(CE31=CA31,CB31,0))))</f>
        <v>6</v>
      </c>
      <c r="CG31">
        <f>IF(CE31=BO31,BQ31,IF(CE31=BS31,BU31,IF(CE31=BW31,BY31,IF(CE31=CA31,CC31,0))))</f>
        <v>1.91187</v>
      </c>
      <c r="CH31">
        <f t="shared" si="11"/>
        <v>0</v>
      </c>
      <c r="CI31">
        <f t="shared" si="12"/>
        <v>9.7047222222222201E-2</v>
      </c>
      <c r="CJ31">
        <v>7</v>
      </c>
      <c r="CK31">
        <v>3.6541700000000001</v>
      </c>
      <c r="CL31">
        <f t="shared" si="13"/>
        <v>3</v>
      </c>
      <c r="CM31">
        <f t="shared" si="14"/>
        <v>7.8666666666666704E-2</v>
      </c>
      <c r="CN31">
        <f>IF(CM31=BO31,BP31,IF(CM31=BS31,BT31,IF(CM31=BW31,BX31,IF(CM31=CA31,CB31,IF(CM31=CE31,CF31,IF(CM31=CI31,CJ31,0))))))</f>
        <v>6</v>
      </c>
      <c r="CO31">
        <f>IF(CM31=BO31,BQ31,IF(CM31=BS31,BU31,IF(CM31=BW31,BY31,IF(CM31=CA31,CC31,IF(CM31=CE31,CG31,IF(CM31=CI31,CK31,0))))))</f>
        <v>1.91187</v>
      </c>
      <c r="CP31">
        <f t="shared" si="15"/>
        <v>0</v>
      </c>
      <c r="CQ31">
        <f t="shared" si="16"/>
        <v>7.8666666666666704E-2</v>
      </c>
      <c r="CR31">
        <f>IF(CQ31=BO31,BP31,IF(CQ31=BS31,BT31,IF(CQ31=BW31,BX31,IF(CQ31=CA31,CB31,IF(CQ31=CE31,CF31,IF(CQ31=CI31,CJ31,IF(CQ31=CM31,CN31,0)))))))</f>
        <v>6</v>
      </c>
      <c r="CS31">
        <f>IF(CQ31=BO31,BQ31,IF(CQ31=BS31,BU31,IF(CQ31=BW31,BY31,IF(CQ31=CA31,CC31,IF(CQ31=CE31,CG31,IF(CQ31=CI31,CK31,IF(CQ31=CM31,CO31,0)))))))</f>
        <v>1.91187</v>
      </c>
      <c r="CT31">
        <f t="shared" si="17"/>
        <v>0</v>
      </c>
      <c r="CU31">
        <f t="shared" si="18"/>
        <v>7.8666666666666704E-2</v>
      </c>
      <c r="CV31">
        <f>IF(CU31=BO31,BP31,IF(CU31=BS31,BT31,IF(CU31=BW31,BX31,IF(CU31=CA31,CB31,IF(CU31=CE31,CF31,IF(CU31=CI31,CJ31,IF(CU31=CM31,CN31,IF(CU31=CQ31,CR31,0))))))))</f>
        <v>6</v>
      </c>
      <c r="CW31">
        <f>IF(CU31=BO31,BQ31,IF(CU31=BS31,BU31,IF(CU31=BW31,BY31,IF(CU31=CA31,CC31,IF(CU31=CE31,CG31,IF(CU31=CI31,CK31,IF(CU31=CM31,CO31,IF(CU31=CQ31,CS31,0))))))))</f>
        <v>1.91187</v>
      </c>
      <c r="CX31">
        <f t="shared" si="19"/>
        <v>0</v>
      </c>
      <c r="CY31">
        <f t="shared" si="20"/>
        <v>7.8666666666666704E-2</v>
      </c>
      <c r="CZ31">
        <f>IF(CY31=BO31,BP31,IF(CY31=BS31,BT31,IF(CY31=BW31,BX31,IF(CY31=CA31,CB31,IF(CY31=CE31,CF31,IF(CY31=CI31,CJ31,IF(CY31=CM31,CN31,IF(CY31=CQ31,CR31,IF(CY31=CU31,CV31,0)))))))))</f>
        <v>6</v>
      </c>
      <c r="DA31">
        <f>IF(CY31=BO31,BQ31,IF(CY31=BS31,BU31,IF(CY31=BW31,BY31,IF(CY31=CA31,CC31,IF(CY31=CE31,CG31,IF(CY31=CI31,CK31,IF(CY31=CM31,CO31,IF(CY31=CQ31,CS31,IF(CY31=CU31,CW31,0)))))))))</f>
        <v>1.91187</v>
      </c>
      <c r="DB31">
        <f t="shared" si="21"/>
        <v>0</v>
      </c>
      <c r="DC31">
        <f t="shared" si="22"/>
        <v>7.8666666666666704E-2</v>
      </c>
      <c r="DD31">
        <f>IF(DC31=BO31,BP31,IF(DC31=BS31,BT31,IF(DC31=BW31,BX31,IF(DC31=CA31,CB31,IF(DC31=CE31,CF31,IF(DC31=CI31,CJ31,IF(DC31=CM31,CN31,IF(DC31=CQ31,CR31,IF(DC31=CU31,CV31,IF(DC31=CY31,CZ31,0))))))))))</f>
        <v>6</v>
      </c>
      <c r="DE31">
        <f>IF(DC31=BO31,BQ31,IF(DC31=BS31,BU31,IF(DC31=BW31,BY31,IF(DC31=CA31,CC31,IF(DC31=CE31,CG31,IF(DC31=CI31,CK31,IF(DC31=CM31,CO31,IF(DC31=CQ31,CS31,IF(DC31=CU31,CW31,IF(DC31=CY31,DA31,0))))))))))</f>
        <v>1.91187</v>
      </c>
      <c r="DF31">
        <f t="shared" si="23"/>
        <v>0</v>
      </c>
      <c r="DG31">
        <f t="shared" si="24"/>
        <v>7.8666666666666704E-2</v>
      </c>
      <c r="DH31">
        <f>IF(DG31=BO31,BP31,IF(DG31=BS31,BT31,IF(DG31=BW31,BX31,IF(DG31=CA31,CB31,IF(DG31=CE31,CF31,IF(DG31=CI31,CJ31,IF(DG31=CM31,CN31,IF(DG31=CQ31,CR31,IF(DG31=CU31,CV31,IF(DG31=CY31,CZ31,IF(DG31=DC31,DD31,0)))))))))))</f>
        <v>6</v>
      </c>
      <c r="DI31">
        <f>IF(DG31=BO31,BQ31,IF(DG31=BS31,BU31,IF(DG31=BW31,BY31,IF(DG31=CA31,CC31,IF(DG31=CE31,CG31,IF(DG31=CI31,CK31,IF(DG31=CM31,CO31,IF(DG31=CQ31,CS31,IF(DG31=CU31,CW31,IF(DG31=CY31,DA31,IF(DG31=DC31,DE31,0)))))))))))</f>
        <v>1.91187</v>
      </c>
      <c r="DJ31">
        <f t="shared" si="25"/>
        <v>0</v>
      </c>
      <c r="DK31">
        <f t="shared" si="26"/>
        <v>7.8666666666666704E-2</v>
      </c>
      <c r="DL31">
        <f>IF(DK31=BO31,BP31,IF(DK31=BS31,BT31,IF(DK31=BW31,BX31,IF(DK31=CA31,CB31,IF(DK31=CE31,CF31,IF(DK31=CI31,CJ31,IF(DK31=CM31,CN31,IF(DK31=CQ31,CR31,IF(DK31=CU31,CV31,IF(DK31=CY31,CZ31,IF(DK31=DC31,DD31,IF(DK31=DG31,DH31,0))))))))))))</f>
        <v>6</v>
      </c>
      <c r="DM31">
        <f>IF(DK31=BO31,BQ31,IF(DK31=BS31,BU31,IF(DK31=BW31,BY31,IF(DK31=CA31,CC31,IF(DK31=CE31,CG31,IF(DK31=CI31,CK31,IF(DK31=CM31,CO31,IF(DK31=CQ31,CS31,IF(DK31=CU31,CW31,IF(DK31=CY31,DA31,IF(DK31=DC31,DE31,IF(DK31=DG31,DI31,0))))))))))))</f>
        <v>1.91187</v>
      </c>
      <c r="DN31">
        <f t="shared" si="27"/>
        <v>0</v>
      </c>
      <c r="DO31">
        <f t="shared" si="28"/>
        <v>7.8666666666666704E-2</v>
      </c>
      <c r="DP31">
        <f>IF(DO31=BO31,BP31,IF(DO31=BS31,BT31,IF(DO31=BW31,BX31,IF(DO31=CA31,CB31,IF(DO31=CE31,CF31,IF(DO31=CI31,CJ31,IF(DO31=CM31,CN31,IF(DO31=CQ31,CR31,IF(DO31=CU31,CV31,IF(DO31=CY31,CZ31,IF(DO31=DC31,DD31,IF(DO31=DG31,DH31,IF(DO31=DK31,DL31,0)))))))))))))</f>
        <v>6</v>
      </c>
      <c r="DQ31">
        <f>IF(DO31=BO31,BQ31,IF(DO31=BS31,BU31,IF(DO31=BW31,BY31,IF(DO31=CA31,CC31,IF(DO31=CE31,CG31,IF(DO31=CI31,CK31,IF(DO31=CM31,CO31,IF(DO31=CQ31,CS31,IF(DO31=CU31,CW31,IF(DO31=CY31,DA31,IF(DO31=DC31,DE31,IF(DO31=DG31,DI31,IF(DO31=DK31,DM31,0)))))))))))))</f>
        <v>1.91187</v>
      </c>
      <c r="DR31">
        <f t="shared" si="29"/>
        <v>0</v>
      </c>
      <c r="DS31">
        <f t="shared" si="30"/>
        <v>7.8666666666666704E-2</v>
      </c>
      <c r="DT31">
        <f>IF(DS31=BO31,BP31,IF(DS31=BS31,BT31,IF(DS31=BW31,BX31,IF(DS31=CA31,CB31,IF(DS31=CE31,CF31,IF(DS31=CI31,CJ31,IF(DS31=CM31,CN31,IF(DS31=CQ31,CR31,IF(DS31=CU31,CV31,IF(DS31=CY31,CZ31,IF(DS31=DC31,DD31,IF(DS31=DG31,DH31,IF(DS31=DK31,DL31,IF(DS31=DO31,DP31,0))))))))))))))</f>
        <v>6</v>
      </c>
      <c r="DU31">
        <f>IF(DS31=BO31,BQ31,IF(DS31=BS31,BU31,IF(DS31=BW31,BY31,IF(DS31=CA31,CC31,IF(DS31=CE31,CG31,IF(DS31=CI31,CK31,IF(DS31=CM31,CO31,IF(DS31=CQ31,CS31,IF(DS31=CU31,CW31,IF(DS31=CY31,DA31,IF(DS31=DC31,DE31,IF(DS31=DG31,DI31,IF(DS31=DK31,DM31,IF(DS31=DO31,DQ31,0))))))))))))))</f>
        <v>1.91187</v>
      </c>
      <c r="DV31">
        <f t="shared" si="31"/>
        <v>0</v>
      </c>
      <c r="DW31">
        <v>22500.5</v>
      </c>
      <c r="DX31">
        <v>4</v>
      </c>
      <c r="DY31">
        <v>0</v>
      </c>
      <c r="DZ31">
        <v>6</v>
      </c>
      <c r="EA31">
        <v>6</v>
      </c>
      <c r="EB31">
        <v>10.114099490560401</v>
      </c>
      <c r="EC31">
        <v>1.5</v>
      </c>
      <c r="ED31">
        <v>2.6679993</v>
      </c>
      <c r="EE31">
        <v>7.8666666666666704E-2</v>
      </c>
      <c r="EF31">
        <v>1.91187</v>
      </c>
      <c r="EG31">
        <v>6.0338762239535004</v>
      </c>
      <c r="EH31">
        <v>6</v>
      </c>
      <c r="EI31">
        <v>0</v>
      </c>
      <c r="EJ31">
        <v>0.24854309999999999</v>
      </c>
      <c r="EK31">
        <v>1</v>
      </c>
      <c r="EL31">
        <v>0</v>
      </c>
      <c r="EM31">
        <v>49</v>
      </c>
      <c r="EN31">
        <v>0</v>
      </c>
      <c r="EO31">
        <v>4</v>
      </c>
      <c r="EP31">
        <v>3</v>
      </c>
      <c r="EQ31">
        <v>5</v>
      </c>
      <c r="ER31">
        <v>14.1987814663817</v>
      </c>
      <c r="ES31">
        <v>5.71414183690678</v>
      </c>
      <c r="ET31">
        <v>8.38214113690678</v>
      </c>
      <c r="EU31">
        <v>2.2339416173773801</v>
      </c>
      <c r="EV31">
        <v>2.4824847173773801</v>
      </c>
      <c r="EW31">
        <v>0.74365979999999998</v>
      </c>
      <c r="EX31">
        <v>3.3751292366781902</v>
      </c>
      <c r="EY31">
        <v>4.1187890366781899</v>
      </c>
      <c r="EZ31">
        <v>0.24854309999999999</v>
      </c>
      <c r="FA31">
        <v>2.2339416173773801</v>
      </c>
      <c r="FB31">
        <v>2.4824847173773801</v>
      </c>
      <c r="FC31">
        <v>1.5097381000000001</v>
      </c>
      <c r="FD31">
        <v>5.9242049204899896</v>
      </c>
      <c r="FE31">
        <v>7.4339430204899903</v>
      </c>
      <c r="FF31">
        <v>0.24854309999999999</v>
      </c>
      <c r="FG31">
        <v>2.2339416173773801</v>
      </c>
      <c r="FH31">
        <v>2.4824847173773801</v>
      </c>
    </row>
    <row r="32" spans="1:164" x14ac:dyDescent="0.2">
      <c r="A32">
        <v>31</v>
      </c>
      <c r="B32">
        <v>38</v>
      </c>
      <c r="C32">
        <v>69</v>
      </c>
      <c r="D32">
        <v>3</v>
      </c>
      <c r="E32">
        <v>12</v>
      </c>
      <c r="F32" t="s">
        <v>146</v>
      </c>
      <c r="G32" t="s">
        <v>179</v>
      </c>
      <c r="H32">
        <v>3</v>
      </c>
      <c r="I32">
        <v>1</v>
      </c>
      <c r="K32" t="s">
        <v>180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3</v>
      </c>
      <c r="S32">
        <v>2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2</v>
      </c>
      <c r="AD32">
        <v>0</v>
      </c>
      <c r="AE32">
        <v>10</v>
      </c>
      <c r="AF32">
        <v>5</v>
      </c>
      <c r="AG32">
        <v>10</v>
      </c>
      <c r="AH32">
        <v>3</v>
      </c>
      <c r="AI32">
        <v>0.198511111111111</v>
      </c>
      <c r="AJ32">
        <v>8.2388999999999992</v>
      </c>
      <c r="AK32">
        <v>0.33056944444444403</v>
      </c>
      <c r="AL32">
        <v>16.7745</v>
      </c>
      <c r="AM32">
        <v>0.22468055555555599</v>
      </c>
      <c r="AN32">
        <v>14.304349999999999</v>
      </c>
      <c r="AO32">
        <v>0.220822222222222</v>
      </c>
      <c r="AP32">
        <v>11.930859999999999</v>
      </c>
      <c r="AQ32">
        <v>0.24412222222222199</v>
      </c>
      <c r="AR32">
        <v>12.258749999999999</v>
      </c>
      <c r="AS32">
        <v>0.20930833333333301</v>
      </c>
      <c r="AT32">
        <v>8.7588899999999992</v>
      </c>
      <c r="AU32">
        <v>9.9736111111111095E-2</v>
      </c>
      <c r="AV32">
        <v>3.0615000000000001</v>
      </c>
      <c r="AW32">
        <v>9.4341666666666699E-2</v>
      </c>
      <c r="AX32">
        <v>2.9084699999999999</v>
      </c>
      <c r="AY32">
        <v>0.116147222222222</v>
      </c>
      <c r="AZ32">
        <v>4.9747500000000002</v>
      </c>
      <c r="BA32">
        <v>0.13081944444444399</v>
      </c>
      <c r="BB32">
        <v>5.8086500000000001</v>
      </c>
      <c r="BC32">
        <v>0.19032499999999999</v>
      </c>
      <c r="BD32">
        <v>7.6201600000000003</v>
      </c>
      <c r="BE32">
        <v>0.23013611111111101</v>
      </c>
      <c r="BF32">
        <v>14.65781</v>
      </c>
      <c r="BG32">
        <v>0.294011111111111</v>
      </c>
      <c r="BH32">
        <v>18.060659999999999</v>
      </c>
      <c r="BI32">
        <v>0.33783888888888902</v>
      </c>
      <c r="BJ32">
        <v>20.034579999999998</v>
      </c>
      <c r="BK32">
        <v>0.40597777777777799</v>
      </c>
      <c r="BL32">
        <v>26.85023</v>
      </c>
      <c r="BM32">
        <v>0.44748055555555599</v>
      </c>
      <c r="BN32">
        <v>28.8429</v>
      </c>
      <c r="BO32">
        <f t="shared" si="0"/>
        <v>9.4341666666666699E-2</v>
      </c>
      <c r="BP32">
        <v>7</v>
      </c>
      <c r="BQ32">
        <v>2.9084699999999999</v>
      </c>
      <c r="BR32">
        <f t="shared" si="1"/>
        <v>3</v>
      </c>
      <c r="BS32">
        <f t="shared" si="2"/>
        <v>9.4341666666666699E-2</v>
      </c>
      <c r="BT32">
        <f t="shared" si="3"/>
        <v>7</v>
      </c>
      <c r="BU32">
        <f t="shared" si="4"/>
        <v>2.9084699999999999</v>
      </c>
      <c r="BV32">
        <f t="shared" si="5"/>
        <v>3</v>
      </c>
      <c r="BW32">
        <f t="shared" si="6"/>
        <v>9.4341666666666699E-2</v>
      </c>
      <c r="BX32">
        <f t="shared" si="32"/>
        <v>7</v>
      </c>
      <c r="BY32">
        <f t="shared" si="33"/>
        <v>2.9084699999999999</v>
      </c>
      <c r="BZ32">
        <f t="shared" si="7"/>
        <v>3</v>
      </c>
      <c r="CA32">
        <f t="shared" si="8"/>
        <v>9.4341666666666699E-2</v>
      </c>
      <c r="CB32">
        <f>IF(CA32=BO32,BP32,IF(CA32=BS32,BT32,IF(CA32=BW32,BX32,0)))</f>
        <v>7</v>
      </c>
      <c r="CC32">
        <f>IF(CA32=BO32,BQ32,IF(CA32=BS32,BU32,IF(CA32=BW32,BY32,0)))</f>
        <v>2.9084699999999999</v>
      </c>
      <c r="CD32">
        <f t="shared" si="9"/>
        <v>3</v>
      </c>
      <c r="CE32">
        <f t="shared" si="10"/>
        <v>9.4341666666666699E-2</v>
      </c>
      <c r="CF32">
        <f>IF(CE32=BO32,BP32,IF(CE32=BS32,BT32,IF(CE32=BW32,BX32,IF(CE32=CA32,CB32,0))))</f>
        <v>7</v>
      </c>
      <c r="CG32">
        <f>IF(CE32=BO32,BQ32,IF(CE32=BS32,BU32,IF(CE32=BW32,BY32,IF(CE32=CA32,CC32,0))))</f>
        <v>2.9084699999999999</v>
      </c>
      <c r="CH32">
        <f t="shared" si="11"/>
        <v>3</v>
      </c>
      <c r="CI32">
        <f t="shared" si="12"/>
        <v>9.4341666666666699E-2</v>
      </c>
      <c r="CJ32">
        <f>IF(CI32=BO32,BP32,IF(CI32=BS32,BT32,IF(CI32=BW32,BX32,IF(CI32=CA32,CB32,IF(CI32=CE32,CF32,0)))))</f>
        <v>7</v>
      </c>
      <c r="CK32">
        <f>IF(CI32=BO32,BQ32,IF(CI32=BS32,BU32,IF(CI32=BW32,BY32,IF(CI32=CA32,CC32,IF(CI32=CE32,CG32,0)))))</f>
        <v>2.9084699999999999</v>
      </c>
      <c r="CL32">
        <f t="shared" si="13"/>
        <v>3</v>
      </c>
      <c r="CM32">
        <f t="shared" si="14"/>
        <v>9.9736111111111095E-2</v>
      </c>
      <c r="CN32">
        <v>6</v>
      </c>
      <c r="CO32">
        <v>3.0615000000000001</v>
      </c>
      <c r="CP32">
        <f t="shared" si="15"/>
        <v>0</v>
      </c>
      <c r="CQ32">
        <f t="shared" si="16"/>
        <v>9.4341666666666699E-2</v>
      </c>
      <c r="CR32">
        <f>IF(CQ32=BO32,BP32,IF(CQ32=BS32,BT32,IF(CQ32=BW32,BX32,IF(CQ32=CA32,CB32,IF(CQ32=CE32,CF32,IF(CQ32=CI32,CJ32,IF(CQ32=CM32,CN32,0)))))))</f>
        <v>7</v>
      </c>
      <c r="CS32">
        <f>IF(CQ32=BO32,BQ32,IF(CQ32=BS32,BU32,IF(CQ32=BW32,BY32,IF(CQ32=CA32,CC32,IF(CQ32=CE32,CG32,IF(CQ32=CI32,CK32,IF(CQ32=CM32,CO32,0)))))))</f>
        <v>2.9084699999999999</v>
      </c>
      <c r="CT32">
        <f t="shared" si="17"/>
        <v>3</v>
      </c>
      <c r="CU32">
        <f t="shared" si="18"/>
        <v>9.4341666666666699E-2</v>
      </c>
      <c r="CV32">
        <f>IF(CU32=BO32,BP32,IF(CU32=BS32,BT32,IF(CU32=BW32,BX32,IF(CU32=CA32,CB32,IF(CU32=CE32,CF32,IF(CU32=CI32,CJ32,IF(CU32=CM32,CN32,IF(CU32=CQ32,CR32,0))))))))</f>
        <v>7</v>
      </c>
      <c r="CW32">
        <f>IF(CU32=BO32,BQ32,IF(CU32=BS32,BU32,IF(CU32=BW32,BY32,IF(CU32=CA32,CC32,IF(CU32=CE32,CG32,IF(CU32=CI32,CK32,IF(CU32=CM32,CO32,IF(CU32=CQ32,CS32,0))))))))</f>
        <v>2.9084699999999999</v>
      </c>
      <c r="CX32">
        <f t="shared" si="19"/>
        <v>3</v>
      </c>
      <c r="CY32">
        <f t="shared" si="20"/>
        <v>9.4341666666666699E-2</v>
      </c>
      <c r="CZ32">
        <f>IF(CY32=BO32,BP32,IF(CY32=BS32,BT32,IF(CY32=BW32,BX32,IF(CY32=CA32,CB32,IF(CY32=CE32,CF32,IF(CY32=CI32,CJ32,IF(CY32=CM32,CN32,IF(CY32=CQ32,CR32,IF(CY32=CU32,CV32,0)))))))))</f>
        <v>7</v>
      </c>
      <c r="DA32">
        <f>IF(CY32=BO32,BQ32,IF(CY32=BS32,BU32,IF(CY32=BW32,BY32,IF(CY32=CA32,CC32,IF(CY32=CE32,CG32,IF(CY32=CI32,CK32,IF(CY32=CM32,CO32,IF(CY32=CQ32,CS32,IF(CY32=CU32,CW32,0)))))))))</f>
        <v>2.9084699999999999</v>
      </c>
      <c r="DB32">
        <f t="shared" si="21"/>
        <v>3</v>
      </c>
      <c r="DC32">
        <f t="shared" si="22"/>
        <v>9.4341666666666699E-2</v>
      </c>
      <c r="DD32">
        <f>IF(DC32=BO32,BP32,IF(DC32=BS32,BT32,IF(DC32=BW32,BX32,IF(DC32=CA32,CB32,IF(DC32=CE32,CF32,IF(DC32=CI32,CJ32,IF(DC32=CM32,CN32,IF(DC32=CQ32,CR32,IF(DC32=CU32,CV32,IF(DC32=CY32,CZ32,0))))))))))</f>
        <v>7</v>
      </c>
      <c r="DE32">
        <f>IF(DC32=BO32,BQ32,IF(DC32=BS32,BU32,IF(DC32=BW32,BY32,IF(DC32=CA32,CC32,IF(DC32=CE32,CG32,IF(DC32=CI32,CK32,IF(DC32=CM32,CO32,IF(DC32=CQ32,CS32,IF(DC32=CU32,CW32,IF(DC32=CY32,DA32,0))))))))))</f>
        <v>2.9084699999999999</v>
      </c>
      <c r="DF32">
        <f t="shared" si="23"/>
        <v>3</v>
      </c>
      <c r="DG32">
        <f t="shared" si="24"/>
        <v>9.4341666666666699E-2</v>
      </c>
      <c r="DH32">
        <f>IF(DG32=BO32,BP32,IF(DG32=BS32,BT32,IF(DG32=BW32,BX32,IF(DG32=CA32,CB32,IF(DG32=CE32,CF32,IF(DG32=CI32,CJ32,IF(DG32=CM32,CN32,IF(DG32=CQ32,CR32,IF(DG32=CU32,CV32,IF(DG32=CY32,CZ32,IF(DG32=DC32,DD32,0)))))))))))</f>
        <v>7</v>
      </c>
      <c r="DI32">
        <f>IF(DG32=BO32,BQ32,IF(DG32=BS32,BU32,IF(DG32=BW32,BY32,IF(DG32=CA32,CC32,IF(DG32=CE32,CG32,IF(DG32=CI32,CK32,IF(DG32=CM32,CO32,IF(DG32=CQ32,CS32,IF(DG32=CU32,CW32,IF(DG32=CY32,DA32,IF(DG32=DC32,DE32,0)))))))))))</f>
        <v>2.9084699999999999</v>
      </c>
      <c r="DJ32">
        <f t="shared" si="25"/>
        <v>3</v>
      </c>
      <c r="DK32">
        <f t="shared" si="26"/>
        <v>9.4341666666666699E-2</v>
      </c>
      <c r="DL32">
        <f>IF(DK32=BO32,BP32,IF(DK32=BS32,BT32,IF(DK32=BW32,BX32,IF(DK32=CA32,CB32,IF(DK32=CE32,CF32,IF(DK32=CI32,CJ32,IF(DK32=CM32,CN32,IF(DK32=CQ32,CR32,IF(DK32=CU32,CV32,IF(DK32=CY32,CZ32,IF(DK32=DC32,DD32,IF(DK32=DG32,DH32,0))))))))))))</f>
        <v>7</v>
      </c>
      <c r="DM32">
        <f>IF(DK32=BO32,BQ32,IF(DK32=BS32,BU32,IF(DK32=BW32,BY32,IF(DK32=CA32,CC32,IF(DK32=CE32,CG32,IF(DK32=CI32,CK32,IF(DK32=CM32,CO32,IF(DK32=CQ32,CS32,IF(DK32=CU32,CW32,IF(DK32=CY32,DA32,IF(DK32=DC32,DE32,IF(DK32=DG32,DI32,0))))))))))))</f>
        <v>2.9084699999999999</v>
      </c>
      <c r="DN32">
        <f t="shared" si="27"/>
        <v>3</v>
      </c>
      <c r="DO32">
        <f t="shared" si="28"/>
        <v>9.4341666666666699E-2</v>
      </c>
      <c r="DP32">
        <f>IF(DO32=BO32,BP32,IF(DO32=BS32,BT32,IF(DO32=BW32,BX32,IF(DO32=CA32,CB32,IF(DO32=CE32,CF32,IF(DO32=CI32,CJ32,IF(DO32=CM32,CN32,IF(DO32=CQ32,CR32,IF(DO32=CU32,CV32,IF(DO32=CY32,CZ32,IF(DO32=DC32,DD32,IF(DO32=DG32,DH32,IF(DO32=DK32,DL32,0)))))))))))))</f>
        <v>7</v>
      </c>
      <c r="DQ32">
        <f>IF(DO32=BO32,BQ32,IF(DO32=BS32,BU32,IF(DO32=BW32,BY32,IF(DO32=CA32,CC32,IF(DO32=CE32,CG32,IF(DO32=CI32,CK32,IF(DO32=CM32,CO32,IF(DO32=CQ32,CS32,IF(DO32=CU32,CW32,IF(DO32=CY32,DA32,IF(DO32=DC32,DE32,IF(DO32=DG32,DI32,IF(DO32=DK32,DM32,0)))))))))))))</f>
        <v>2.9084699999999999</v>
      </c>
      <c r="DR32">
        <f t="shared" si="29"/>
        <v>3</v>
      </c>
      <c r="DS32">
        <f t="shared" si="30"/>
        <v>9.4341666666666699E-2</v>
      </c>
      <c r="DT32">
        <f>IF(DS32=BO32,BP32,IF(DS32=BS32,BT32,IF(DS32=BW32,BX32,IF(DS32=CA32,CB32,IF(DS32=CE32,CF32,IF(DS32=CI32,CJ32,IF(DS32=CM32,CN32,IF(DS32=CQ32,CR32,IF(DS32=CU32,CV32,IF(DS32=CY32,CZ32,IF(DS32=DC32,DD32,IF(DS32=DG32,DH32,IF(DS32=DK32,DL32,IF(DS32=DO32,DP32,0))))))))))))))</f>
        <v>7</v>
      </c>
      <c r="DU32">
        <f>IF(DS32=BO32,BQ32,IF(DS32=BS32,BU32,IF(DS32=BW32,BY32,IF(DS32=CA32,CC32,IF(DS32=CE32,CG32,IF(DS32=CI32,CK32,IF(DS32=CM32,CO32,IF(DS32=CQ32,CS32,IF(DS32=CU32,CW32,IF(DS32=CY32,DA32,IF(DS32=DC32,DE32,IF(DS32=DG32,DI32,IF(DS32=DK32,DM32,IF(DS32=DO32,DQ32,0))))))))))))))</f>
        <v>2.9084699999999999</v>
      </c>
      <c r="DV32">
        <f t="shared" si="31"/>
        <v>3</v>
      </c>
      <c r="DW32">
        <v>22500.5</v>
      </c>
      <c r="DX32">
        <v>6</v>
      </c>
      <c r="DY32">
        <v>0</v>
      </c>
      <c r="DZ32">
        <v>6</v>
      </c>
      <c r="EA32">
        <v>6</v>
      </c>
      <c r="EB32">
        <v>10.114099490560401</v>
      </c>
      <c r="EC32">
        <v>1</v>
      </c>
      <c r="ED32">
        <v>1.714038</v>
      </c>
      <c r="EE32">
        <v>9.4341666666666699E-2</v>
      </c>
      <c r="EF32">
        <v>2.9084699999999999</v>
      </c>
      <c r="EG32">
        <v>5.2989180326521303</v>
      </c>
      <c r="EH32">
        <v>7</v>
      </c>
      <c r="EI32">
        <v>8.3333333333333301E-2</v>
      </c>
      <c r="EJ32">
        <v>0.265956288888889</v>
      </c>
      <c r="EK32">
        <v>1</v>
      </c>
      <c r="EL32">
        <v>0</v>
      </c>
      <c r="EM32">
        <v>40</v>
      </c>
      <c r="EN32">
        <v>1</v>
      </c>
      <c r="EO32">
        <v>2</v>
      </c>
      <c r="EP32">
        <v>3</v>
      </c>
      <c r="EQ32">
        <v>5</v>
      </c>
      <c r="ER32">
        <v>14.1987814663817</v>
      </c>
      <c r="ES32">
        <v>5.6372317706305504</v>
      </c>
      <c r="ET32">
        <v>7.3512697706305499</v>
      </c>
      <c r="EU32">
        <v>2.6790734163484502</v>
      </c>
      <c r="EV32">
        <v>2.94502970523734</v>
      </c>
      <c r="EW32">
        <v>0.431145</v>
      </c>
      <c r="EX32">
        <v>3.2982980525211998</v>
      </c>
      <c r="EY32">
        <v>3.7294430525212001</v>
      </c>
      <c r="EZ32">
        <v>0.75206740000000005</v>
      </c>
      <c r="FA32">
        <v>2.6790734163484502</v>
      </c>
      <c r="FB32">
        <v>3.4311408163484498</v>
      </c>
      <c r="FC32">
        <v>1.0340078666666701</v>
      </c>
      <c r="FD32">
        <v>6.2708129525081997</v>
      </c>
      <c r="FE32">
        <v>7.3048208191748696</v>
      </c>
      <c r="FF32">
        <v>0.75206740000000005</v>
      </c>
      <c r="FG32">
        <v>2.6790734163484502</v>
      </c>
      <c r="FH32">
        <v>3.4311408163484498</v>
      </c>
    </row>
    <row r="33" spans="1:164" x14ac:dyDescent="0.2">
      <c r="A33">
        <v>32</v>
      </c>
      <c r="B33">
        <v>39</v>
      </c>
      <c r="C33">
        <v>70</v>
      </c>
      <c r="D33">
        <v>3</v>
      </c>
      <c r="E33">
        <v>12</v>
      </c>
      <c r="F33" t="s">
        <v>181</v>
      </c>
      <c r="G33" t="s">
        <v>181</v>
      </c>
      <c r="H33">
        <v>3</v>
      </c>
      <c r="I33">
        <v>1</v>
      </c>
      <c r="K33" t="s">
        <v>182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3</v>
      </c>
      <c r="AC33">
        <v>0</v>
      </c>
      <c r="AD33">
        <v>5</v>
      </c>
      <c r="AE33">
        <v>10</v>
      </c>
      <c r="AF33">
        <v>5</v>
      </c>
      <c r="AG33">
        <v>12</v>
      </c>
      <c r="AH33">
        <v>6</v>
      </c>
      <c r="AI33">
        <v>0.14777499999999999</v>
      </c>
      <c r="AJ33">
        <v>6.6406299999999998</v>
      </c>
      <c r="AK33">
        <v>0.30037222222222199</v>
      </c>
      <c r="AL33">
        <v>16.595040000000001</v>
      </c>
      <c r="AM33">
        <v>0.19448333333333301</v>
      </c>
      <c r="AN33">
        <v>14.124890000000001</v>
      </c>
      <c r="AO33">
        <v>0.19062777777777801</v>
      </c>
      <c r="AP33">
        <v>11.7514</v>
      </c>
      <c r="AQ33">
        <v>0.21392777777777799</v>
      </c>
      <c r="AR33">
        <v>12.07929</v>
      </c>
      <c r="AS33">
        <v>0.17911388888888899</v>
      </c>
      <c r="AT33">
        <v>8.5794300000000003</v>
      </c>
      <c r="AU33">
        <v>6.95388888888889E-2</v>
      </c>
      <c r="AV33">
        <v>2.8820399999999999</v>
      </c>
      <c r="AW33">
        <v>4.3605555555555599E-2</v>
      </c>
      <c r="AX33">
        <v>1.31019</v>
      </c>
      <c r="AY33">
        <v>6.54111111111111E-2</v>
      </c>
      <c r="AZ33">
        <v>3.3764799999999999</v>
      </c>
      <c r="BA33">
        <v>8.0083333333333298E-2</v>
      </c>
      <c r="BB33">
        <v>4.2103700000000002</v>
      </c>
      <c r="BC33">
        <v>0.13958888888888901</v>
      </c>
      <c r="BD33">
        <v>6.02189</v>
      </c>
      <c r="BE33">
        <v>0.1794</v>
      </c>
      <c r="BF33">
        <v>13.05954</v>
      </c>
      <c r="BG33">
        <v>0.24327499999999999</v>
      </c>
      <c r="BH33">
        <v>16.462389999999999</v>
      </c>
      <c r="BI33">
        <v>0.28710000000000002</v>
      </c>
      <c r="BJ33">
        <v>18.436309999999999</v>
      </c>
      <c r="BK33">
        <v>0.35524166666666701</v>
      </c>
      <c r="BL33">
        <v>25.25196</v>
      </c>
      <c r="BM33">
        <v>0.39674444444444401</v>
      </c>
      <c r="BN33">
        <v>27.244630000000001</v>
      </c>
      <c r="BO33">
        <f t="shared" si="0"/>
        <v>4.3605555555555599E-2</v>
      </c>
      <c r="BP33">
        <v>7</v>
      </c>
      <c r="BQ33">
        <v>1.31019</v>
      </c>
      <c r="BR33">
        <f t="shared" si="1"/>
        <v>3</v>
      </c>
      <c r="BS33">
        <f t="shared" si="2"/>
        <v>4.3605555555555599E-2</v>
      </c>
      <c r="BT33">
        <f t="shared" si="3"/>
        <v>7</v>
      </c>
      <c r="BU33">
        <f t="shared" si="4"/>
        <v>1.31019</v>
      </c>
      <c r="BV33">
        <f t="shared" si="5"/>
        <v>3</v>
      </c>
      <c r="BW33">
        <f t="shared" si="6"/>
        <v>4.3605555555555599E-2</v>
      </c>
      <c r="BX33">
        <f t="shared" si="32"/>
        <v>7</v>
      </c>
      <c r="BY33">
        <f t="shared" si="33"/>
        <v>1.31019</v>
      </c>
      <c r="BZ33">
        <f t="shared" si="7"/>
        <v>3</v>
      </c>
      <c r="CA33">
        <f t="shared" si="8"/>
        <v>4.3605555555555599E-2</v>
      </c>
      <c r="CB33">
        <f>IF(CA33=BO33,BP33,IF(CA33=BS33,BT33,IF(CA33=BW33,BX33,0)))</f>
        <v>7</v>
      </c>
      <c r="CC33">
        <f>IF(CA33=BO33,BQ33,IF(CA33=BS33,BU33,IF(CA33=BW33,BY33,0)))</f>
        <v>1.31019</v>
      </c>
      <c r="CD33">
        <f t="shared" si="9"/>
        <v>3</v>
      </c>
      <c r="CE33">
        <f t="shared" si="10"/>
        <v>4.3605555555555599E-2</v>
      </c>
      <c r="CF33">
        <f>IF(CE33=BO33,BP33,IF(CE33=BS33,BT33,IF(CE33=BW33,BX33,IF(CE33=CA33,CB33,0))))</f>
        <v>7</v>
      </c>
      <c r="CG33">
        <f>IF(CE33=BO33,BQ33,IF(CE33=BS33,BU33,IF(CE33=BW33,BY33,IF(CE33=CA33,CC33,0))))</f>
        <v>1.31019</v>
      </c>
      <c r="CH33">
        <f t="shared" si="11"/>
        <v>3</v>
      </c>
      <c r="CI33">
        <f t="shared" si="12"/>
        <v>4.3605555555555599E-2</v>
      </c>
      <c r="CJ33">
        <f>IF(CI33=BO33,BP33,IF(CI33=BS33,BT33,IF(CI33=BW33,BX33,IF(CI33=CA33,CB33,IF(CI33=CE33,CF33,0)))))</f>
        <v>7</v>
      </c>
      <c r="CK33">
        <f>IF(CI33=BO33,BQ33,IF(CI33=BS33,BU33,IF(CI33=BW33,BY33,IF(CI33=CA33,CC33,IF(CI33=CE33,CG33,0)))))</f>
        <v>1.31019</v>
      </c>
      <c r="CL33">
        <f t="shared" si="13"/>
        <v>3</v>
      </c>
      <c r="CM33">
        <f t="shared" si="14"/>
        <v>6.54111111111111E-2</v>
      </c>
      <c r="CN33">
        <v>8</v>
      </c>
      <c r="CO33">
        <v>3.3764799999999999</v>
      </c>
      <c r="CP33">
        <f t="shared" si="15"/>
        <v>0</v>
      </c>
      <c r="CQ33">
        <f t="shared" si="16"/>
        <v>4.3605555555555599E-2</v>
      </c>
      <c r="CR33">
        <f>IF(CQ33=BO33,BP33,IF(CQ33=BS33,BT33,IF(CQ33=BW33,BX33,IF(CQ33=CA33,CB33,IF(CQ33=CE33,CF33,IF(CQ33=CI33,CJ33,IF(CQ33=CM33,CN33,0)))))))</f>
        <v>7</v>
      </c>
      <c r="CS33">
        <f>IF(CQ33=BO33,BQ33,IF(CQ33=BS33,BU33,IF(CQ33=BW33,BY33,IF(CQ33=CA33,CC33,IF(CQ33=CE33,CG33,IF(CQ33=CI33,CK33,IF(CQ33=CM33,CO33,0)))))))</f>
        <v>1.31019</v>
      </c>
      <c r="CT33">
        <f t="shared" si="17"/>
        <v>3</v>
      </c>
      <c r="CU33">
        <f t="shared" si="18"/>
        <v>4.3605555555555599E-2</v>
      </c>
      <c r="CV33">
        <f>IF(CU33=BO33,BP33,IF(CU33=BS33,BT33,IF(CU33=BW33,BX33,IF(CU33=CA33,CB33,IF(CU33=CE33,CF33,IF(CU33=CI33,CJ33,IF(CU33=CM33,CN33,IF(CU33=CQ33,CR33,0))))))))</f>
        <v>7</v>
      </c>
      <c r="CW33">
        <f>IF(CU33=BO33,BQ33,IF(CU33=BS33,BU33,IF(CU33=BW33,BY33,IF(CU33=CA33,CC33,IF(CU33=CE33,CG33,IF(CU33=CI33,CK33,IF(CU33=CM33,CO33,IF(CU33=CQ33,CS33,0))))))))</f>
        <v>1.31019</v>
      </c>
      <c r="CX33">
        <f t="shared" si="19"/>
        <v>3</v>
      </c>
      <c r="CY33">
        <f t="shared" si="20"/>
        <v>4.3605555555555599E-2</v>
      </c>
      <c r="CZ33">
        <f>IF(CY33=BO33,BP33,IF(CY33=BS33,BT33,IF(CY33=BW33,BX33,IF(CY33=CA33,CB33,IF(CY33=CE33,CF33,IF(CY33=CI33,CJ33,IF(CY33=CM33,CN33,IF(CY33=CQ33,CR33,IF(CY33=CU33,CV33,0)))))))))</f>
        <v>7</v>
      </c>
      <c r="DA33">
        <f>IF(CY33=BO33,BQ33,IF(CY33=BS33,BU33,IF(CY33=BW33,BY33,IF(CY33=CA33,CC33,IF(CY33=CE33,CG33,IF(CY33=CI33,CK33,IF(CY33=CM33,CO33,IF(CY33=CQ33,CS33,IF(CY33=CU33,CW33,0)))))))))</f>
        <v>1.31019</v>
      </c>
      <c r="DB33">
        <f t="shared" si="21"/>
        <v>3</v>
      </c>
      <c r="DC33">
        <f t="shared" si="22"/>
        <v>4.3605555555555599E-2</v>
      </c>
      <c r="DD33">
        <f>IF(DC33=BO33,BP33,IF(DC33=BS33,BT33,IF(DC33=BW33,BX33,IF(DC33=CA33,CB33,IF(DC33=CE33,CF33,IF(DC33=CI33,CJ33,IF(DC33=CM33,CN33,IF(DC33=CQ33,CR33,IF(DC33=CU33,CV33,IF(DC33=CY33,CZ33,0))))))))))</f>
        <v>7</v>
      </c>
      <c r="DE33">
        <f>IF(DC33=BO33,BQ33,IF(DC33=BS33,BU33,IF(DC33=BW33,BY33,IF(DC33=CA33,CC33,IF(DC33=CE33,CG33,IF(DC33=CI33,CK33,IF(DC33=CM33,CO33,IF(DC33=CQ33,CS33,IF(DC33=CU33,CW33,IF(DC33=CY33,DA33,0))))))))))</f>
        <v>1.31019</v>
      </c>
      <c r="DF33">
        <f t="shared" si="23"/>
        <v>3</v>
      </c>
      <c r="DG33">
        <f t="shared" si="24"/>
        <v>4.3605555555555599E-2</v>
      </c>
      <c r="DH33">
        <f>IF(DG33=BO33,BP33,IF(DG33=BS33,BT33,IF(DG33=BW33,BX33,IF(DG33=CA33,CB33,IF(DG33=CE33,CF33,IF(DG33=CI33,CJ33,IF(DG33=CM33,CN33,IF(DG33=CQ33,CR33,IF(DG33=CU33,CV33,IF(DG33=CY33,CZ33,IF(DG33=DC33,DD33,0)))))))))))</f>
        <v>7</v>
      </c>
      <c r="DI33">
        <f>IF(DG33=BO33,BQ33,IF(DG33=BS33,BU33,IF(DG33=BW33,BY33,IF(DG33=CA33,CC33,IF(DG33=CE33,CG33,IF(DG33=CI33,CK33,IF(DG33=CM33,CO33,IF(DG33=CQ33,CS33,IF(DG33=CU33,CW33,IF(DG33=CY33,DA33,IF(DG33=DC33,DE33,0)))))))))))</f>
        <v>1.31019</v>
      </c>
      <c r="DJ33">
        <f t="shared" si="25"/>
        <v>3</v>
      </c>
      <c r="DK33">
        <f t="shared" si="26"/>
        <v>4.3605555555555599E-2</v>
      </c>
      <c r="DL33">
        <f>IF(DK33=BO33,BP33,IF(DK33=BS33,BT33,IF(DK33=BW33,BX33,IF(DK33=CA33,CB33,IF(DK33=CE33,CF33,IF(DK33=CI33,CJ33,IF(DK33=CM33,CN33,IF(DK33=CQ33,CR33,IF(DK33=CU33,CV33,IF(DK33=CY33,CZ33,IF(DK33=DC33,DD33,IF(DK33=DG33,DH33,0))))))))))))</f>
        <v>7</v>
      </c>
      <c r="DM33">
        <f>IF(DK33=BO33,BQ33,IF(DK33=BS33,BU33,IF(DK33=BW33,BY33,IF(DK33=CA33,CC33,IF(DK33=CE33,CG33,IF(DK33=CI33,CK33,IF(DK33=CM33,CO33,IF(DK33=CQ33,CS33,IF(DK33=CU33,CW33,IF(DK33=CY33,DA33,IF(DK33=DC33,DE33,IF(DK33=DG33,DI33,0))))))))))))</f>
        <v>1.31019</v>
      </c>
      <c r="DN33">
        <f t="shared" si="27"/>
        <v>3</v>
      </c>
      <c r="DO33">
        <f t="shared" si="28"/>
        <v>4.3605555555555599E-2</v>
      </c>
      <c r="DP33">
        <f>IF(DO33=BO33,BP33,IF(DO33=BS33,BT33,IF(DO33=BW33,BX33,IF(DO33=CA33,CB33,IF(DO33=CE33,CF33,IF(DO33=CI33,CJ33,IF(DO33=CM33,CN33,IF(DO33=CQ33,CR33,IF(DO33=CU33,CV33,IF(DO33=CY33,CZ33,IF(DO33=DC33,DD33,IF(DO33=DG33,DH33,IF(DO33=DK33,DL33,0)))))))))))))</f>
        <v>7</v>
      </c>
      <c r="DQ33">
        <f>IF(DO33=BO33,BQ33,IF(DO33=BS33,BU33,IF(DO33=BW33,BY33,IF(DO33=CA33,CC33,IF(DO33=CE33,CG33,IF(DO33=CI33,CK33,IF(DO33=CM33,CO33,IF(DO33=CQ33,CS33,IF(DO33=CU33,CW33,IF(DO33=CY33,DA33,IF(DO33=DC33,DE33,IF(DO33=DG33,DI33,IF(DO33=DK33,DM33,0)))))))))))))</f>
        <v>1.31019</v>
      </c>
      <c r="DR33">
        <f t="shared" si="29"/>
        <v>3</v>
      </c>
      <c r="DS33">
        <f t="shared" si="30"/>
        <v>4.3605555555555599E-2</v>
      </c>
      <c r="DT33">
        <f>IF(DS33=BO33,BP33,IF(DS33=BS33,BT33,IF(DS33=BW33,BX33,IF(DS33=CA33,CB33,IF(DS33=CE33,CF33,IF(DS33=CI33,CJ33,IF(DS33=CM33,CN33,IF(DS33=CQ33,CR33,IF(DS33=CU33,CV33,IF(DS33=CY33,CZ33,IF(DS33=DC33,DD33,IF(DS33=DG33,DH33,IF(DS33=DK33,DL33,IF(DS33=DO33,DP33,0))))))))))))))</f>
        <v>7</v>
      </c>
      <c r="DU33">
        <f>IF(DS33=BO33,BQ33,IF(DS33=BS33,BU33,IF(DS33=BW33,BY33,IF(DS33=CA33,CC33,IF(DS33=CE33,CG33,IF(DS33=CI33,CK33,IF(DS33=CM33,CO33,IF(DS33=CQ33,CS33,IF(DS33=CU33,CW33,IF(DS33=CY33,DA33,IF(DS33=DC33,DE33,IF(DS33=DG33,DI33,IF(DS33=DK33,DM33,IF(DS33=DO33,DQ33,0))))))))))))))</f>
        <v>1.31019</v>
      </c>
      <c r="DV33">
        <f t="shared" si="31"/>
        <v>3</v>
      </c>
      <c r="DW33">
        <v>22500.5</v>
      </c>
      <c r="DX33">
        <v>3</v>
      </c>
      <c r="DY33">
        <v>0</v>
      </c>
      <c r="EA33">
        <v>6</v>
      </c>
      <c r="EB33">
        <v>10.114099490560401</v>
      </c>
      <c r="EC33">
        <v>2</v>
      </c>
      <c r="ED33">
        <v>3.1510425333333298</v>
      </c>
      <c r="EE33">
        <v>4.3605555555555599E-2</v>
      </c>
      <c r="EF33">
        <v>1.31019</v>
      </c>
      <c r="EG33">
        <v>5.4460613668376396</v>
      </c>
      <c r="EH33">
        <v>7</v>
      </c>
      <c r="EI33">
        <v>0.33333333333333298</v>
      </c>
      <c r="EJ33">
        <v>0.33821071111111101</v>
      </c>
      <c r="EK33">
        <v>1</v>
      </c>
      <c r="EL33">
        <v>0</v>
      </c>
      <c r="EM33">
        <v>38</v>
      </c>
      <c r="EN33">
        <v>0</v>
      </c>
      <c r="EO33">
        <v>2</v>
      </c>
      <c r="EP33">
        <v>6</v>
      </c>
      <c r="EQ33">
        <v>5</v>
      </c>
      <c r="ER33">
        <v>14.1987814663817</v>
      </c>
      <c r="ES33">
        <v>4.1964498623891</v>
      </c>
      <c r="ET33">
        <v>7.3474923957224396</v>
      </c>
      <c r="EU33">
        <v>1.2382915081070001</v>
      </c>
      <c r="EV33">
        <v>1.57650221921811</v>
      </c>
      <c r="EW33">
        <v>0.58525653333333305</v>
      </c>
      <c r="EX33">
        <v>1.8575161442797501</v>
      </c>
      <c r="EY33">
        <v>2.4427726776130898</v>
      </c>
      <c r="EZ33">
        <v>1.2270996000000001</v>
      </c>
      <c r="FA33">
        <v>1.2382915081070001</v>
      </c>
      <c r="FB33">
        <v>2.4653911081070001</v>
      </c>
      <c r="FC33">
        <v>2.0369093333333299</v>
      </c>
      <c r="FD33">
        <v>5.4133643161772804</v>
      </c>
      <c r="FE33">
        <v>7.4502736495106099</v>
      </c>
      <c r="FF33">
        <v>1.2270996000000001</v>
      </c>
      <c r="FG33">
        <v>1.2382915081070001</v>
      </c>
      <c r="FH33">
        <v>2.4653911081070001</v>
      </c>
    </row>
    <row r="34" spans="1:164" x14ac:dyDescent="0.2">
      <c r="A34">
        <v>33</v>
      </c>
      <c r="B34">
        <v>40</v>
      </c>
      <c r="C34">
        <v>75</v>
      </c>
      <c r="D34">
        <v>1</v>
      </c>
      <c r="E34">
        <v>11</v>
      </c>
      <c r="F34" t="s">
        <v>183</v>
      </c>
      <c r="G34" t="s">
        <v>184</v>
      </c>
      <c r="H34">
        <v>3</v>
      </c>
      <c r="I34">
        <v>3</v>
      </c>
      <c r="K34" t="s">
        <v>185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7</v>
      </c>
      <c r="S34">
        <v>0</v>
      </c>
      <c r="T34">
        <v>0</v>
      </c>
      <c r="U34">
        <v>0</v>
      </c>
      <c r="V34">
        <v>2</v>
      </c>
      <c r="W34">
        <v>0</v>
      </c>
      <c r="X34">
        <v>0</v>
      </c>
      <c r="Y34">
        <v>0</v>
      </c>
      <c r="Z34">
        <v>0</v>
      </c>
      <c r="AA34">
        <v>0</v>
      </c>
      <c r="AB34">
        <v>4</v>
      </c>
      <c r="AC34">
        <v>4</v>
      </c>
      <c r="AD34">
        <v>9</v>
      </c>
      <c r="AE34">
        <v>26</v>
      </c>
      <c r="AF34">
        <v>13</v>
      </c>
      <c r="AG34">
        <v>14</v>
      </c>
      <c r="AH34">
        <v>9</v>
      </c>
      <c r="AI34">
        <v>0.158944444444444</v>
      </c>
      <c r="AJ34">
        <v>6.7813999999999997</v>
      </c>
      <c r="AK34">
        <v>0.31803888888888898</v>
      </c>
      <c r="AL34">
        <v>17.190670000000001</v>
      </c>
      <c r="AM34">
        <v>0.21215000000000001</v>
      </c>
      <c r="AN34">
        <v>14.72052</v>
      </c>
      <c r="AO34">
        <v>0.208294444444444</v>
      </c>
      <c r="AP34">
        <v>12.34703</v>
      </c>
      <c r="AQ34">
        <v>0.231591666666667</v>
      </c>
      <c r="AR34">
        <v>12.67492</v>
      </c>
      <c r="AS34">
        <v>0.19678055555555601</v>
      </c>
      <c r="AT34">
        <v>9.1750600000000002</v>
      </c>
      <c r="AU34">
        <v>8.7205555555555606E-2</v>
      </c>
      <c r="AV34">
        <v>3.4776699999999998</v>
      </c>
      <c r="AW34">
        <v>3.0891666666666699E-2</v>
      </c>
      <c r="AX34">
        <v>0.80898999999999999</v>
      </c>
      <c r="AY34">
        <v>7.5680555555555598E-2</v>
      </c>
      <c r="AZ34">
        <v>2.5207000000000002</v>
      </c>
      <c r="BA34">
        <v>9.1252777777777794E-2</v>
      </c>
      <c r="BB34">
        <v>4.35114</v>
      </c>
      <c r="BC34">
        <v>0.15075833333333299</v>
      </c>
      <c r="BD34">
        <v>6.1626599999999998</v>
      </c>
      <c r="BE34">
        <v>0.19056944444444401</v>
      </c>
      <c r="BF34">
        <v>13.20031</v>
      </c>
      <c r="BG34">
        <v>0.25444166666666701</v>
      </c>
      <c r="BH34">
        <v>16.603159999999999</v>
      </c>
      <c r="BI34">
        <v>0.29826944444444398</v>
      </c>
      <c r="BJ34">
        <v>18.577069999999999</v>
      </c>
      <c r="BK34">
        <v>0.366408333333333</v>
      </c>
      <c r="BL34">
        <v>25.392720000000001</v>
      </c>
      <c r="BM34">
        <v>0.40791388888888902</v>
      </c>
      <c r="BN34">
        <v>27.385400000000001</v>
      </c>
      <c r="BO34">
        <f t="shared" si="0"/>
        <v>3.0891666666666699E-2</v>
      </c>
      <c r="BP34">
        <v>7</v>
      </c>
      <c r="BQ34">
        <v>0.80898999999999999</v>
      </c>
      <c r="BR34">
        <f t="shared" si="1"/>
        <v>3</v>
      </c>
      <c r="BS34">
        <f t="shared" si="2"/>
        <v>3.0891666666666699E-2</v>
      </c>
      <c r="BT34">
        <f t="shared" si="3"/>
        <v>7</v>
      </c>
      <c r="BU34">
        <f t="shared" si="4"/>
        <v>0.80898999999999999</v>
      </c>
      <c r="BV34">
        <f t="shared" si="5"/>
        <v>3</v>
      </c>
      <c r="BW34">
        <f t="shared" si="6"/>
        <v>3.0891666666666699E-2</v>
      </c>
      <c r="BX34">
        <f t="shared" si="32"/>
        <v>7</v>
      </c>
      <c r="BY34">
        <f t="shared" si="33"/>
        <v>0.80898999999999999</v>
      </c>
      <c r="BZ34">
        <f t="shared" si="7"/>
        <v>3</v>
      </c>
      <c r="CA34">
        <f t="shared" si="8"/>
        <v>3.0891666666666699E-2</v>
      </c>
      <c r="CB34">
        <f>IF(CA34=BO34,BP34,IF(CA34=BS34,BT34,IF(CA34=BW34,BX34,0)))</f>
        <v>7</v>
      </c>
      <c r="CC34">
        <f>IF(CA34=BO34,BQ34,IF(CA34=BS34,BU34,IF(CA34=BW34,BY34,0)))</f>
        <v>0.80898999999999999</v>
      </c>
      <c r="CD34">
        <f t="shared" si="9"/>
        <v>3</v>
      </c>
      <c r="CE34">
        <f t="shared" si="10"/>
        <v>3.0891666666666699E-2</v>
      </c>
      <c r="CF34">
        <f>IF(CE34=BO34,BP34,IF(CE34=BS34,BT34,IF(CE34=BW34,BX34,IF(CE34=CA34,CB34,0))))</f>
        <v>7</v>
      </c>
      <c r="CG34">
        <f>IF(CE34=BO34,BQ34,IF(CE34=BS34,BU34,IF(CE34=BW34,BY34,IF(CE34=CA34,CC34,0))))</f>
        <v>0.80898999999999999</v>
      </c>
      <c r="CH34">
        <f t="shared" si="11"/>
        <v>3</v>
      </c>
      <c r="CI34">
        <f t="shared" si="12"/>
        <v>3.0891666666666699E-2</v>
      </c>
      <c r="CJ34">
        <f>IF(CI34=BO34,BP34,IF(CI34=BS34,BT34,IF(CI34=BW34,BX34,IF(CI34=CA34,CB34,IF(CI34=CE34,CF34,0)))))</f>
        <v>7</v>
      </c>
      <c r="CK34">
        <f>IF(CI34=BO34,BQ34,IF(CI34=BS34,BU34,IF(CI34=BW34,BY34,IF(CI34=CA34,CC34,IF(CI34=CE34,CG34,0)))))</f>
        <v>0.80898999999999999</v>
      </c>
      <c r="CL34">
        <f t="shared" si="13"/>
        <v>3</v>
      </c>
      <c r="CM34">
        <f t="shared" si="14"/>
        <v>7.5680555555555598E-2</v>
      </c>
      <c r="CN34">
        <v>8</v>
      </c>
      <c r="CO34">
        <v>2.5207000000000002</v>
      </c>
      <c r="CP34">
        <f t="shared" si="15"/>
        <v>0</v>
      </c>
      <c r="CQ34">
        <f t="shared" si="16"/>
        <v>3.0891666666666699E-2</v>
      </c>
      <c r="CR34">
        <f>IF(CQ34=BO34,BP34,IF(CQ34=BS34,BT34,IF(CQ34=BW34,BX34,IF(CQ34=CA34,CB34,IF(CQ34=CE34,CF34,IF(CQ34=CI34,CJ34,IF(CQ34=CM34,CN34,0)))))))</f>
        <v>7</v>
      </c>
      <c r="CS34">
        <f>IF(CQ34=BO34,BQ34,IF(CQ34=BS34,BU34,IF(CQ34=BW34,BY34,IF(CQ34=CA34,CC34,IF(CQ34=CE34,CG34,IF(CQ34=CI34,CK34,IF(CQ34=CM34,CO34,0)))))))</f>
        <v>0.80898999999999999</v>
      </c>
      <c r="CT34">
        <f t="shared" si="17"/>
        <v>3</v>
      </c>
      <c r="CU34">
        <f t="shared" si="18"/>
        <v>3.0891666666666699E-2</v>
      </c>
      <c r="CV34">
        <f>IF(CU34=BO34,BP34,IF(CU34=BS34,BT34,IF(CU34=BW34,BX34,IF(CU34=CA34,CB34,IF(CU34=CE34,CF34,IF(CU34=CI34,CJ34,IF(CU34=CM34,CN34,IF(CU34=CQ34,CR34,0))))))))</f>
        <v>7</v>
      </c>
      <c r="CW34">
        <f>IF(CU34=BO34,BQ34,IF(CU34=BS34,BU34,IF(CU34=BW34,BY34,IF(CU34=CA34,CC34,IF(CU34=CE34,CG34,IF(CU34=CI34,CK34,IF(CU34=CM34,CO34,IF(CU34=CQ34,CS34,0))))))))</f>
        <v>0.80898999999999999</v>
      </c>
      <c r="CX34">
        <f t="shared" si="19"/>
        <v>3</v>
      </c>
      <c r="CY34">
        <f t="shared" si="20"/>
        <v>3.0891666666666699E-2</v>
      </c>
      <c r="CZ34">
        <f>IF(CY34=BO34,BP34,IF(CY34=BS34,BT34,IF(CY34=BW34,BX34,IF(CY34=CA34,CB34,IF(CY34=CE34,CF34,IF(CY34=CI34,CJ34,IF(CY34=CM34,CN34,IF(CY34=CQ34,CR34,IF(CY34=CU34,CV34,0)))))))))</f>
        <v>7</v>
      </c>
      <c r="DA34">
        <f>IF(CY34=BO34,BQ34,IF(CY34=BS34,BU34,IF(CY34=BW34,BY34,IF(CY34=CA34,CC34,IF(CY34=CE34,CG34,IF(CY34=CI34,CK34,IF(CY34=CM34,CO34,IF(CY34=CQ34,CS34,IF(CY34=CU34,CW34,0)))))))))</f>
        <v>0.80898999999999999</v>
      </c>
      <c r="DB34">
        <f t="shared" si="21"/>
        <v>3</v>
      </c>
      <c r="DC34">
        <f t="shared" si="22"/>
        <v>3.0891666666666699E-2</v>
      </c>
      <c r="DD34">
        <f>IF(DC34=BO34,BP34,IF(DC34=BS34,BT34,IF(DC34=BW34,BX34,IF(DC34=CA34,CB34,IF(DC34=CE34,CF34,IF(DC34=CI34,CJ34,IF(DC34=CM34,CN34,IF(DC34=CQ34,CR34,IF(DC34=CU34,CV34,IF(DC34=CY34,CZ34,0))))))))))</f>
        <v>7</v>
      </c>
      <c r="DE34">
        <f>IF(DC34=BO34,BQ34,IF(DC34=BS34,BU34,IF(DC34=BW34,BY34,IF(DC34=CA34,CC34,IF(DC34=CE34,CG34,IF(DC34=CI34,CK34,IF(DC34=CM34,CO34,IF(DC34=CQ34,CS34,IF(DC34=CU34,CW34,IF(DC34=CY34,DA34,0))))))))))</f>
        <v>0.80898999999999999</v>
      </c>
      <c r="DF34">
        <f t="shared" si="23"/>
        <v>3</v>
      </c>
      <c r="DG34">
        <f t="shared" si="24"/>
        <v>3.0891666666666699E-2</v>
      </c>
      <c r="DH34">
        <f>IF(DG34=BO34,BP34,IF(DG34=BS34,BT34,IF(DG34=BW34,BX34,IF(DG34=CA34,CB34,IF(DG34=CE34,CF34,IF(DG34=CI34,CJ34,IF(DG34=CM34,CN34,IF(DG34=CQ34,CR34,IF(DG34=CU34,CV34,IF(DG34=CY34,CZ34,IF(DG34=DC34,DD34,0)))))))))))</f>
        <v>7</v>
      </c>
      <c r="DI34">
        <f>IF(DG34=BO34,BQ34,IF(DG34=BS34,BU34,IF(DG34=BW34,BY34,IF(DG34=CA34,CC34,IF(DG34=CE34,CG34,IF(DG34=CI34,CK34,IF(DG34=CM34,CO34,IF(DG34=CQ34,CS34,IF(DG34=CU34,CW34,IF(DG34=CY34,DA34,IF(DG34=DC34,DE34,0)))))))))))</f>
        <v>0.80898999999999999</v>
      </c>
      <c r="DJ34">
        <f t="shared" si="25"/>
        <v>3</v>
      </c>
      <c r="DK34">
        <f t="shared" si="26"/>
        <v>3.0891666666666699E-2</v>
      </c>
      <c r="DL34">
        <f>IF(DK34=BO34,BP34,IF(DK34=BS34,BT34,IF(DK34=BW34,BX34,IF(DK34=CA34,CB34,IF(DK34=CE34,CF34,IF(DK34=CI34,CJ34,IF(DK34=CM34,CN34,IF(DK34=CQ34,CR34,IF(DK34=CU34,CV34,IF(DK34=CY34,CZ34,IF(DK34=DC34,DD34,IF(DK34=DG34,DH34,0))))))))))))</f>
        <v>7</v>
      </c>
      <c r="DM34">
        <f>IF(DK34=BO34,BQ34,IF(DK34=BS34,BU34,IF(DK34=BW34,BY34,IF(DK34=CA34,CC34,IF(DK34=CE34,CG34,IF(DK34=CI34,CK34,IF(DK34=CM34,CO34,IF(DK34=CQ34,CS34,IF(DK34=CU34,CW34,IF(DK34=CY34,DA34,IF(DK34=DC34,DE34,IF(DK34=DG34,DI34,0))))))))))))</f>
        <v>0.80898999999999999</v>
      </c>
      <c r="DN34">
        <f t="shared" si="27"/>
        <v>3</v>
      </c>
      <c r="DO34">
        <f t="shared" si="28"/>
        <v>3.0891666666666699E-2</v>
      </c>
      <c r="DP34">
        <f>IF(DO34=BO34,BP34,IF(DO34=BS34,BT34,IF(DO34=BW34,BX34,IF(DO34=CA34,CB34,IF(DO34=CE34,CF34,IF(DO34=CI34,CJ34,IF(DO34=CM34,CN34,IF(DO34=CQ34,CR34,IF(DO34=CU34,CV34,IF(DO34=CY34,CZ34,IF(DO34=DC34,DD34,IF(DO34=DG34,DH34,IF(DO34=DK34,DL34,0)))))))))))))</f>
        <v>7</v>
      </c>
      <c r="DQ34">
        <f>IF(DO34=BO34,BQ34,IF(DO34=BS34,BU34,IF(DO34=BW34,BY34,IF(DO34=CA34,CC34,IF(DO34=CE34,CG34,IF(DO34=CI34,CK34,IF(DO34=CM34,CO34,IF(DO34=CQ34,CS34,IF(DO34=CU34,CW34,IF(DO34=CY34,DA34,IF(DO34=DC34,DE34,IF(DO34=DG34,DI34,IF(DO34=DK34,DM34,0)))))))))))))</f>
        <v>0.80898999999999999</v>
      </c>
      <c r="DR34">
        <f t="shared" si="29"/>
        <v>3</v>
      </c>
      <c r="DS34">
        <f t="shared" si="30"/>
        <v>3.0891666666666699E-2</v>
      </c>
      <c r="DT34">
        <f>IF(DS34=BO34,BP34,IF(DS34=BS34,BT34,IF(DS34=BW34,BX34,IF(DS34=CA34,CB34,IF(DS34=CE34,CF34,IF(DS34=CI34,CJ34,IF(DS34=CM34,CN34,IF(DS34=CQ34,CR34,IF(DS34=CU34,CV34,IF(DS34=CY34,CZ34,IF(DS34=DC34,DD34,IF(DS34=DG34,DH34,IF(DS34=DK34,DL34,IF(DS34=DO34,DP34,0))))))))))))))</f>
        <v>7</v>
      </c>
      <c r="DU34">
        <f>IF(DS34=BO34,BQ34,IF(DS34=BS34,BU34,IF(DS34=BW34,BY34,IF(DS34=CA34,CC34,IF(DS34=CE34,CG34,IF(DS34=CI34,CK34,IF(DS34=CM34,CO34,IF(DS34=CQ34,CS34,IF(DS34=CU34,CW34,IF(DS34=CY34,DA34,IF(DS34=DC34,DE34,IF(DS34=DG34,DI34,IF(DS34=DK34,DM34,IF(DS34=DO34,DQ34,0))))))))))))))</f>
        <v>0.80898999999999999</v>
      </c>
      <c r="DV34">
        <f t="shared" si="31"/>
        <v>3</v>
      </c>
      <c r="DW34">
        <v>22500.5</v>
      </c>
      <c r="DX34">
        <v>4</v>
      </c>
      <c r="DY34">
        <v>9</v>
      </c>
      <c r="DZ34">
        <v>4</v>
      </c>
      <c r="EA34">
        <v>4</v>
      </c>
      <c r="EB34">
        <v>10.114099490560401</v>
      </c>
      <c r="EC34">
        <v>1</v>
      </c>
      <c r="ED34">
        <v>1.8815820000000001</v>
      </c>
      <c r="EE34">
        <v>3.0891666666666699E-2</v>
      </c>
      <c r="EF34">
        <v>0.80898999999999999</v>
      </c>
      <c r="EG34">
        <v>4.5650524543166702</v>
      </c>
      <c r="EH34">
        <v>7</v>
      </c>
      <c r="EI34">
        <v>0.1875</v>
      </c>
      <c r="EJ34">
        <v>0.1520437</v>
      </c>
      <c r="EK34">
        <v>1</v>
      </c>
      <c r="EL34">
        <v>1</v>
      </c>
      <c r="EM34">
        <v>49</v>
      </c>
      <c r="EN34">
        <v>1</v>
      </c>
      <c r="EO34">
        <v>4</v>
      </c>
      <c r="EP34">
        <v>9</v>
      </c>
      <c r="EQ34">
        <v>13</v>
      </c>
      <c r="ER34">
        <v>14.1987814663817</v>
      </c>
      <c r="ES34">
        <v>4.5136348639242101</v>
      </c>
      <c r="ET34">
        <v>6.39521686392421</v>
      </c>
      <c r="EU34">
        <v>0.877248048264616</v>
      </c>
      <c r="EV34">
        <v>1.02929174826462</v>
      </c>
      <c r="EW34">
        <v>0.32769100000000001</v>
      </c>
      <c r="EX34">
        <v>2.1491433391753798</v>
      </c>
      <c r="EY34">
        <v>2.47683433917538</v>
      </c>
      <c r="EZ34">
        <v>0.8551687</v>
      </c>
      <c r="FA34">
        <v>0.877248048264616</v>
      </c>
      <c r="FB34">
        <v>1.73241674826462</v>
      </c>
      <c r="FC34">
        <v>1.6051139000000001</v>
      </c>
      <c r="FD34">
        <v>5.9150545946560804</v>
      </c>
      <c r="FE34">
        <v>7.5201684946560796</v>
      </c>
      <c r="FF34">
        <v>0.8551687</v>
      </c>
      <c r="FG34">
        <v>0.877248048264616</v>
      </c>
      <c r="FH34">
        <v>1.73241674826462</v>
      </c>
    </row>
    <row r="35" spans="1:164" x14ac:dyDescent="0.2">
      <c r="A35">
        <v>34</v>
      </c>
      <c r="B35">
        <v>41</v>
      </c>
      <c r="C35">
        <v>77</v>
      </c>
      <c r="D35">
        <v>1</v>
      </c>
      <c r="E35">
        <v>11</v>
      </c>
      <c r="F35" t="s">
        <v>114</v>
      </c>
      <c r="G35" t="s">
        <v>114</v>
      </c>
      <c r="H35">
        <v>3</v>
      </c>
      <c r="I35">
        <v>3</v>
      </c>
      <c r="K35" t="s">
        <v>186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24</v>
      </c>
      <c r="T35">
        <v>0</v>
      </c>
      <c r="U35">
        <v>0</v>
      </c>
      <c r="V35">
        <v>20</v>
      </c>
      <c r="W35">
        <v>0</v>
      </c>
      <c r="X35">
        <v>0</v>
      </c>
      <c r="Y35">
        <v>0</v>
      </c>
      <c r="Z35">
        <v>10</v>
      </c>
      <c r="AA35">
        <v>0</v>
      </c>
      <c r="AB35">
        <v>0</v>
      </c>
      <c r="AC35">
        <v>0</v>
      </c>
      <c r="AD35">
        <v>126</v>
      </c>
      <c r="AE35">
        <v>180</v>
      </c>
      <c r="AF35">
        <v>90</v>
      </c>
      <c r="AG35">
        <v>90</v>
      </c>
      <c r="AH35">
        <v>4</v>
      </c>
      <c r="AI35">
        <v>0.12987777777777801</v>
      </c>
      <c r="AJ35">
        <v>5.2458099999999996</v>
      </c>
      <c r="AK35">
        <v>0.32291111111111098</v>
      </c>
      <c r="AL35">
        <v>18.47653</v>
      </c>
      <c r="AM35">
        <v>0.21702222222222201</v>
      </c>
      <c r="AN35">
        <v>16.00638</v>
      </c>
      <c r="AO35">
        <v>0.21316388888888901</v>
      </c>
      <c r="AP35">
        <v>13.63289</v>
      </c>
      <c r="AQ35">
        <v>0.236463888888889</v>
      </c>
      <c r="AR35">
        <v>13.96078</v>
      </c>
      <c r="AS35">
        <v>0.20165</v>
      </c>
      <c r="AT35">
        <v>10.46092</v>
      </c>
      <c r="AU35">
        <v>9.8788888888888898E-2</v>
      </c>
      <c r="AV35">
        <v>4.78775</v>
      </c>
      <c r="AW35">
        <v>6.5977777777777802E-2</v>
      </c>
      <c r="AX35">
        <v>2.7345199999999998</v>
      </c>
      <c r="AY35">
        <v>3.6161111111111102E-2</v>
      </c>
      <c r="AZ35">
        <v>1.47078</v>
      </c>
      <c r="BA35">
        <v>5.57277777777778E-2</v>
      </c>
      <c r="BB35">
        <v>1.80481</v>
      </c>
      <c r="BC35">
        <v>0.121691666666667</v>
      </c>
      <c r="BD35">
        <v>4.6270699999999998</v>
      </c>
      <c r="BE35">
        <v>0.189952777777778</v>
      </c>
      <c r="BF35">
        <v>13.65631</v>
      </c>
      <c r="BG35">
        <v>0.25382777777777799</v>
      </c>
      <c r="BH35">
        <v>17.059159999999999</v>
      </c>
      <c r="BI35">
        <v>0.29765555555555601</v>
      </c>
      <c r="BJ35">
        <v>19.033080000000002</v>
      </c>
      <c r="BK35">
        <v>0.36579444444444398</v>
      </c>
      <c r="BL35">
        <v>25.84873</v>
      </c>
      <c r="BM35">
        <v>0.40729722222222198</v>
      </c>
      <c r="BN35">
        <v>27.8414</v>
      </c>
      <c r="BO35">
        <f t="shared" si="0"/>
        <v>3.6161111111111102E-2</v>
      </c>
      <c r="BP35">
        <v>8</v>
      </c>
      <c r="BQ35">
        <v>1.47078</v>
      </c>
      <c r="BR35">
        <f t="shared" si="1"/>
        <v>0</v>
      </c>
      <c r="BS35">
        <f t="shared" si="2"/>
        <v>3.6161111111111102E-2</v>
      </c>
      <c r="BT35">
        <f t="shared" si="3"/>
        <v>8</v>
      </c>
      <c r="BU35">
        <f t="shared" si="4"/>
        <v>1.47078</v>
      </c>
      <c r="BV35">
        <f t="shared" si="5"/>
        <v>0</v>
      </c>
      <c r="BW35">
        <f t="shared" si="6"/>
        <v>3.6161111111111102E-2</v>
      </c>
      <c r="BX35">
        <f t="shared" si="32"/>
        <v>8</v>
      </c>
      <c r="BY35">
        <f t="shared" si="33"/>
        <v>1.47078</v>
      </c>
      <c r="BZ35">
        <f t="shared" si="7"/>
        <v>0</v>
      </c>
      <c r="CA35">
        <f t="shared" si="8"/>
        <v>3.6161111111111102E-2</v>
      </c>
      <c r="CB35">
        <f>IF(CA35=BO35,BP35,IF(CA35=BS35,BT35,IF(CA35=BW35,BX35,0)))</f>
        <v>8</v>
      </c>
      <c r="CC35">
        <f>IF(CA35=BO35,BQ35,IF(CA35=BS35,BU35,IF(CA35=BW35,BY35,0)))</f>
        <v>1.47078</v>
      </c>
      <c r="CD35">
        <f t="shared" si="9"/>
        <v>0</v>
      </c>
      <c r="CE35">
        <f t="shared" si="10"/>
        <v>3.6161111111111102E-2</v>
      </c>
      <c r="CF35">
        <f>IF(CE35=BO35,BP35,IF(CE35=BS35,BT35,IF(CE35=BW35,BX35,IF(CE35=CA35,CB35,0))))</f>
        <v>8</v>
      </c>
      <c r="CG35">
        <f>IF(CE35=BO35,BQ35,IF(CE35=BS35,BU35,IF(CE35=BW35,BY35,IF(CE35=CA35,CC35,0))))</f>
        <v>1.47078</v>
      </c>
      <c r="CH35">
        <f t="shared" si="11"/>
        <v>0</v>
      </c>
      <c r="CI35">
        <f t="shared" si="12"/>
        <v>3.6161111111111102E-2</v>
      </c>
      <c r="CJ35">
        <f>IF(CI35=BO35,BP35,IF(CI35=BS35,BT35,IF(CI35=BW35,BX35,IF(CI35=CA35,CB35,IF(CI35=CE35,CF35,0)))))</f>
        <v>8</v>
      </c>
      <c r="CK35">
        <f>IF(CI35=BO35,BQ35,IF(CI35=BS35,BU35,IF(CI35=BW35,BY35,IF(CI35=CA35,CC35,IF(CI35=CE35,CG35,0)))))</f>
        <v>1.47078</v>
      </c>
      <c r="CL35">
        <f t="shared" si="13"/>
        <v>0</v>
      </c>
      <c r="CM35">
        <f t="shared" si="14"/>
        <v>3.6161111111111102E-2</v>
      </c>
      <c r="CN35">
        <f>IF(CM35=BO35,BP35,IF(CM35=BS35,BT35,IF(CM35=BW35,BX35,IF(CM35=CA35,CB35,IF(CM35=CE35,CF35,IF(CM35=CI35,CJ35,0))))))</f>
        <v>8</v>
      </c>
      <c r="CO35">
        <f>IF(CM35=BO35,BQ35,IF(CM35=BS35,BU35,IF(CM35=BW35,BY35,IF(CM35=CA35,CC35,IF(CM35=CE35,CG35,IF(CM35=CI35,CK35,0))))))</f>
        <v>1.47078</v>
      </c>
      <c r="CP35">
        <f t="shared" si="15"/>
        <v>0</v>
      </c>
      <c r="CQ35">
        <f t="shared" si="16"/>
        <v>5.57277777777778E-2</v>
      </c>
      <c r="CR35">
        <v>9</v>
      </c>
      <c r="CS35">
        <v>1.80481</v>
      </c>
      <c r="CT35">
        <f t="shared" si="17"/>
        <v>0</v>
      </c>
      <c r="CU35">
        <f t="shared" si="18"/>
        <v>3.6161111111111102E-2</v>
      </c>
      <c r="CV35">
        <f>IF(CU35=BO35,BP35,IF(CU35=BS35,BT35,IF(CU35=BW35,BX35,IF(CU35=CA35,CB35,IF(CU35=CE35,CF35,IF(CU35=CI35,CJ35,IF(CU35=CM35,CN35,IF(CU35=CQ35,CR35,0))))))))</f>
        <v>8</v>
      </c>
      <c r="CW35">
        <f>IF(CU35=BO35,BQ35,IF(CU35=BS35,BU35,IF(CU35=BW35,BY35,IF(CU35=CA35,CC35,IF(CU35=CE35,CG35,IF(CU35=CI35,CK35,IF(CU35=CM35,CO35,IF(CU35=CQ35,CS35,0))))))))</f>
        <v>1.47078</v>
      </c>
      <c r="CX35">
        <f t="shared" si="19"/>
        <v>0</v>
      </c>
      <c r="CY35">
        <f t="shared" si="20"/>
        <v>3.6161111111111102E-2</v>
      </c>
      <c r="CZ35">
        <f>IF(CY35=BO35,BP35,IF(CY35=BS35,BT35,IF(CY35=BW35,BX35,IF(CY35=CA35,CB35,IF(CY35=CE35,CF35,IF(CY35=CI35,CJ35,IF(CY35=CM35,CN35,IF(CY35=CQ35,CR35,IF(CY35=CU35,CV35,0)))))))))</f>
        <v>8</v>
      </c>
      <c r="DA35">
        <f>IF(CY35=BO35,BQ35,IF(CY35=BS35,BU35,IF(CY35=BW35,BY35,IF(CY35=CA35,CC35,IF(CY35=CE35,CG35,IF(CY35=CI35,CK35,IF(CY35=CM35,CO35,IF(CY35=CQ35,CS35,IF(CY35=CU35,CW35,0)))))))))</f>
        <v>1.47078</v>
      </c>
      <c r="DB35">
        <f t="shared" si="21"/>
        <v>0</v>
      </c>
      <c r="DC35">
        <f t="shared" si="22"/>
        <v>3.6161111111111102E-2</v>
      </c>
      <c r="DD35">
        <f>IF(DC35=BO35,BP35,IF(DC35=BS35,BT35,IF(DC35=BW35,BX35,IF(DC35=CA35,CB35,IF(DC35=CE35,CF35,IF(DC35=CI35,CJ35,IF(DC35=CM35,CN35,IF(DC35=CQ35,CR35,IF(DC35=CU35,CV35,IF(DC35=CY35,CZ35,0))))))))))</f>
        <v>8</v>
      </c>
      <c r="DE35">
        <f>IF(DC35=BO35,BQ35,IF(DC35=BS35,BU35,IF(DC35=BW35,BY35,IF(DC35=CA35,CC35,IF(DC35=CE35,CG35,IF(DC35=CI35,CK35,IF(DC35=CM35,CO35,IF(DC35=CQ35,CS35,IF(DC35=CU35,CW35,IF(DC35=CY35,DA35,0))))))))))</f>
        <v>1.47078</v>
      </c>
      <c r="DF35">
        <f t="shared" si="23"/>
        <v>0</v>
      </c>
      <c r="DG35">
        <f t="shared" si="24"/>
        <v>3.6161111111111102E-2</v>
      </c>
      <c r="DH35">
        <f>IF(DG35=BO35,BP35,IF(DG35=BS35,BT35,IF(DG35=BW35,BX35,IF(DG35=CA35,CB35,IF(DG35=CE35,CF35,IF(DG35=CI35,CJ35,IF(DG35=CM35,CN35,IF(DG35=CQ35,CR35,IF(DG35=CU35,CV35,IF(DG35=CY35,CZ35,IF(DG35=DC35,DD35,0)))))))))))</f>
        <v>8</v>
      </c>
      <c r="DI35">
        <f>IF(DG35=BO35,BQ35,IF(DG35=BS35,BU35,IF(DG35=BW35,BY35,IF(DG35=CA35,CC35,IF(DG35=CE35,CG35,IF(DG35=CI35,CK35,IF(DG35=CM35,CO35,IF(DG35=CQ35,CS35,IF(DG35=CU35,CW35,IF(DG35=CY35,DA35,IF(DG35=DC35,DE35,0)))))))))))</f>
        <v>1.47078</v>
      </c>
      <c r="DJ35">
        <f t="shared" si="25"/>
        <v>0</v>
      </c>
      <c r="DK35">
        <f t="shared" si="26"/>
        <v>3.6161111111111102E-2</v>
      </c>
      <c r="DL35">
        <f>IF(DK35=BO35,BP35,IF(DK35=BS35,BT35,IF(DK35=BW35,BX35,IF(DK35=CA35,CB35,IF(DK35=CE35,CF35,IF(DK35=CI35,CJ35,IF(DK35=CM35,CN35,IF(DK35=CQ35,CR35,IF(DK35=CU35,CV35,IF(DK35=CY35,CZ35,IF(DK35=DC35,DD35,IF(DK35=DG35,DH35,0))))))))))))</f>
        <v>8</v>
      </c>
      <c r="DM35">
        <f>IF(DK35=BO35,BQ35,IF(DK35=BS35,BU35,IF(DK35=BW35,BY35,IF(DK35=CA35,CC35,IF(DK35=CE35,CG35,IF(DK35=CI35,CK35,IF(DK35=CM35,CO35,IF(DK35=CQ35,CS35,IF(DK35=CU35,CW35,IF(DK35=CY35,DA35,IF(DK35=DC35,DE35,IF(DK35=DG35,DI35,0))))))))))))</f>
        <v>1.47078</v>
      </c>
      <c r="DN35">
        <f t="shared" si="27"/>
        <v>0</v>
      </c>
      <c r="DO35">
        <f t="shared" si="28"/>
        <v>3.6161111111111102E-2</v>
      </c>
      <c r="DP35">
        <f>IF(DO35=BO35,BP35,IF(DO35=BS35,BT35,IF(DO35=BW35,BX35,IF(DO35=CA35,CB35,IF(DO35=CE35,CF35,IF(DO35=CI35,CJ35,IF(DO35=CM35,CN35,IF(DO35=CQ35,CR35,IF(DO35=CU35,CV35,IF(DO35=CY35,CZ35,IF(DO35=DC35,DD35,IF(DO35=DG35,DH35,IF(DO35=DK35,DL35,0)))))))))))))</f>
        <v>8</v>
      </c>
      <c r="DQ35">
        <f>IF(DO35=BO35,BQ35,IF(DO35=BS35,BU35,IF(DO35=BW35,BY35,IF(DO35=CA35,CC35,IF(DO35=CE35,CG35,IF(DO35=CI35,CK35,IF(DO35=CM35,CO35,IF(DO35=CQ35,CS35,IF(DO35=CU35,CW35,IF(DO35=CY35,DA35,IF(DO35=DC35,DE35,IF(DO35=DG35,DI35,IF(DO35=DK35,DM35,0)))))))))))))</f>
        <v>1.47078</v>
      </c>
      <c r="DR35">
        <f t="shared" si="29"/>
        <v>0</v>
      </c>
      <c r="DS35">
        <f t="shared" si="30"/>
        <v>3.6161111111111102E-2</v>
      </c>
      <c r="DT35">
        <f>IF(DS35=BO35,BP35,IF(DS35=BS35,BT35,IF(DS35=BW35,BX35,IF(DS35=CA35,CB35,IF(DS35=CE35,CF35,IF(DS35=CI35,CJ35,IF(DS35=CM35,CN35,IF(DS35=CQ35,CR35,IF(DS35=CU35,CV35,IF(DS35=CY35,CZ35,IF(DS35=DC35,DD35,IF(DS35=DG35,DH35,IF(DS35=DK35,DL35,IF(DS35=DO35,DP35,0))))))))))))))</f>
        <v>8</v>
      </c>
      <c r="DU35">
        <f>IF(DS35=BO35,BQ35,IF(DS35=BS35,BU35,IF(DS35=BW35,BY35,IF(DS35=CA35,CC35,IF(DS35=CE35,CG35,IF(DS35=CI35,CK35,IF(DS35=CM35,CO35,IF(DS35=CQ35,CS35,IF(DS35=CU35,CW35,IF(DS35=CY35,DA35,IF(DS35=DC35,DE35,IF(DS35=DG35,DI35,IF(DS35=DK35,DM35,IF(DS35=DO35,DQ35,0))))))))))))))</f>
        <v>1.47078</v>
      </c>
      <c r="DV35">
        <f t="shared" si="31"/>
        <v>0</v>
      </c>
      <c r="DW35">
        <v>22500.5</v>
      </c>
      <c r="DX35">
        <v>4</v>
      </c>
      <c r="DY35">
        <v>25</v>
      </c>
      <c r="DZ35">
        <v>6.5</v>
      </c>
      <c r="EA35">
        <v>6.5</v>
      </c>
      <c r="EB35">
        <v>10.114099490560401</v>
      </c>
      <c r="EC35">
        <v>1.625</v>
      </c>
      <c r="ED35">
        <v>2.3069552999999998</v>
      </c>
      <c r="EE35">
        <v>3.6161111111111102E-2</v>
      </c>
      <c r="EF35">
        <v>1.47078</v>
      </c>
      <c r="EG35">
        <v>4.5228559509405803</v>
      </c>
      <c r="EH35">
        <v>8</v>
      </c>
      <c r="EI35">
        <v>0</v>
      </c>
      <c r="EJ35">
        <v>0.19120139999999999</v>
      </c>
      <c r="EK35">
        <v>1</v>
      </c>
      <c r="EL35">
        <v>19</v>
      </c>
      <c r="EM35">
        <v>49</v>
      </c>
      <c r="EN35">
        <v>1</v>
      </c>
      <c r="EO35">
        <v>4</v>
      </c>
      <c r="EP35">
        <v>4</v>
      </c>
      <c r="EQ35">
        <v>90</v>
      </c>
      <c r="ER35">
        <v>14.1987814663817</v>
      </c>
      <c r="ES35">
        <v>3.6882123680119001</v>
      </c>
      <c r="ET35">
        <v>5.9951676680119004</v>
      </c>
      <c r="EU35">
        <v>1.02688742849643</v>
      </c>
      <c r="EV35">
        <v>1.21808882849643</v>
      </c>
      <c r="EW35">
        <v>0.19120139999999999</v>
      </c>
      <c r="EX35">
        <v>1.02688742849643</v>
      </c>
      <c r="EY35">
        <v>1.21808882849643</v>
      </c>
      <c r="EZ35">
        <v>0.23462530000000001</v>
      </c>
      <c r="FA35">
        <v>1.5825330765475001</v>
      </c>
      <c r="FB35">
        <v>1.8171583765474999</v>
      </c>
      <c r="FC35">
        <v>1.7722757</v>
      </c>
      <c r="FD35">
        <v>6.0533349497147997</v>
      </c>
      <c r="FE35">
        <v>7.8256106497148004</v>
      </c>
      <c r="FF35">
        <v>0.19120139999999999</v>
      </c>
      <c r="FG35">
        <v>1.02688742849643</v>
      </c>
      <c r="FH35">
        <v>1.21808882849643</v>
      </c>
    </row>
    <row r="36" spans="1:164" x14ac:dyDescent="0.2">
      <c r="A36">
        <v>35</v>
      </c>
      <c r="B36">
        <v>42</v>
      </c>
      <c r="C36">
        <v>78</v>
      </c>
      <c r="D36">
        <v>1</v>
      </c>
      <c r="E36">
        <v>11</v>
      </c>
      <c r="F36" t="s">
        <v>187</v>
      </c>
      <c r="G36" t="s">
        <v>188</v>
      </c>
      <c r="H36">
        <v>3</v>
      </c>
      <c r="I36">
        <v>4</v>
      </c>
      <c r="K36" t="s">
        <v>189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2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5</v>
      </c>
      <c r="AD36">
        <v>0</v>
      </c>
      <c r="AE36">
        <v>8</v>
      </c>
      <c r="AF36">
        <v>4</v>
      </c>
      <c r="AG36">
        <v>4</v>
      </c>
      <c r="AH36">
        <v>6</v>
      </c>
      <c r="AI36">
        <v>0.70420833333333299</v>
      </c>
      <c r="AJ36">
        <v>58.087380000000003</v>
      </c>
      <c r="AK36">
        <v>0.56782222222222201</v>
      </c>
      <c r="AL36">
        <v>38.04909</v>
      </c>
      <c r="AM36">
        <v>0.48803888888888902</v>
      </c>
      <c r="AN36">
        <v>38.701230000000002</v>
      </c>
      <c r="AO36">
        <v>0.53921944444444403</v>
      </c>
      <c r="AP36">
        <v>41.315339999999999</v>
      </c>
      <c r="AQ36">
        <v>0.57855277777777803</v>
      </c>
      <c r="AR36">
        <v>43.335819999999998</v>
      </c>
      <c r="AS36">
        <v>0.62312777777777795</v>
      </c>
      <c r="AT36">
        <v>46.67651</v>
      </c>
      <c r="AU36">
        <v>0.61958611111111095</v>
      </c>
      <c r="AV36">
        <v>50.411369999999998</v>
      </c>
      <c r="AW36">
        <v>0.62913888888888903</v>
      </c>
      <c r="AX36">
        <v>53.337409999999998</v>
      </c>
      <c r="AY36">
        <v>0.63912500000000005</v>
      </c>
      <c r="AZ36">
        <v>54.576140000000002</v>
      </c>
      <c r="BA36">
        <v>0.65247777777777805</v>
      </c>
      <c r="BB36">
        <v>55.896859999999997</v>
      </c>
      <c r="BC36">
        <v>0.71330555555555597</v>
      </c>
      <c r="BD36">
        <v>57.221550000000001</v>
      </c>
      <c r="BE36">
        <v>0.724325</v>
      </c>
      <c r="BF36">
        <v>63.598509999999997</v>
      </c>
      <c r="BG36">
        <v>0.78819722222222199</v>
      </c>
      <c r="BH36">
        <v>67.001360000000005</v>
      </c>
      <c r="BI36">
        <v>0.83202500000000001</v>
      </c>
      <c r="BJ36">
        <v>68.975269999999995</v>
      </c>
      <c r="BK36">
        <v>0.90016388888888899</v>
      </c>
      <c r="BL36">
        <v>75.79092</v>
      </c>
      <c r="BM36">
        <v>0.94166666666666698</v>
      </c>
      <c r="BN36">
        <v>77.783600000000007</v>
      </c>
      <c r="BO36">
        <f t="shared" si="0"/>
        <v>0.48803888888888902</v>
      </c>
      <c r="BP36">
        <v>2</v>
      </c>
      <c r="BQ36">
        <v>38.701230000000002</v>
      </c>
      <c r="BR36">
        <f t="shared" si="1"/>
        <v>0</v>
      </c>
      <c r="BS36">
        <f t="shared" si="2"/>
        <v>0.53921944444444403</v>
      </c>
      <c r="BT36">
        <v>3</v>
      </c>
      <c r="BU36">
        <v>41.315339999999999</v>
      </c>
      <c r="BV36">
        <f t="shared" si="5"/>
        <v>0</v>
      </c>
      <c r="BW36">
        <f t="shared" si="6"/>
        <v>0.48803888888888902</v>
      </c>
      <c r="BX36">
        <f t="shared" si="32"/>
        <v>2</v>
      </c>
      <c r="BY36">
        <f t="shared" si="33"/>
        <v>38.701230000000002</v>
      </c>
      <c r="BZ36">
        <f t="shared" si="7"/>
        <v>0</v>
      </c>
      <c r="CA36">
        <f t="shared" si="8"/>
        <v>0.48803888888888902</v>
      </c>
      <c r="CB36">
        <f>IF(CA36=BO36,BP36,IF(CA36=BS36,BT36,IF(CA36=BW36,BX36,0)))</f>
        <v>2</v>
      </c>
      <c r="CC36">
        <f>IF(CA36=BO36,BQ36,IF(CA36=BS36,BU36,IF(CA36=BW36,BY36,0)))</f>
        <v>38.701230000000002</v>
      </c>
      <c r="CD36">
        <f t="shared" si="9"/>
        <v>0</v>
      </c>
      <c r="CE36">
        <f t="shared" si="10"/>
        <v>0.48803888888888902</v>
      </c>
      <c r="CF36">
        <f>IF(CE36=BO36,BP36,IF(CE36=BS36,BT36,IF(CE36=BW36,BX36,IF(CE36=CA36,CB36,0))))</f>
        <v>2</v>
      </c>
      <c r="CG36">
        <f>IF(CE36=BO36,BQ36,IF(CE36=BS36,BU36,IF(CE36=BW36,BY36,IF(CE36=CA36,CC36,0))))</f>
        <v>38.701230000000002</v>
      </c>
      <c r="CH36">
        <f t="shared" si="11"/>
        <v>0</v>
      </c>
      <c r="CI36">
        <f t="shared" si="12"/>
        <v>0.48803888888888902</v>
      </c>
      <c r="CJ36">
        <f>IF(CI36=BO36,BP36,IF(CI36=BS36,BT36,IF(CI36=BW36,BX36,IF(CI36=CA36,CB36,IF(CI36=CE36,CF36,0)))))</f>
        <v>2</v>
      </c>
      <c r="CK36">
        <f>IF(CI36=BO36,BQ36,IF(CI36=BS36,BU36,IF(CI36=BW36,BY36,IF(CI36=CA36,CC36,IF(CI36=CE36,CG36,0)))))</f>
        <v>38.701230000000002</v>
      </c>
      <c r="CL36">
        <f t="shared" si="13"/>
        <v>0</v>
      </c>
      <c r="CM36">
        <f t="shared" si="14"/>
        <v>0.48803888888888902</v>
      </c>
      <c r="CN36">
        <f>IF(CM36=BO36,BP36,IF(CM36=BS36,BT36,IF(CM36=BW36,BX36,IF(CM36=CA36,CB36,IF(CM36=CE36,CF36,IF(CM36=CI36,CJ36,0))))))</f>
        <v>2</v>
      </c>
      <c r="CO36">
        <f>IF(CM36=BO36,BQ36,IF(CM36=BS36,BU36,IF(CM36=BW36,BY36,IF(CM36=CA36,CC36,IF(CM36=CE36,CG36,IF(CM36=CI36,CK36,0))))))</f>
        <v>38.701230000000002</v>
      </c>
      <c r="CP36">
        <f t="shared" si="15"/>
        <v>0</v>
      </c>
      <c r="CQ36">
        <f t="shared" si="16"/>
        <v>0.48803888888888902</v>
      </c>
      <c r="CR36">
        <f>IF(CQ36=BO36,BP36,IF(CQ36=BS36,BT36,IF(CQ36=BW36,BX36,IF(CQ36=CA36,CB36,IF(CQ36=CE36,CF36,IF(CQ36=CI36,CJ36,IF(CQ36=CM36,CN36,0)))))))</f>
        <v>2</v>
      </c>
      <c r="CS36">
        <f>IF(CQ36=BO36,BQ36,IF(CQ36=BS36,BU36,IF(CQ36=BW36,BY36,IF(CQ36=CA36,CC36,IF(CQ36=CE36,CG36,IF(CQ36=CI36,CK36,IF(CQ36=CM36,CO36,0)))))))</f>
        <v>38.701230000000002</v>
      </c>
      <c r="CT36">
        <f t="shared" si="17"/>
        <v>0</v>
      </c>
      <c r="CU36">
        <f t="shared" si="18"/>
        <v>0.48803888888888902</v>
      </c>
      <c r="CV36">
        <f>IF(CU36=BO36,BP36,IF(CU36=BS36,BT36,IF(CU36=BW36,BX36,IF(CU36=CA36,CB36,IF(CU36=CE36,CF36,IF(CU36=CI36,CJ36,IF(CU36=CM36,CN36,IF(CU36=CQ36,CR36,0))))))))</f>
        <v>2</v>
      </c>
      <c r="CW36">
        <f>IF(CU36=BO36,BQ36,IF(CU36=BS36,BU36,IF(CU36=BW36,BY36,IF(CU36=CA36,CC36,IF(CU36=CE36,CG36,IF(CU36=CI36,CK36,IF(CU36=CM36,CO36,IF(CU36=CQ36,CS36,0))))))))</f>
        <v>38.701230000000002</v>
      </c>
      <c r="CX36">
        <f t="shared" si="19"/>
        <v>0</v>
      </c>
      <c r="CY36">
        <f t="shared" si="20"/>
        <v>0.48803888888888902</v>
      </c>
      <c r="CZ36">
        <f>IF(CY36=BO36,BP36,IF(CY36=BS36,BT36,IF(CY36=BW36,BX36,IF(CY36=CA36,CB36,IF(CY36=CE36,CF36,IF(CY36=CI36,CJ36,IF(CY36=CM36,CN36,IF(CY36=CQ36,CR36,IF(CY36=CU36,CV36,0)))))))))</f>
        <v>2</v>
      </c>
      <c r="DA36">
        <f>IF(CY36=BO36,BQ36,IF(CY36=BS36,BU36,IF(CY36=BW36,BY36,IF(CY36=CA36,CC36,IF(CY36=CE36,CG36,IF(CY36=CI36,CK36,IF(CY36=CM36,CO36,IF(CY36=CQ36,CS36,IF(CY36=CU36,CW36,0)))))))))</f>
        <v>38.701230000000002</v>
      </c>
      <c r="DB36">
        <f t="shared" si="21"/>
        <v>0</v>
      </c>
      <c r="DC36">
        <f t="shared" si="22"/>
        <v>0.48803888888888902</v>
      </c>
      <c r="DD36">
        <f>IF(DC36=BO36,BP36,IF(DC36=BS36,BT36,IF(DC36=BW36,BX36,IF(DC36=CA36,CB36,IF(DC36=CE36,CF36,IF(DC36=CI36,CJ36,IF(DC36=CM36,CN36,IF(DC36=CQ36,CR36,IF(DC36=CU36,CV36,IF(DC36=CY36,CZ36,0))))))))))</f>
        <v>2</v>
      </c>
      <c r="DE36">
        <f>IF(DC36=BO36,BQ36,IF(DC36=BS36,BU36,IF(DC36=BW36,BY36,IF(DC36=CA36,CC36,IF(DC36=CE36,CG36,IF(DC36=CI36,CK36,IF(DC36=CM36,CO36,IF(DC36=CQ36,CS36,IF(DC36=CU36,CW36,IF(DC36=CY36,DA36,0))))))))))</f>
        <v>38.701230000000002</v>
      </c>
      <c r="DF36">
        <f t="shared" si="23"/>
        <v>0</v>
      </c>
      <c r="DG36">
        <f t="shared" si="24"/>
        <v>0.48803888888888902</v>
      </c>
      <c r="DH36">
        <f>IF(DG36=BO36,BP36,IF(DG36=BS36,BT36,IF(DG36=BW36,BX36,IF(DG36=CA36,CB36,IF(DG36=CE36,CF36,IF(DG36=CI36,CJ36,IF(DG36=CM36,CN36,IF(DG36=CQ36,CR36,IF(DG36=CU36,CV36,IF(DG36=CY36,CZ36,IF(DG36=DC36,DD36,0)))))))))))</f>
        <v>2</v>
      </c>
      <c r="DI36">
        <f>IF(DG36=BO36,BQ36,IF(DG36=BS36,BU36,IF(DG36=BW36,BY36,IF(DG36=CA36,CC36,IF(DG36=CE36,CG36,IF(DG36=CI36,CK36,IF(DG36=CM36,CO36,IF(DG36=CQ36,CS36,IF(DG36=CU36,CW36,IF(DG36=CY36,DA36,IF(DG36=DC36,DE36,0)))))))))))</f>
        <v>38.701230000000002</v>
      </c>
      <c r="DJ36">
        <f t="shared" si="25"/>
        <v>0</v>
      </c>
      <c r="DK36">
        <f t="shared" si="26"/>
        <v>0.48803888888888902</v>
      </c>
      <c r="DL36">
        <f>IF(DK36=BO36,BP36,IF(DK36=BS36,BT36,IF(DK36=BW36,BX36,IF(DK36=CA36,CB36,IF(DK36=CE36,CF36,IF(DK36=CI36,CJ36,IF(DK36=CM36,CN36,IF(DK36=CQ36,CR36,IF(DK36=CU36,CV36,IF(DK36=CY36,CZ36,IF(DK36=DC36,DD36,IF(DK36=DG36,DH36,0))))))))))))</f>
        <v>2</v>
      </c>
      <c r="DM36">
        <f>IF(DK36=BO36,BQ36,IF(DK36=BS36,BU36,IF(DK36=BW36,BY36,IF(DK36=CA36,CC36,IF(DK36=CE36,CG36,IF(DK36=CI36,CK36,IF(DK36=CM36,CO36,IF(DK36=CQ36,CS36,IF(DK36=CU36,CW36,IF(DK36=CY36,DA36,IF(DK36=DC36,DE36,IF(DK36=DG36,DI36,0))))))))))))</f>
        <v>38.701230000000002</v>
      </c>
      <c r="DN36">
        <f t="shared" si="27"/>
        <v>0</v>
      </c>
      <c r="DO36">
        <f t="shared" si="28"/>
        <v>0.48803888888888902</v>
      </c>
      <c r="DP36">
        <f>IF(DO36=BO36,BP36,IF(DO36=BS36,BT36,IF(DO36=BW36,BX36,IF(DO36=CA36,CB36,IF(DO36=CE36,CF36,IF(DO36=CI36,CJ36,IF(DO36=CM36,CN36,IF(DO36=CQ36,CR36,IF(DO36=CU36,CV36,IF(DO36=CY36,CZ36,IF(DO36=DC36,DD36,IF(DO36=DG36,DH36,IF(DO36=DK36,DL36,0)))))))))))))</f>
        <v>2</v>
      </c>
      <c r="DQ36">
        <f>IF(DO36=BO36,BQ36,IF(DO36=BS36,BU36,IF(DO36=BW36,BY36,IF(DO36=CA36,CC36,IF(DO36=CE36,CG36,IF(DO36=CI36,CK36,IF(DO36=CM36,CO36,IF(DO36=CQ36,CS36,IF(DO36=CU36,CW36,IF(DO36=CY36,DA36,IF(DO36=DC36,DE36,IF(DO36=DG36,DI36,IF(DO36=DK36,DM36,0)))))))))))))</f>
        <v>38.701230000000002</v>
      </c>
      <c r="DR36">
        <f t="shared" si="29"/>
        <v>0</v>
      </c>
      <c r="DS36">
        <f t="shared" si="30"/>
        <v>0.48803888888888902</v>
      </c>
      <c r="DT36">
        <f>IF(DS36=BO36,BP36,IF(DS36=BS36,BT36,IF(DS36=BW36,BX36,IF(DS36=CA36,CB36,IF(DS36=CE36,CF36,IF(DS36=CI36,CJ36,IF(DS36=CM36,CN36,IF(DS36=CQ36,CR36,IF(DS36=CU36,CV36,IF(DS36=CY36,CZ36,IF(DS36=DC36,DD36,IF(DS36=DG36,DH36,IF(DS36=DK36,DL36,IF(DS36=DO36,DP36,0))))))))))))))</f>
        <v>2</v>
      </c>
      <c r="DU36">
        <f>IF(DS36=BO36,BQ36,IF(DS36=BS36,BU36,IF(DS36=BW36,BY36,IF(DS36=CA36,CC36,IF(DS36=CE36,CG36,IF(DS36=CI36,CK36,IF(DS36=CM36,CO36,IF(DS36=CQ36,CS36,IF(DS36=CU36,CW36,IF(DS36=CY36,DA36,IF(DS36=DC36,DE36,IF(DS36=DG36,DI36,IF(DS36=DK36,DM36,IF(DS36=DO36,DQ36,0))))))))))))))</f>
        <v>38.701230000000002</v>
      </c>
      <c r="DV36">
        <f t="shared" si="31"/>
        <v>0</v>
      </c>
      <c r="DW36">
        <v>31226.480769230799</v>
      </c>
      <c r="DX36">
        <v>4</v>
      </c>
      <c r="DY36">
        <v>35</v>
      </c>
      <c r="DZ36">
        <v>6</v>
      </c>
      <c r="EA36">
        <v>6</v>
      </c>
      <c r="EB36">
        <v>14.0364762223093</v>
      </c>
      <c r="EC36">
        <v>1.5</v>
      </c>
      <c r="ED36">
        <v>9.0513594000000008</v>
      </c>
      <c r="EE36">
        <v>0.48803888888888902</v>
      </c>
      <c r="EF36">
        <v>38.701230000000002</v>
      </c>
      <c r="EG36">
        <v>24.266279149178999</v>
      </c>
      <c r="EH36">
        <v>2</v>
      </c>
      <c r="EI36">
        <v>0</v>
      </c>
      <c r="EJ36">
        <v>5.0311598999999996</v>
      </c>
      <c r="EK36">
        <v>1</v>
      </c>
      <c r="EL36">
        <v>1</v>
      </c>
      <c r="EM36">
        <v>43</v>
      </c>
      <c r="EN36">
        <v>0</v>
      </c>
      <c r="EO36">
        <v>1</v>
      </c>
      <c r="EP36">
        <v>6</v>
      </c>
      <c r="EQ36">
        <v>4</v>
      </c>
      <c r="ER36">
        <v>14.1987814663817</v>
      </c>
      <c r="ES36">
        <v>19.9978004636097</v>
      </c>
      <c r="ET36">
        <v>29.049159863609699</v>
      </c>
      <c r="EU36">
        <v>13.8591150608581</v>
      </c>
      <c r="EV36">
        <v>18.8902749608581</v>
      </c>
      <c r="EW36">
        <v>7.0948982000000003</v>
      </c>
      <c r="EX36">
        <v>18.149592409402398</v>
      </c>
      <c r="EY36">
        <v>25.244490609402401</v>
      </c>
      <c r="EZ36">
        <v>5.0311598999999996</v>
      </c>
      <c r="FA36">
        <v>13.8591150608581</v>
      </c>
      <c r="FB36">
        <v>18.8902749608581</v>
      </c>
      <c r="FC36">
        <v>5.3709942000000002</v>
      </c>
      <c r="FD36">
        <v>15.3125181081808</v>
      </c>
      <c r="FE36">
        <v>20.683512308180799</v>
      </c>
      <c r="FF36">
        <v>5.0311598999999996</v>
      </c>
      <c r="FG36">
        <v>13.8591150608581</v>
      </c>
      <c r="FH36">
        <v>18.8902749608581</v>
      </c>
    </row>
    <row r="37" spans="1:164" x14ac:dyDescent="0.2">
      <c r="A37">
        <v>36</v>
      </c>
      <c r="B37">
        <v>43</v>
      </c>
      <c r="C37">
        <v>79</v>
      </c>
      <c r="D37">
        <v>1</v>
      </c>
      <c r="E37">
        <v>11</v>
      </c>
      <c r="F37" t="s">
        <v>114</v>
      </c>
      <c r="H37">
        <v>3</v>
      </c>
      <c r="I37">
        <v>3</v>
      </c>
      <c r="K37" t="s">
        <v>190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78</v>
      </c>
      <c r="AE37">
        <v>80</v>
      </c>
      <c r="AF37">
        <v>40</v>
      </c>
      <c r="AG37">
        <v>70</v>
      </c>
      <c r="AH37">
        <v>5</v>
      </c>
      <c r="AI37">
        <v>0.16756111111111099</v>
      </c>
      <c r="AJ37">
        <v>6.3390599999999999</v>
      </c>
      <c r="AK37">
        <v>0.351663888888889</v>
      </c>
      <c r="AL37">
        <v>18.743200000000002</v>
      </c>
      <c r="AM37">
        <v>0.245772222222222</v>
      </c>
      <c r="AN37">
        <v>16.273050000000001</v>
      </c>
      <c r="AO37">
        <v>0.241916666666667</v>
      </c>
      <c r="AP37">
        <v>13.899559999999999</v>
      </c>
      <c r="AQ37">
        <v>0.26521666666666699</v>
      </c>
      <c r="AR37">
        <v>14.227449999999999</v>
      </c>
      <c r="AS37">
        <v>0.23040277777777801</v>
      </c>
      <c r="AT37">
        <v>10.727589999999999</v>
      </c>
      <c r="AU37">
        <v>0.127541666666667</v>
      </c>
      <c r="AV37">
        <v>5.0544200000000004</v>
      </c>
      <c r="AW37">
        <v>6.5566666666666704E-2</v>
      </c>
      <c r="AX37">
        <v>1.1810099999999999</v>
      </c>
      <c r="AY37">
        <v>4.4016666666666697E-2</v>
      </c>
      <c r="AZ37">
        <v>1.0755999999999999</v>
      </c>
      <c r="BA37">
        <v>7.4397222222222198E-2</v>
      </c>
      <c r="BB37">
        <v>2.1196999999999999</v>
      </c>
      <c r="BC37">
        <v>0.15937499999999999</v>
      </c>
      <c r="BD37">
        <v>5.7203299999999997</v>
      </c>
      <c r="BE37">
        <v>0.21870555555555601</v>
      </c>
      <c r="BF37">
        <v>13.922980000000001</v>
      </c>
      <c r="BG37">
        <v>0.28257777777777798</v>
      </c>
      <c r="BH37">
        <v>17.32583</v>
      </c>
      <c r="BI37">
        <v>0.326405555555556</v>
      </c>
      <c r="BJ37">
        <v>19.29975</v>
      </c>
      <c r="BK37">
        <v>0.39454444444444398</v>
      </c>
      <c r="BL37">
        <v>26.115400000000001</v>
      </c>
      <c r="BM37">
        <v>0.43604999999999999</v>
      </c>
      <c r="BN37">
        <v>28.108070000000001</v>
      </c>
      <c r="BO37">
        <f t="shared" si="0"/>
        <v>4.4016666666666697E-2</v>
      </c>
      <c r="BP37">
        <v>8</v>
      </c>
      <c r="BQ37">
        <v>1.0755999999999999</v>
      </c>
      <c r="BR37">
        <f t="shared" si="1"/>
        <v>0</v>
      </c>
      <c r="BS37">
        <f t="shared" si="2"/>
        <v>4.4016666666666697E-2</v>
      </c>
      <c r="BT37">
        <f t="shared" si="3"/>
        <v>8</v>
      </c>
      <c r="BU37">
        <f t="shared" si="4"/>
        <v>1.0755999999999999</v>
      </c>
      <c r="BV37">
        <f t="shared" si="5"/>
        <v>0</v>
      </c>
      <c r="BW37">
        <f t="shared" si="6"/>
        <v>4.4016666666666697E-2</v>
      </c>
      <c r="BX37">
        <f t="shared" si="32"/>
        <v>8</v>
      </c>
      <c r="BY37">
        <f t="shared" si="33"/>
        <v>1.0755999999999999</v>
      </c>
      <c r="BZ37">
        <f t="shared" si="7"/>
        <v>0</v>
      </c>
      <c r="CA37">
        <f t="shared" si="8"/>
        <v>4.4016666666666697E-2</v>
      </c>
      <c r="CB37">
        <f>IF(CA37=BO37,BP37,IF(CA37=BS37,BT37,IF(CA37=BW37,BX37,0)))</f>
        <v>8</v>
      </c>
      <c r="CC37">
        <f>IF(CA37=BO37,BQ37,IF(CA37=BS37,BU37,IF(CA37=BW37,BY37,0)))</f>
        <v>1.0755999999999999</v>
      </c>
      <c r="CD37">
        <f t="shared" si="9"/>
        <v>0</v>
      </c>
      <c r="CE37">
        <f t="shared" si="10"/>
        <v>4.4016666666666697E-2</v>
      </c>
      <c r="CF37">
        <f>IF(CE37=BO37,BP37,IF(CE37=BS37,BT37,IF(CE37=BW37,BX37,IF(CE37=CA37,CB37,0))))</f>
        <v>8</v>
      </c>
      <c r="CG37">
        <f>IF(CE37=BO37,BQ37,IF(CE37=BS37,BU37,IF(CE37=BW37,BY37,IF(CE37=CA37,CC37,0))))</f>
        <v>1.0755999999999999</v>
      </c>
      <c r="CH37">
        <f t="shared" si="11"/>
        <v>0</v>
      </c>
      <c r="CI37">
        <f t="shared" si="12"/>
        <v>4.4016666666666697E-2</v>
      </c>
      <c r="CJ37">
        <f>IF(CI37=BO37,BP37,IF(CI37=BS37,BT37,IF(CI37=BW37,BX37,IF(CI37=CA37,CB37,IF(CI37=CE37,CF37,0)))))</f>
        <v>8</v>
      </c>
      <c r="CK37">
        <f>IF(CI37=BO37,BQ37,IF(CI37=BS37,BU37,IF(CI37=BW37,BY37,IF(CI37=CA37,CC37,IF(CI37=CE37,CG37,0)))))</f>
        <v>1.0755999999999999</v>
      </c>
      <c r="CL37">
        <f t="shared" si="13"/>
        <v>0</v>
      </c>
      <c r="CM37">
        <f t="shared" si="14"/>
        <v>4.4016666666666697E-2</v>
      </c>
      <c r="CN37">
        <f>IF(CM37=BO37,BP37,IF(CM37=BS37,BT37,IF(CM37=BW37,BX37,IF(CM37=CA37,CB37,IF(CM37=CE37,CF37,IF(CM37=CI37,CJ37,0))))))</f>
        <v>8</v>
      </c>
      <c r="CO37">
        <f>IF(CM37=BO37,BQ37,IF(CM37=BS37,BU37,IF(CM37=BW37,BY37,IF(CM37=CA37,CC37,IF(CM37=CE37,CG37,IF(CM37=CI37,CK37,0))))))</f>
        <v>1.0755999999999999</v>
      </c>
      <c r="CP37">
        <f t="shared" si="15"/>
        <v>0</v>
      </c>
      <c r="CQ37">
        <f t="shared" si="16"/>
        <v>6.5566666666666704E-2</v>
      </c>
      <c r="CR37">
        <v>7</v>
      </c>
      <c r="CS37">
        <v>1.1810099999999999</v>
      </c>
      <c r="CT37">
        <f t="shared" si="17"/>
        <v>3</v>
      </c>
      <c r="CU37">
        <f t="shared" si="18"/>
        <v>4.4016666666666697E-2</v>
      </c>
      <c r="CV37">
        <f>IF(CU37=BO37,BP37,IF(CU37=BS37,BT37,IF(CU37=BW37,BX37,IF(CU37=CA37,CB37,IF(CU37=CE37,CF37,IF(CU37=CI37,CJ37,IF(CU37=CM37,CN37,IF(CU37=CQ37,CR37,0))))))))</f>
        <v>8</v>
      </c>
      <c r="CW37">
        <f>IF(CU37=BO37,BQ37,IF(CU37=BS37,BU37,IF(CU37=BW37,BY37,IF(CU37=CA37,CC37,IF(CU37=CE37,CG37,IF(CU37=CI37,CK37,IF(CU37=CM37,CO37,IF(CU37=CQ37,CS37,0))))))))</f>
        <v>1.0755999999999999</v>
      </c>
      <c r="CX37">
        <f t="shared" si="19"/>
        <v>0</v>
      </c>
      <c r="CY37">
        <f t="shared" si="20"/>
        <v>4.4016666666666697E-2</v>
      </c>
      <c r="CZ37">
        <f>IF(CY37=BO37,BP37,IF(CY37=BS37,BT37,IF(CY37=BW37,BX37,IF(CY37=CA37,CB37,IF(CY37=CE37,CF37,IF(CY37=CI37,CJ37,IF(CY37=CM37,CN37,IF(CY37=CQ37,CR37,IF(CY37=CU37,CV37,0)))))))))</f>
        <v>8</v>
      </c>
      <c r="DA37">
        <f>IF(CY37=BO37,BQ37,IF(CY37=BS37,BU37,IF(CY37=BW37,BY37,IF(CY37=CA37,CC37,IF(CY37=CE37,CG37,IF(CY37=CI37,CK37,IF(CY37=CM37,CO37,IF(CY37=CQ37,CS37,IF(CY37=CU37,CW37,0)))))))))</f>
        <v>1.0755999999999999</v>
      </c>
      <c r="DB37">
        <f t="shared" si="21"/>
        <v>0</v>
      </c>
      <c r="DC37">
        <f t="shared" si="22"/>
        <v>4.4016666666666697E-2</v>
      </c>
      <c r="DD37">
        <f>IF(DC37=BO37,BP37,IF(DC37=BS37,BT37,IF(DC37=BW37,BX37,IF(DC37=CA37,CB37,IF(DC37=CE37,CF37,IF(DC37=CI37,CJ37,IF(DC37=CM37,CN37,IF(DC37=CQ37,CR37,IF(DC37=CU37,CV37,IF(DC37=CY37,CZ37,0))))))))))</f>
        <v>8</v>
      </c>
      <c r="DE37">
        <f>IF(DC37=BO37,BQ37,IF(DC37=BS37,BU37,IF(DC37=BW37,BY37,IF(DC37=CA37,CC37,IF(DC37=CE37,CG37,IF(DC37=CI37,CK37,IF(DC37=CM37,CO37,IF(DC37=CQ37,CS37,IF(DC37=CU37,CW37,IF(DC37=CY37,DA37,0))))))))))</f>
        <v>1.0755999999999999</v>
      </c>
      <c r="DF37">
        <f t="shared" si="23"/>
        <v>0</v>
      </c>
      <c r="DG37">
        <f t="shared" si="24"/>
        <v>4.4016666666666697E-2</v>
      </c>
      <c r="DH37">
        <f>IF(DG37=BO37,BP37,IF(DG37=BS37,BT37,IF(DG37=BW37,BX37,IF(DG37=CA37,CB37,IF(DG37=CE37,CF37,IF(DG37=CI37,CJ37,IF(DG37=CM37,CN37,IF(DG37=CQ37,CR37,IF(DG37=CU37,CV37,IF(DG37=CY37,CZ37,IF(DG37=DC37,DD37,0)))))))))))</f>
        <v>8</v>
      </c>
      <c r="DI37">
        <f>IF(DG37=BO37,BQ37,IF(DG37=BS37,BU37,IF(DG37=BW37,BY37,IF(DG37=CA37,CC37,IF(DG37=CE37,CG37,IF(DG37=CI37,CK37,IF(DG37=CM37,CO37,IF(DG37=CQ37,CS37,IF(DG37=CU37,CW37,IF(DG37=CY37,DA37,IF(DG37=DC37,DE37,0)))))))))))</f>
        <v>1.0755999999999999</v>
      </c>
      <c r="DJ37">
        <f t="shared" si="25"/>
        <v>0</v>
      </c>
      <c r="DK37">
        <f t="shared" si="26"/>
        <v>4.4016666666666697E-2</v>
      </c>
      <c r="DL37">
        <f>IF(DK37=BO37,BP37,IF(DK37=BS37,BT37,IF(DK37=BW37,BX37,IF(DK37=CA37,CB37,IF(DK37=CE37,CF37,IF(DK37=CI37,CJ37,IF(DK37=CM37,CN37,IF(DK37=CQ37,CR37,IF(DK37=CU37,CV37,IF(DK37=CY37,CZ37,IF(DK37=DC37,DD37,IF(DK37=DG37,DH37,0))))))))))))</f>
        <v>8</v>
      </c>
      <c r="DM37">
        <f>IF(DK37=BO37,BQ37,IF(DK37=BS37,BU37,IF(DK37=BW37,BY37,IF(DK37=CA37,CC37,IF(DK37=CE37,CG37,IF(DK37=CI37,CK37,IF(DK37=CM37,CO37,IF(DK37=CQ37,CS37,IF(DK37=CU37,CW37,IF(DK37=CY37,DA37,IF(DK37=DC37,DE37,IF(DK37=DG37,DI37,0))))))))))))</f>
        <v>1.0755999999999999</v>
      </c>
      <c r="DN37">
        <f t="shared" si="27"/>
        <v>0</v>
      </c>
      <c r="DO37">
        <f t="shared" si="28"/>
        <v>4.4016666666666697E-2</v>
      </c>
      <c r="DP37">
        <f>IF(DO37=BO37,BP37,IF(DO37=BS37,BT37,IF(DO37=BW37,BX37,IF(DO37=CA37,CB37,IF(DO37=CE37,CF37,IF(DO37=CI37,CJ37,IF(DO37=CM37,CN37,IF(DO37=CQ37,CR37,IF(DO37=CU37,CV37,IF(DO37=CY37,CZ37,IF(DO37=DC37,DD37,IF(DO37=DG37,DH37,IF(DO37=DK37,DL37,0)))))))))))))</f>
        <v>8</v>
      </c>
      <c r="DQ37">
        <f>IF(DO37=BO37,BQ37,IF(DO37=BS37,BU37,IF(DO37=BW37,BY37,IF(DO37=CA37,CC37,IF(DO37=CE37,CG37,IF(DO37=CI37,CK37,IF(DO37=CM37,CO37,IF(DO37=CQ37,CS37,IF(DO37=CU37,CW37,IF(DO37=CY37,DA37,IF(DO37=DC37,DE37,IF(DO37=DG37,DI37,IF(DO37=DK37,DM37,0)))))))))))))</f>
        <v>1.0755999999999999</v>
      </c>
      <c r="DR37">
        <f t="shared" si="29"/>
        <v>0</v>
      </c>
      <c r="DS37">
        <f t="shared" si="30"/>
        <v>4.4016666666666697E-2</v>
      </c>
      <c r="DT37">
        <f>IF(DS37=BO37,BP37,IF(DS37=BS37,BT37,IF(DS37=BW37,BX37,IF(DS37=CA37,CB37,IF(DS37=CE37,CF37,IF(DS37=CI37,CJ37,IF(DS37=CM37,CN37,IF(DS37=CQ37,CR37,IF(DS37=CU37,CV37,IF(DS37=CY37,CZ37,IF(DS37=DC37,DD37,IF(DS37=DG37,DH37,IF(DS37=DK37,DL37,IF(DS37=DO37,DP37,0))))))))))))))</f>
        <v>8</v>
      </c>
      <c r="DU37">
        <f>IF(DS37=BO37,BQ37,IF(DS37=BS37,BU37,IF(DS37=BW37,BY37,IF(DS37=CA37,CC37,IF(DS37=CE37,CG37,IF(DS37=CI37,CK37,IF(DS37=CM37,CO37,IF(DS37=CQ37,CS37,IF(DS37=CU37,CW37,IF(DS37=CY37,DA37,IF(DS37=DC37,DE37,IF(DS37=DG37,DI37,IF(DS37=DK37,DM37,IF(DS37=DO37,DQ37,0))))))))))))))</f>
        <v>1.0755999999999999</v>
      </c>
      <c r="DV37">
        <f t="shared" si="31"/>
        <v>0</v>
      </c>
      <c r="DW37">
        <v>37501</v>
      </c>
      <c r="DX37">
        <v>4</v>
      </c>
      <c r="DY37">
        <v>16</v>
      </c>
      <c r="DZ37">
        <v>6.5</v>
      </c>
      <c r="EA37">
        <v>6.5</v>
      </c>
      <c r="EB37">
        <v>16.856907401857999</v>
      </c>
      <c r="EC37">
        <v>1.625</v>
      </c>
      <c r="ED37">
        <v>2.4490778</v>
      </c>
      <c r="EE37">
        <v>4.4016666666666697E-2</v>
      </c>
      <c r="EF37">
        <v>1.0755999999999999</v>
      </c>
      <c r="EG37">
        <v>7.6011939320331496</v>
      </c>
      <c r="EH37">
        <v>8</v>
      </c>
      <c r="EI37">
        <v>0</v>
      </c>
      <c r="EJ37">
        <v>0.13982800000000001</v>
      </c>
      <c r="EK37">
        <v>1</v>
      </c>
      <c r="EL37">
        <v>0</v>
      </c>
      <c r="EM37">
        <v>53</v>
      </c>
      <c r="EN37">
        <v>0</v>
      </c>
      <c r="EO37">
        <v>2</v>
      </c>
      <c r="EP37">
        <v>5</v>
      </c>
      <c r="EQ37">
        <v>40</v>
      </c>
      <c r="ER37">
        <v>14.1987814663817</v>
      </c>
      <c r="ES37">
        <v>4.7583271978615302</v>
      </c>
      <c r="ET37">
        <v>7.2074049978615298</v>
      </c>
      <c r="EU37">
        <v>1.24996606175713</v>
      </c>
      <c r="EV37">
        <v>1.3897940617571301</v>
      </c>
      <c r="EW37">
        <v>0.13982800000000001</v>
      </c>
      <c r="EX37">
        <v>1.24996606175713</v>
      </c>
      <c r="EY37">
        <v>1.3897940617571301</v>
      </c>
      <c r="EZ37">
        <v>0.90353130000000004</v>
      </c>
      <c r="FA37">
        <v>1.86193354295819</v>
      </c>
      <c r="FB37">
        <v>2.7654648429581901</v>
      </c>
      <c r="FC37">
        <v>1.8069428000000001</v>
      </c>
      <c r="FD37">
        <v>6.8698437661510097</v>
      </c>
      <c r="FE37">
        <v>8.6767865661510104</v>
      </c>
      <c r="FF37">
        <v>0.13982800000000001</v>
      </c>
      <c r="FG37">
        <v>1.24996606175713</v>
      </c>
      <c r="FH37">
        <v>1.3897940617571301</v>
      </c>
    </row>
    <row r="38" spans="1:164" x14ac:dyDescent="0.2">
      <c r="A38">
        <v>37</v>
      </c>
      <c r="B38">
        <v>45</v>
      </c>
      <c r="C38">
        <v>81</v>
      </c>
      <c r="D38">
        <v>3</v>
      </c>
      <c r="E38">
        <v>12</v>
      </c>
      <c r="F38" t="s">
        <v>191</v>
      </c>
      <c r="G38" t="s">
        <v>192</v>
      </c>
      <c r="H38">
        <v>3</v>
      </c>
      <c r="I38">
        <v>7</v>
      </c>
      <c r="J38" t="s">
        <v>193</v>
      </c>
      <c r="K38" t="s">
        <v>194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6</v>
      </c>
      <c r="AE38">
        <v>8</v>
      </c>
      <c r="AF38">
        <v>4</v>
      </c>
      <c r="AG38">
        <v>7</v>
      </c>
      <c r="AH38">
        <v>3</v>
      </c>
      <c r="AI38">
        <v>0.107458333333333</v>
      </c>
      <c r="AJ38">
        <v>3.4668899999999998</v>
      </c>
      <c r="AK38">
        <v>0.35708055555555601</v>
      </c>
      <c r="AL38">
        <v>20.649419999999999</v>
      </c>
      <c r="AM38">
        <v>0.25119166666666698</v>
      </c>
      <c r="AN38">
        <v>18.179279999999999</v>
      </c>
      <c r="AO38">
        <v>0.24733333333333299</v>
      </c>
      <c r="AP38">
        <v>15.80578</v>
      </c>
      <c r="AQ38">
        <v>0.270633333333333</v>
      </c>
      <c r="AR38">
        <v>16.133679999999998</v>
      </c>
      <c r="AS38">
        <v>0.235819444444444</v>
      </c>
      <c r="AT38">
        <v>12.63382</v>
      </c>
      <c r="AU38">
        <v>0.135163888888889</v>
      </c>
      <c r="AV38">
        <v>7.0982799999999999</v>
      </c>
      <c r="AW38">
        <v>0.110394444444444</v>
      </c>
      <c r="AX38">
        <v>4.98515</v>
      </c>
      <c r="AY38">
        <v>6.4558333333333301E-2</v>
      </c>
      <c r="AZ38">
        <v>2.06053</v>
      </c>
      <c r="BA38">
        <v>3.4180555555555603E-2</v>
      </c>
      <c r="BB38">
        <v>1.0165299999999999</v>
      </c>
      <c r="BC38">
        <v>9.9272222222222206E-2</v>
      </c>
      <c r="BD38">
        <v>2.84815</v>
      </c>
      <c r="BE38">
        <v>0.179230555555556</v>
      </c>
      <c r="BF38">
        <v>9.9270999999999994</v>
      </c>
      <c r="BG38">
        <v>0.243102777777778</v>
      </c>
      <c r="BH38">
        <v>13.32995</v>
      </c>
      <c r="BI38">
        <v>0.28693055555555602</v>
      </c>
      <c r="BJ38">
        <v>15.30386</v>
      </c>
      <c r="BK38">
        <v>0.35506944444444399</v>
      </c>
      <c r="BL38">
        <v>22.119509999999998</v>
      </c>
      <c r="BM38">
        <v>0.39657500000000001</v>
      </c>
      <c r="BN38">
        <v>24.112189999999998</v>
      </c>
      <c r="BO38">
        <f t="shared" si="0"/>
        <v>3.4180555555555603E-2</v>
      </c>
      <c r="BP38">
        <v>9</v>
      </c>
      <c r="BQ38">
        <v>1.0165299999999999</v>
      </c>
      <c r="BR38">
        <f t="shared" si="1"/>
        <v>0</v>
      </c>
      <c r="BS38">
        <f t="shared" si="2"/>
        <v>3.4180555555555603E-2</v>
      </c>
      <c r="BT38">
        <f t="shared" si="3"/>
        <v>9</v>
      </c>
      <c r="BU38">
        <f t="shared" si="4"/>
        <v>1.0165299999999999</v>
      </c>
      <c r="BV38">
        <f t="shared" si="5"/>
        <v>0</v>
      </c>
      <c r="BW38">
        <f t="shared" si="6"/>
        <v>3.4180555555555603E-2</v>
      </c>
      <c r="BX38">
        <f t="shared" si="32"/>
        <v>9</v>
      </c>
      <c r="BY38">
        <f t="shared" si="33"/>
        <v>1.0165299999999999</v>
      </c>
      <c r="BZ38">
        <f t="shared" si="7"/>
        <v>0</v>
      </c>
      <c r="CA38">
        <f t="shared" si="8"/>
        <v>3.4180555555555603E-2</v>
      </c>
      <c r="CB38">
        <f>IF(CA38=BO38,BP38,IF(CA38=BS38,BT38,IF(CA38=BW38,BX38,0)))</f>
        <v>9</v>
      </c>
      <c r="CC38">
        <f>IF(CA38=BO38,BQ38,IF(CA38=BS38,BU38,IF(CA38=BW38,BY38,0)))</f>
        <v>1.0165299999999999</v>
      </c>
      <c r="CD38">
        <f t="shared" si="9"/>
        <v>0</v>
      </c>
      <c r="CE38">
        <f t="shared" si="10"/>
        <v>3.4180555555555603E-2</v>
      </c>
      <c r="CF38">
        <f>IF(CE38=BO38,BP38,IF(CE38=BS38,BT38,IF(CE38=BW38,BX38,IF(CE38=CA38,CB38,0))))</f>
        <v>9</v>
      </c>
      <c r="CG38">
        <f>IF(CE38=BO38,BQ38,IF(CE38=BS38,BU38,IF(CE38=BW38,BY38,IF(CE38=CA38,CC38,0))))</f>
        <v>1.0165299999999999</v>
      </c>
      <c r="CH38">
        <f t="shared" si="11"/>
        <v>0</v>
      </c>
      <c r="CI38">
        <f t="shared" si="12"/>
        <v>3.4180555555555603E-2</v>
      </c>
      <c r="CJ38">
        <f>IF(CI38=BO38,BP38,IF(CI38=BS38,BT38,IF(CI38=BW38,BX38,IF(CI38=CA38,CB38,IF(CI38=CE38,CF38,0)))))</f>
        <v>9</v>
      </c>
      <c r="CK38">
        <f>IF(CI38=BO38,BQ38,IF(CI38=BS38,BU38,IF(CI38=BW38,BY38,IF(CI38=CA38,CC38,IF(CI38=CE38,CG38,0)))))</f>
        <v>1.0165299999999999</v>
      </c>
      <c r="CL38">
        <f t="shared" si="13"/>
        <v>0</v>
      </c>
      <c r="CM38">
        <f t="shared" si="14"/>
        <v>3.4180555555555603E-2</v>
      </c>
      <c r="CN38">
        <f>IF(CM38=BO38,BP38,IF(CM38=BS38,BT38,IF(CM38=BW38,BX38,IF(CM38=CA38,CB38,IF(CM38=CE38,CF38,IF(CM38=CI38,CJ38,0))))))</f>
        <v>9</v>
      </c>
      <c r="CO38">
        <f>IF(CM38=BO38,BQ38,IF(CM38=BS38,BU38,IF(CM38=BW38,BY38,IF(CM38=CA38,CC38,IF(CM38=CE38,CG38,IF(CM38=CI38,CK38,0))))))</f>
        <v>1.0165299999999999</v>
      </c>
      <c r="CP38">
        <f t="shared" si="15"/>
        <v>0</v>
      </c>
      <c r="CQ38">
        <f t="shared" si="16"/>
        <v>3.4180555555555603E-2</v>
      </c>
      <c r="CR38">
        <f>IF(CQ38=BO38,BP38,IF(CQ38=BS38,BT38,IF(CQ38=BW38,BX38,IF(CQ38=CA38,CB38,IF(CQ38=CE38,CF38,IF(CQ38=CI38,CJ38,IF(CQ38=CM38,CN38,0)))))))</f>
        <v>9</v>
      </c>
      <c r="CS38">
        <f>IF(CQ38=BO38,BQ38,IF(CQ38=BS38,BU38,IF(CQ38=BW38,BY38,IF(CQ38=CA38,CC38,IF(CQ38=CE38,CG38,IF(CQ38=CI38,CK38,IF(CQ38=CM38,CO38,0)))))))</f>
        <v>1.0165299999999999</v>
      </c>
      <c r="CT38">
        <f t="shared" si="17"/>
        <v>0</v>
      </c>
      <c r="CU38">
        <f t="shared" si="18"/>
        <v>6.4558333333333301E-2</v>
      </c>
      <c r="CV38">
        <v>8</v>
      </c>
      <c r="CW38">
        <v>2.06053</v>
      </c>
      <c r="CX38">
        <f t="shared" si="19"/>
        <v>0</v>
      </c>
      <c r="CY38">
        <f t="shared" si="20"/>
        <v>3.4180555555555603E-2</v>
      </c>
      <c r="CZ38">
        <f>IF(CY38=BO38,BP38,IF(CY38=BS38,BT38,IF(CY38=BW38,BX38,IF(CY38=CA38,CB38,IF(CY38=CE38,CF38,IF(CY38=CI38,CJ38,IF(CY38=CM38,CN38,IF(CY38=CQ38,CR38,IF(CY38=CU38,CV38,0)))))))))</f>
        <v>9</v>
      </c>
      <c r="DA38">
        <f>IF(CY38=BO38,BQ38,IF(CY38=BS38,BU38,IF(CY38=BW38,BY38,IF(CY38=CA38,CC38,IF(CY38=CE38,CG38,IF(CY38=CI38,CK38,IF(CY38=CM38,CO38,IF(CY38=CQ38,CS38,IF(CY38=CU38,CW38,0)))))))))</f>
        <v>1.0165299999999999</v>
      </c>
      <c r="DB38">
        <f t="shared" si="21"/>
        <v>0</v>
      </c>
      <c r="DC38">
        <f t="shared" si="22"/>
        <v>3.4180555555555603E-2</v>
      </c>
      <c r="DD38">
        <f>IF(DC38=BO38,BP38,IF(DC38=BS38,BT38,IF(DC38=BW38,BX38,IF(DC38=CA38,CB38,IF(DC38=CE38,CF38,IF(DC38=CI38,CJ38,IF(DC38=CM38,CN38,IF(DC38=CQ38,CR38,IF(DC38=CU38,CV38,IF(DC38=CY38,CZ38,0))))))))))</f>
        <v>9</v>
      </c>
      <c r="DE38">
        <f>IF(DC38=BO38,BQ38,IF(DC38=BS38,BU38,IF(DC38=BW38,BY38,IF(DC38=CA38,CC38,IF(DC38=CE38,CG38,IF(DC38=CI38,CK38,IF(DC38=CM38,CO38,IF(DC38=CQ38,CS38,IF(DC38=CU38,CW38,IF(DC38=CY38,DA38,0))))))))))</f>
        <v>1.0165299999999999</v>
      </c>
      <c r="DF38">
        <f t="shared" si="23"/>
        <v>0</v>
      </c>
      <c r="DG38">
        <f t="shared" si="24"/>
        <v>3.4180555555555603E-2</v>
      </c>
      <c r="DH38">
        <f>IF(DG38=BO38,BP38,IF(DG38=BS38,BT38,IF(DG38=BW38,BX38,IF(DG38=CA38,CB38,IF(DG38=CE38,CF38,IF(DG38=CI38,CJ38,IF(DG38=CM38,CN38,IF(DG38=CQ38,CR38,IF(DG38=CU38,CV38,IF(DG38=CY38,CZ38,IF(DG38=DC38,DD38,0)))))))))))</f>
        <v>9</v>
      </c>
      <c r="DI38">
        <f>IF(DG38=BO38,BQ38,IF(DG38=BS38,BU38,IF(DG38=BW38,BY38,IF(DG38=CA38,CC38,IF(DG38=CE38,CG38,IF(DG38=CI38,CK38,IF(DG38=CM38,CO38,IF(DG38=CQ38,CS38,IF(DG38=CU38,CW38,IF(DG38=CY38,DA38,IF(DG38=DC38,DE38,0)))))))))))</f>
        <v>1.0165299999999999</v>
      </c>
      <c r="DJ38">
        <f t="shared" si="25"/>
        <v>0</v>
      </c>
      <c r="DK38">
        <f t="shared" si="26"/>
        <v>3.4180555555555603E-2</v>
      </c>
      <c r="DL38">
        <f>IF(DK38=BO38,BP38,IF(DK38=BS38,BT38,IF(DK38=BW38,BX38,IF(DK38=CA38,CB38,IF(DK38=CE38,CF38,IF(DK38=CI38,CJ38,IF(DK38=CM38,CN38,IF(DK38=CQ38,CR38,IF(DK38=CU38,CV38,IF(DK38=CY38,CZ38,IF(DK38=DC38,DD38,IF(DK38=DG38,DH38,0))))))))))))</f>
        <v>9</v>
      </c>
      <c r="DM38">
        <f>IF(DK38=BO38,BQ38,IF(DK38=BS38,BU38,IF(DK38=BW38,BY38,IF(DK38=CA38,CC38,IF(DK38=CE38,CG38,IF(DK38=CI38,CK38,IF(DK38=CM38,CO38,IF(DK38=CQ38,CS38,IF(DK38=CU38,CW38,IF(DK38=CY38,DA38,IF(DK38=DC38,DE38,IF(DK38=DG38,DI38,0))))))))))))</f>
        <v>1.0165299999999999</v>
      </c>
      <c r="DN38">
        <f t="shared" si="27"/>
        <v>0</v>
      </c>
      <c r="DO38">
        <f t="shared" si="28"/>
        <v>3.4180555555555603E-2</v>
      </c>
      <c r="DP38">
        <f>IF(DO38=BO38,BP38,IF(DO38=BS38,BT38,IF(DO38=BW38,BX38,IF(DO38=CA38,CB38,IF(DO38=CE38,CF38,IF(DO38=CI38,CJ38,IF(DO38=CM38,CN38,IF(DO38=CQ38,CR38,IF(DO38=CU38,CV38,IF(DO38=CY38,CZ38,IF(DO38=DC38,DD38,IF(DO38=DG38,DH38,IF(DO38=DK38,DL38,0)))))))))))))</f>
        <v>9</v>
      </c>
      <c r="DQ38">
        <f>IF(DO38=BO38,BQ38,IF(DO38=BS38,BU38,IF(DO38=BW38,BY38,IF(DO38=CA38,CC38,IF(DO38=CE38,CG38,IF(DO38=CI38,CK38,IF(DO38=CM38,CO38,IF(DO38=CQ38,CS38,IF(DO38=CU38,CW38,IF(DO38=CY38,DA38,IF(DO38=DC38,DE38,IF(DO38=DG38,DI38,IF(DO38=DK38,DM38,0)))))))))))))</f>
        <v>1.0165299999999999</v>
      </c>
      <c r="DR38">
        <f t="shared" si="29"/>
        <v>0</v>
      </c>
      <c r="DS38">
        <f t="shared" si="30"/>
        <v>3.4180555555555603E-2</v>
      </c>
      <c r="DT38">
        <f>IF(DS38=BO38,BP38,IF(DS38=BS38,BT38,IF(DS38=BW38,BX38,IF(DS38=CA38,CB38,IF(DS38=CE38,CF38,IF(DS38=CI38,CJ38,IF(DS38=CM38,CN38,IF(DS38=CQ38,CR38,IF(DS38=CU38,CV38,IF(DS38=CY38,CZ38,IF(DS38=DC38,DD38,IF(DS38=DG38,DH38,IF(DS38=DK38,DL38,IF(DS38=DO38,DP38,0))))))))))))))</f>
        <v>9</v>
      </c>
      <c r="DU38">
        <f>IF(DS38=BO38,BQ38,IF(DS38=BS38,BU38,IF(DS38=BW38,BY38,IF(DS38=CA38,CC38,IF(DS38=CE38,CG38,IF(DS38=CI38,CK38,IF(DS38=CM38,CO38,IF(DS38=CQ38,CS38,IF(DS38=CU38,CW38,IF(DS38=CY38,DA38,IF(DS38=DC38,DE38,IF(DS38=DG38,DI38,IF(DS38=DK38,DM38,IF(DS38=DO38,DQ38,0))))))))))))))</f>
        <v>1.0165299999999999</v>
      </c>
      <c r="DV38">
        <f t="shared" si="31"/>
        <v>0</v>
      </c>
      <c r="DW38">
        <v>31226.480769230799</v>
      </c>
      <c r="DX38">
        <v>4</v>
      </c>
      <c r="DY38">
        <v>0</v>
      </c>
      <c r="DZ38">
        <v>6</v>
      </c>
      <c r="EA38">
        <v>6</v>
      </c>
      <c r="EB38">
        <v>14.0364762223093</v>
      </c>
      <c r="EC38">
        <v>1.5</v>
      </c>
      <c r="ED38">
        <v>1.9506957</v>
      </c>
      <c r="EE38">
        <v>3.4180555555555603E-2</v>
      </c>
      <c r="EF38">
        <v>1.0165299999999999</v>
      </c>
      <c r="EG38">
        <v>4.6955500775385302</v>
      </c>
      <c r="EH38">
        <v>9</v>
      </c>
      <c r="EI38">
        <v>0</v>
      </c>
      <c r="EJ38">
        <v>0.13214890000000001</v>
      </c>
      <c r="EK38">
        <v>1</v>
      </c>
      <c r="EL38">
        <v>0</v>
      </c>
      <c r="EM38">
        <v>45</v>
      </c>
      <c r="EN38">
        <v>0</v>
      </c>
      <c r="EO38">
        <v>2</v>
      </c>
      <c r="EP38">
        <v>3</v>
      </c>
      <c r="EQ38">
        <v>4</v>
      </c>
      <c r="ER38">
        <v>14.1987814663817</v>
      </c>
      <c r="ES38">
        <v>3.0515547834831902</v>
      </c>
      <c r="ET38">
        <v>5.0022504834831896</v>
      </c>
      <c r="EU38">
        <v>0.97064447746570404</v>
      </c>
      <c r="EV38">
        <v>1.1027933774656999</v>
      </c>
      <c r="EW38">
        <v>0.26786890000000002</v>
      </c>
      <c r="EX38">
        <v>1.83329933366765</v>
      </c>
      <c r="EY38">
        <v>2.10116823366765</v>
      </c>
      <c r="EZ38">
        <v>0.13214890000000001</v>
      </c>
      <c r="FA38">
        <v>0.97064447746570404</v>
      </c>
      <c r="FB38">
        <v>1.1027933774656999</v>
      </c>
      <c r="FC38">
        <v>2.0547513999999998</v>
      </c>
      <c r="FD38">
        <v>7.0236638987034601</v>
      </c>
      <c r="FE38">
        <v>9.0784152987034599</v>
      </c>
      <c r="FF38">
        <v>0.13214890000000001</v>
      </c>
      <c r="FG38">
        <v>0.97064447746570404</v>
      </c>
      <c r="FH38">
        <v>1.1027933774656999</v>
      </c>
    </row>
    <row r="39" spans="1:164" x14ac:dyDescent="0.2">
      <c r="A39">
        <v>38</v>
      </c>
      <c r="B39">
        <v>46</v>
      </c>
      <c r="C39">
        <v>87</v>
      </c>
      <c r="D39">
        <v>3</v>
      </c>
      <c r="E39">
        <v>12</v>
      </c>
      <c r="F39" t="s">
        <v>195</v>
      </c>
      <c r="G39" t="s">
        <v>196</v>
      </c>
      <c r="H39">
        <v>3</v>
      </c>
      <c r="I39">
        <v>3</v>
      </c>
      <c r="K39" t="s">
        <v>117</v>
      </c>
      <c r="L39">
        <v>0</v>
      </c>
      <c r="M39">
        <v>0</v>
      </c>
      <c r="N39">
        <v>0</v>
      </c>
      <c r="O39">
        <v>0</v>
      </c>
      <c r="P39">
        <v>0</v>
      </c>
      <c r="Q39">
        <v>3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4</v>
      </c>
      <c r="AE39">
        <v>8</v>
      </c>
      <c r="AF39">
        <v>4</v>
      </c>
      <c r="AG39">
        <v>5</v>
      </c>
      <c r="AH39">
        <v>5</v>
      </c>
      <c r="AI39">
        <v>0.28987777777777801</v>
      </c>
      <c r="AJ39">
        <v>12.136799999999999</v>
      </c>
      <c r="AK39">
        <v>0.45840277777777799</v>
      </c>
      <c r="AL39">
        <v>23.175879999999999</v>
      </c>
      <c r="AM39">
        <v>0.35251388888888902</v>
      </c>
      <c r="AN39">
        <v>20.705739999999999</v>
      </c>
      <c r="AO39">
        <v>0.348655555555556</v>
      </c>
      <c r="AP39">
        <v>18.332239999999999</v>
      </c>
      <c r="AQ39">
        <v>0.37195555555555598</v>
      </c>
      <c r="AR39">
        <v>18.660139999999998</v>
      </c>
      <c r="AS39">
        <v>0.33714166666666701</v>
      </c>
      <c r="AT39">
        <v>15.160270000000001</v>
      </c>
      <c r="AU39">
        <v>0.22090833333333301</v>
      </c>
      <c r="AV39">
        <v>8.9964999999999993</v>
      </c>
      <c r="AW39">
        <v>0.23708888888888899</v>
      </c>
      <c r="AX39">
        <v>10.373049999999999</v>
      </c>
      <c r="AY39">
        <v>0.22804722222222201</v>
      </c>
      <c r="AZ39">
        <v>10.564590000000001</v>
      </c>
      <c r="BA39">
        <v>0.213038888888889</v>
      </c>
      <c r="BB39">
        <v>9.9816199999999995</v>
      </c>
      <c r="BC39">
        <v>0.29693611111111101</v>
      </c>
      <c r="BD39">
        <v>12.423389999999999</v>
      </c>
      <c r="BE39">
        <v>0.32260555555555598</v>
      </c>
      <c r="BF39">
        <v>17.779039999999998</v>
      </c>
      <c r="BG39">
        <v>0.38647777777777798</v>
      </c>
      <c r="BH39">
        <v>21.181889999999999</v>
      </c>
      <c r="BI39">
        <v>0.430305555555556</v>
      </c>
      <c r="BJ39">
        <v>23.155809999999999</v>
      </c>
      <c r="BK39">
        <v>0.49844444444444402</v>
      </c>
      <c r="BL39">
        <v>29.97146</v>
      </c>
      <c r="BM39">
        <v>0.53995000000000004</v>
      </c>
      <c r="BN39">
        <v>31.96414</v>
      </c>
      <c r="BO39">
        <f t="shared" si="0"/>
        <v>0.213038888888889</v>
      </c>
      <c r="BP39">
        <v>9</v>
      </c>
      <c r="BQ39">
        <v>9.9816199999999995</v>
      </c>
      <c r="BR39">
        <f t="shared" si="1"/>
        <v>0</v>
      </c>
      <c r="BS39">
        <f t="shared" si="2"/>
        <v>0.213038888888889</v>
      </c>
      <c r="BT39">
        <f t="shared" si="3"/>
        <v>9</v>
      </c>
      <c r="BU39">
        <f t="shared" si="4"/>
        <v>9.9816199999999995</v>
      </c>
      <c r="BV39">
        <f t="shared" si="5"/>
        <v>0</v>
      </c>
      <c r="BW39">
        <f t="shared" si="6"/>
        <v>0.213038888888889</v>
      </c>
      <c r="BX39">
        <f t="shared" si="32"/>
        <v>9</v>
      </c>
      <c r="BY39">
        <f t="shared" si="33"/>
        <v>9.9816199999999995</v>
      </c>
      <c r="BZ39">
        <f t="shared" si="7"/>
        <v>0</v>
      </c>
      <c r="CA39">
        <f t="shared" si="8"/>
        <v>0.213038888888889</v>
      </c>
      <c r="CB39">
        <f>IF(CA39=BO39,BP39,IF(CA39=BS39,BT39,IF(CA39=BW39,BX39,0)))</f>
        <v>9</v>
      </c>
      <c r="CC39">
        <f>IF(CA39=BO39,BQ39,IF(CA39=BS39,BU39,IF(CA39=BW39,BY39,0)))</f>
        <v>9.9816199999999995</v>
      </c>
      <c r="CD39">
        <f t="shared" si="9"/>
        <v>0</v>
      </c>
      <c r="CE39">
        <f t="shared" si="10"/>
        <v>0.213038888888889</v>
      </c>
      <c r="CF39">
        <f>IF(CE39=BO39,BP39,IF(CE39=BS39,BT39,IF(CE39=BW39,BX39,IF(CE39=CA39,CB39,0))))</f>
        <v>9</v>
      </c>
      <c r="CG39">
        <f>IF(CE39=BO39,BQ39,IF(CE39=BS39,BU39,IF(CE39=BW39,BY39,IF(CE39=CA39,CC39,0))))</f>
        <v>9.9816199999999995</v>
      </c>
      <c r="CH39">
        <f t="shared" si="11"/>
        <v>0</v>
      </c>
      <c r="CI39">
        <f t="shared" si="12"/>
        <v>0.213038888888889</v>
      </c>
      <c r="CJ39">
        <f>IF(CI39=BO39,BP39,IF(CI39=BS39,BT39,IF(CI39=BW39,BX39,IF(CI39=CA39,CB39,IF(CI39=CE39,CF39,0)))))</f>
        <v>9</v>
      </c>
      <c r="CK39">
        <f>IF(CI39=BO39,BQ39,IF(CI39=BS39,BU39,IF(CI39=BW39,BY39,IF(CI39=CA39,CC39,IF(CI39=CE39,CG39,0)))))</f>
        <v>9.9816199999999995</v>
      </c>
      <c r="CL39">
        <f t="shared" si="13"/>
        <v>0</v>
      </c>
      <c r="CM39">
        <f t="shared" si="14"/>
        <v>0.213038888888889</v>
      </c>
      <c r="CN39">
        <f>IF(CM39=BO39,BP39,IF(CM39=BS39,BT39,IF(CM39=BW39,BX39,IF(CM39=CA39,CB39,IF(CM39=CE39,CF39,IF(CM39=CI39,CJ39,0))))))</f>
        <v>9</v>
      </c>
      <c r="CO39">
        <f>IF(CM39=BO39,BQ39,IF(CM39=BS39,BU39,IF(CM39=BW39,BY39,IF(CM39=CA39,CC39,IF(CM39=CE39,CG39,IF(CM39=CI39,CK39,0))))))</f>
        <v>9.9816199999999995</v>
      </c>
      <c r="CP39">
        <f t="shared" si="15"/>
        <v>0</v>
      </c>
      <c r="CQ39">
        <f t="shared" si="16"/>
        <v>0.213038888888889</v>
      </c>
      <c r="CR39">
        <f>IF(CQ39=BO39,BP39,IF(CQ39=BS39,BT39,IF(CQ39=BW39,BX39,IF(CQ39=CA39,CB39,IF(CQ39=CE39,CF39,IF(CQ39=CI39,CJ39,IF(CQ39=CM39,CN39,0)))))))</f>
        <v>9</v>
      </c>
      <c r="CS39">
        <f>IF(CQ39=BO39,BQ39,IF(CQ39=BS39,BU39,IF(CQ39=BW39,BY39,IF(CQ39=CA39,CC39,IF(CQ39=CE39,CG39,IF(CQ39=CI39,CK39,IF(CQ39=CM39,CO39,0)))))))</f>
        <v>9.9816199999999995</v>
      </c>
      <c r="CT39">
        <f t="shared" si="17"/>
        <v>0</v>
      </c>
      <c r="CU39">
        <f t="shared" si="18"/>
        <v>0.22090833333333301</v>
      </c>
      <c r="CV39">
        <v>6</v>
      </c>
      <c r="CW39">
        <v>8.9964999999999993</v>
      </c>
      <c r="CX39">
        <f t="shared" si="19"/>
        <v>0</v>
      </c>
      <c r="CY39">
        <f t="shared" si="20"/>
        <v>0.213038888888889</v>
      </c>
      <c r="CZ39">
        <f>IF(CY39=BO39,BP39,IF(CY39=BS39,BT39,IF(CY39=BW39,BX39,IF(CY39=CA39,CB39,IF(CY39=CE39,CF39,IF(CY39=CI39,CJ39,IF(CY39=CM39,CN39,IF(CY39=CQ39,CR39,IF(CY39=CU39,CV39,0)))))))))</f>
        <v>9</v>
      </c>
      <c r="DA39">
        <f>IF(CY39=BO39,BQ39,IF(CY39=BS39,BU39,IF(CY39=BW39,BY39,IF(CY39=CA39,CC39,IF(CY39=CE39,CG39,IF(CY39=CI39,CK39,IF(CY39=CM39,CO39,IF(CY39=CQ39,CS39,IF(CY39=CU39,CW39,0)))))))))</f>
        <v>9.9816199999999995</v>
      </c>
      <c r="DB39">
        <f t="shared" si="21"/>
        <v>0</v>
      </c>
      <c r="DC39">
        <f t="shared" si="22"/>
        <v>0.213038888888889</v>
      </c>
      <c r="DD39">
        <f>IF(DC39=BO39,BP39,IF(DC39=BS39,BT39,IF(DC39=BW39,BX39,IF(DC39=CA39,CB39,IF(DC39=CE39,CF39,IF(DC39=CI39,CJ39,IF(DC39=CM39,CN39,IF(DC39=CQ39,CR39,IF(DC39=CU39,CV39,IF(DC39=CY39,CZ39,0))))))))))</f>
        <v>9</v>
      </c>
      <c r="DE39">
        <f>IF(DC39=BO39,BQ39,IF(DC39=BS39,BU39,IF(DC39=BW39,BY39,IF(DC39=CA39,CC39,IF(DC39=CE39,CG39,IF(DC39=CI39,CK39,IF(DC39=CM39,CO39,IF(DC39=CQ39,CS39,IF(DC39=CU39,CW39,IF(DC39=CY39,DA39,0))))))))))</f>
        <v>9.9816199999999995</v>
      </c>
      <c r="DF39">
        <f t="shared" si="23"/>
        <v>0</v>
      </c>
      <c r="DG39">
        <f t="shared" si="24"/>
        <v>0.213038888888889</v>
      </c>
      <c r="DH39">
        <f>IF(DG39=BO39,BP39,IF(DG39=BS39,BT39,IF(DG39=BW39,BX39,IF(DG39=CA39,CB39,IF(DG39=CE39,CF39,IF(DG39=CI39,CJ39,IF(DG39=CM39,CN39,IF(DG39=CQ39,CR39,IF(DG39=CU39,CV39,IF(DG39=CY39,CZ39,IF(DG39=DC39,DD39,0)))))))))))</f>
        <v>9</v>
      </c>
      <c r="DI39">
        <f>IF(DG39=BO39,BQ39,IF(DG39=BS39,BU39,IF(DG39=BW39,BY39,IF(DG39=CA39,CC39,IF(DG39=CE39,CG39,IF(DG39=CI39,CK39,IF(DG39=CM39,CO39,IF(DG39=CQ39,CS39,IF(DG39=CU39,CW39,IF(DG39=CY39,DA39,IF(DG39=DC39,DE39,0)))))))))))</f>
        <v>9.9816199999999995</v>
      </c>
      <c r="DJ39">
        <f t="shared" si="25"/>
        <v>0</v>
      </c>
      <c r="DK39">
        <f t="shared" si="26"/>
        <v>0.213038888888889</v>
      </c>
      <c r="DL39">
        <f>IF(DK39=BO39,BP39,IF(DK39=BS39,BT39,IF(DK39=BW39,BX39,IF(DK39=CA39,CB39,IF(DK39=CE39,CF39,IF(DK39=CI39,CJ39,IF(DK39=CM39,CN39,IF(DK39=CQ39,CR39,IF(DK39=CU39,CV39,IF(DK39=CY39,CZ39,IF(DK39=DC39,DD39,IF(DK39=DG39,DH39,0))))))))))))</f>
        <v>9</v>
      </c>
      <c r="DM39">
        <f>IF(DK39=BO39,BQ39,IF(DK39=BS39,BU39,IF(DK39=BW39,BY39,IF(DK39=CA39,CC39,IF(DK39=CE39,CG39,IF(DK39=CI39,CK39,IF(DK39=CM39,CO39,IF(DK39=CQ39,CS39,IF(DK39=CU39,CW39,IF(DK39=CY39,DA39,IF(DK39=DC39,DE39,IF(DK39=DG39,DI39,0))))))))))))</f>
        <v>9.9816199999999995</v>
      </c>
      <c r="DN39">
        <f t="shared" si="27"/>
        <v>0</v>
      </c>
      <c r="DO39">
        <f t="shared" si="28"/>
        <v>0.213038888888889</v>
      </c>
      <c r="DP39">
        <f>IF(DO39=BO39,BP39,IF(DO39=BS39,BT39,IF(DO39=BW39,BX39,IF(DO39=CA39,CB39,IF(DO39=CE39,CF39,IF(DO39=CI39,CJ39,IF(DO39=CM39,CN39,IF(DO39=CQ39,CR39,IF(DO39=CU39,CV39,IF(DO39=CY39,CZ39,IF(DO39=DC39,DD39,IF(DO39=DG39,DH39,IF(DO39=DK39,DL39,0)))))))))))))</f>
        <v>9</v>
      </c>
      <c r="DQ39">
        <f>IF(DO39=BO39,BQ39,IF(DO39=BS39,BU39,IF(DO39=BW39,BY39,IF(DO39=CA39,CC39,IF(DO39=CE39,CG39,IF(DO39=CI39,CK39,IF(DO39=CM39,CO39,IF(DO39=CQ39,CS39,IF(DO39=CU39,CW39,IF(DO39=CY39,DA39,IF(DO39=DC39,DE39,IF(DO39=DG39,DI39,IF(DO39=DK39,DM39,0)))))))))))))</f>
        <v>9.9816199999999995</v>
      </c>
      <c r="DR39">
        <f t="shared" si="29"/>
        <v>0</v>
      </c>
      <c r="DS39">
        <f t="shared" si="30"/>
        <v>0.213038888888889</v>
      </c>
      <c r="DT39">
        <f>IF(DS39=BO39,BP39,IF(DS39=BS39,BT39,IF(DS39=BW39,BX39,IF(DS39=CA39,CB39,IF(DS39=CE39,CF39,IF(DS39=CI39,CJ39,IF(DS39=CM39,CN39,IF(DS39=CQ39,CR39,IF(DS39=CU39,CV39,IF(DS39=CY39,CZ39,IF(DS39=DC39,DD39,IF(DS39=DG39,DH39,IF(DS39=DK39,DL39,IF(DS39=DO39,DP39,0))))))))))))))</f>
        <v>9</v>
      </c>
      <c r="DU39">
        <f>IF(DS39=BO39,BQ39,IF(DS39=BS39,BU39,IF(DS39=BW39,BY39,IF(DS39=CA39,CC39,IF(DS39=CE39,CG39,IF(DS39=CI39,CK39,IF(DS39=CM39,CO39,IF(DS39=CQ39,CS39,IF(DS39=CU39,CW39,IF(DS39=CY39,DA39,IF(DS39=DC39,DE39,IF(DS39=DG39,DI39,IF(DS39=DK39,DM39,IF(DS39=DO39,DQ39,0))))))))))))))</f>
        <v>9.9816199999999995</v>
      </c>
      <c r="DV39">
        <f t="shared" si="31"/>
        <v>0</v>
      </c>
      <c r="DW39">
        <v>31226.480769230799</v>
      </c>
      <c r="DX39">
        <v>2</v>
      </c>
      <c r="DY39">
        <v>0</v>
      </c>
      <c r="DZ39">
        <v>2</v>
      </c>
      <c r="EA39">
        <v>2</v>
      </c>
      <c r="EB39">
        <v>14.0364762223093</v>
      </c>
      <c r="EC39">
        <v>1</v>
      </c>
      <c r="ED39">
        <v>4.1555679999999997</v>
      </c>
      <c r="EE39">
        <v>0.213038888888889</v>
      </c>
      <c r="EF39">
        <v>9.9816199999999995</v>
      </c>
      <c r="EG39">
        <v>10.3901439130813</v>
      </c>
      <c r="EH39">
        <v>9</v>
      </c>
      <c r="EI39">
        <v>0</v>
      </c>
      <c r="EJ39">
        <v>2.5952212000000001</v>
      </c>
      <c r="EK39">
        <v>1</v>
      </c>
      <c r="EL39">
        <v>0</v>
      </c>
      <c r="EM39">
        <v>36</v>
      </c>
      <c r="EN39">
        <v>1</v>
      </c>
      <c r="EO39">
        <v>4</v>
      </c>
      <c r="EP39">
        <v>5</v>
      </c>
      <c r="EQ39">
        <v>4</v>
      </c>
      <c r="ER39">
        <v>14.1987814663817</v>
      </c>
      <c r="ES39">
        <v>8.2318224372540403</v>
      </c>
      <c r="ET39">
        <v>12.387390437254</v>
      </c>
      <c r="EU39">
        <v>6.04978525434821</v>
      </c>
      <c r="EV39">
        <v>8.6450064543482092</v>
      </c>
      <c r="EW39">
        <v>2.7467934000000001</v>
      </c>
      <c r="EX39">
        <v>6.4759853446974196</v>
      </c>
      <c r="EY39">
        <v>9.2227787446974201</v>
      </c>
      <c r="EZ39">
        <v>2.5952212000000001</v>
      </c>
      <c r="FA39">
        <v>6.04978525434821</v>
      </c>
      <c r="FB39">
        <v>8.6450064543482092</v>
      </c>
      <c r="FC39">
        <v>4.7663824000000004</v>
      </c>
      <c r="FD39">
        <v>9.9009680807464697</v>
      </c>
      <c r="FE39">
        <v>14.667350480746499</v>
      </c>
      <c r="FF39">
        <v>2.5952212000000001</v>
      </c>
      <c r="FG39">
        <v>6.04978525434821</v>
      </c>
      <c r="FH39">
        <v>8.6450064543482092</v>
      </c>
    </row>
    <row r="40" spans="1:164" x14ac:dyDescent="0.2">
      <c r="A40">
        <v>39</v>
      </c>
      <c r="B40">
        <v>47</v>
      </c>
      <c r="C40">
        <v>88</v>
      </c>
      <c r="D40">
        <v>1</v>
      </c>
      <c r="E40">
        <v>11</v>
      </c>
      <c r="F40" t="s">
        <v>197</v>
      </c>
      <c r="G40" t="s">
        <v>198</v>
      </c>
      <c r="H40">
        <v>3</v>
      </c>
      <c r="I40">
        <v>4</v>
      </c>
      <c r="K40" t="s">
        <v>199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2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0</v>
      </c>
      <c r="AE40">
        <v>6</v>
      </c>
      <c r="AF40">
        <v>3</v>
      </c>
      <c r="AG40">
        <v>7</v>
      </c>
      <c r="AH40">
        <v>5</v>
      </c>
      <c r="AI40">
        <v>0.30834722222222199</v>
      </c>
      <c r="AJ40">
        <v>12.45078</v>
      </c>
      <c r="AK40">
        <v>0.46712500000000001</v>
      </c>
      <c r="AL40">
        <v>22.708690000000001</v>
      </c>
      <c r="AM40">
        <v>0.36123333333333302</v>
      </c>
      <c r="AN40">
        <v>20.23855</v>
      </c>
      <c r="AO40">
        <v>0.35737777777777802</v>
      </c>
      <c r="AP40">
        <v>17.86505</v>
      </c>
      <c r="AQ40">
        <v>0.380677777777778</v>
      </c>
      <c r="AR40">
        <v>18.19295</v>
      </c>
      <c r="AS40">
        <v>0.34586388888888903</v>
      </c>
      <c r="AT40">
        <v>14.69308</v>
      </c>
      <c r="AU40">
        <v>0.22962777777777801</v>
      </c>
      <c r="AV40">
        <v>8.5293100000000006</v>
      </c>
      <c r="AW40">
        <v>0.24580833333333299</v>
      </c>
      <c r="AX40">
        <v>9.9058600000000006</v>
      </c>
      <c r="AY40">
        <v>0.24651666666666699</v>
      </c>
      <c r="AZ40">
        <v>10.878579999999999</v>
      </c>
      <c r="BA40">
        <v>0.23150555555555599</v>
      </c>
      <c r="BB40">
        <v>10.2956</v>
      </c>
      <c r="BC40">
        <v>0.31540555555555599</v>
      </c>
      <c r="BD40">
        <v>12.73737</v>
      </c>
      <c r="BE40">
        <v>0.341072222222222</v>
      </c>
      <c r="BF40">
        <v>18.093029999999999</v>
      </c>
      <c r="BG40">
        <v>0.40494722222222201</v>
      </c>
      <c r="BH40">
        <v>21.49588</v>
      </c>
      <c r="BI40">
        <v>0.44877499999999998</v>
      </c>
      <c r="BJ40">
        <v>23.46979</v>
      </c>
      <c r="BK40">
        <v>0.51691388888888901</v>
      </c>
      <c r="BL40">
        <v>30.285440000000001</v>
      </c>
      <c r="BM40">
        <v>0.55841666666666701</v>
      </c>
      <c r="BN40">
        <v>32.278120000000001</v>
      </c>
      <c r="BO40">
        <f t="shared" si="0"/>
        <v>0.22962777777777801</v>
      </c>
      <c r="BP40">
        <v>6</v>
      </c>
      <c r="BQ40">
        <v>8.5293100000000006</v>
      </c>
      <c r="BR40">
        <f t="shared" si="1"/>
        <v>0</v>
      </c>
      <c r="BS40">
        <f t="shared" si="2"/>
        <v>0.22962777777777801</v>
      </c>
      <c r="BT40">
        <f t="shared" si="3"/>
        <v>6</v>
      </c>
      <c r="BU40">
        <f t="shared" si="4"/>
        <v>8.5293100000000006</v>
      </c>
      <c r="BV40">
        <f t="shared" si="5"/>
        <v>0</v>
      </c>
      <c r="BW40">
        <f t="shared" si="6"/>
        <v>0.22962777777777801</v>
      </c>
      <c r="BX40">
        <f t="shared" si="32"/>
        <v>6</v>
      </c>
      <c r="BY40">
        <f t="shared" si="33"/>
        <v>8.5293100000000006</v>
      </c>
      <c r="BZ40">
        <f t="shared" si="7"/>
        <v>0</v>
      </c>
      <c r="CA40">
        <f t="shared" si="8"/>
        <v>0.22962777777777801</v>
      </c>
      <c r="CB40">
        <f>IF(CA40=BO40,BP40,IF(CA40=BS40,BT40,IF(CA40=BW40,BX40,0)))</f>
        <v>6</v>
      </c>
      <c r="CC40">
        <f>IF(CA40=BO40,BQ40,IF(CA40=BS40,BU40,IF(CA40=BW40,BY40,0)))</f>
        <v>8.5293100000000006</v>
      </c>
      <c r="CD40">
        <f t="shared" si="9"/>
        <v>0</v>
      </c>
      <c r="CE40">
        <f t="shared" si="10"/>
        <v>0.22962777777777801</v>
      </c>
      <c r="CF40">
        <f>IF(CE40=BO40,BP40,IF(CE40=BS40,BT40,IF(CE40=BW40,BX40,IF(CE40=CA40,CB40,0))))</f>
        <v>6</v>
      </c>
      <c r="CG40">
        <f>IF(CE40=BO40,BQ40,IF(CE40=BS40,BU40,IF(CE40=BW40,BY40,IF(CE40=CA40,CC40,0))))</f>
        <v>8.5293100000000006</v>
      </c>
      <c r="CH40">
        <f t="shared" si="11"/>
        <v>0</v>
      </c>
      <c r="CI40">
        <f t="shared" si="12"/>
        <v>0.23150555555555599</v>
      </c>
      <c r="CJ40">
        <v>9</v>
      </c>
      <c r="CK40">
        <v>10.2956</v>
      </c>
      <c r="CL40">
        <f t="shared" si="13"/>
        <v>0</v>
      </c>
      <c r="CM40">
        <f t="shared" si="14"/>
        <v>0.22962777777777801</v>
      </c>
      <c r="CN40">
        <f>IF(CM40=BO40,BP40,IF(CM40=BS40,BT40,IF(CM40=BW40,BX40,IF(CM40=CA40,CB40,IF(CM40=CE40,CF40,IF(CM40=CI40,CJ40,0))))))</f>
        <v>6</v>
      </c>
      <c r="CO40">
        <f>IF(CM40=BO40,BQ40,IF(CM40=BS40,BU40,IF(CM40=BW40,BY40,IF(CM40=CA40,CC40,IF(CM40=CE40,CG40,IF(CM40=CI40,CK40,0))))))</f>
        <v>8.5293100000000006</v>
      </c>
      <c r="CP40">
        <f t="shared" si="15"/>
        <v>0</v>
      </c>
      <c r="CQ40">
        <f t="shared" si="16"/>
        <v>0.22962777777777801</v>
      </c>
      <c r="CR40">
        <f>IF(CQ40=BO40,BP40,IF(CQ40=BS40,BT40,IF(CQ40=BW40,BX40,IF(CQ40=CA40,CB40,IF(CQ40=CE40,CF40,IF(CQ40=CI40,CJ40,IF(CQ40=CM40,CN40,0)))))))</f>
        <v>6</v>
      </c>
      <c r="CS40">
        <f>IF(CQ40=BO40,BQ40,IF(CQ40=BS40,BU40,IF(CQ40=BW40,BY40,IF(CQ40=CA40,CC40,IF(CQ40=CE40,CG40,IF(CQ40=CI40,CK40,IF(CQ40=CM40,CO40,0)))))))</f>
        <v>8.5293100000000006</v>
      </c>
      <c r="CT40">
        <f t="shared" si="17"/>
        <v>0</v>
      </c>
      <c r="CU40">
        <f t="shared" si="18"/>
        <v>0.22962777777777801</v>
      </c>
      <c r="CV40">
        <f>IF(CU40=BO40,BP40,IF(CU40=BS40,BT40,IF(CU40=BW40,BX40,IF(CU40=CA40,CB40,IF(CU40=CE40,CF40,IF(CU40=CI40,CJ40,IF(CU40=CM40,CN40,IF(CU40=CQ40,CR40,0))))))))</f>
        <v>6</v>
      </c>
      <c r="CW40">
        <f>IF(CU40=BO40,BQ40,IF(CU40=BS40,BU40,IF(CU40=BW40,BY40,IF(CU40=CA40,CC40,IF(CU40=CE40,CG40,IF(CU40=CI40,CK40,IF(CU40=CM40,CO40,IF(CU40=CQ40,CS40,0))))))))</f>
        <v>8.5293100000000006</v>
      </c>
      <c r="CX40">
        <f t="shared" si="19"/>
        <v>0</v>
      </c>
      <c r="CY40">
        <f t="shared" si="20"/>
        <v>0.22962777777777801</v>
      </c>
      <c r="CZ40">
        <f>IF(CY40=BO40,BP40,IF(CY40=BS40,BT40,IF(CY40=BW40,BX40,IF(CY40=CA40,CB40,IF(CY40=CE40,CF40,IF(CY40=CI40,CJ40,IF(CY40=CM40,CN40,IF(CY40=CQ40,CR40,IF(CY40=CU40,CV40,0)))))))))</f>
        <v>6</v>
      </c>
      <c r="DA40">
        <f>IF(CY40=BO40,BQ40,IF(CY40=BS40,BU40,IF(CY40=BW40,BY40,IF(CY40=CA40,CC40,IF(CY40=CE40,CG40,IF(CY40=CI40,CK40,IF(CY40=CM40,CO40,IF(CY40=CQ40,CS40,IF(CY40=CU40,CW40,0)))))))))</f>
        <v>8.5293100000000006</v>
      </c>
      <c r="DB40">
        <f t="shared" si="21"/>
        <v>0</v>
      </c>
      <c r="DC40">
        <f t="shared" si="22"/>
        <v>0.22962777777777801</v>
      </c>
      <c r="DD40">
        <f>IF(DC40=BO40,BP40,IF(DC40=BS40,BT40,IF(DC40=BW40,BX40,IF(DC40=CA40,CB40,IF(DC40=CE40,CF40,IF(DC40=CI40,CJ40,IF(DC40=CM40,CN40,IF(DC40=CQ40,CR40,IF(DC40=CU40,CV40,IF(DC40=CY40,CZ40,0))))))))))</f>
        <v>6</v>
      </c>
      <c r="DE40">
        <f>IF(DC40=BO40,BQ40,IF(DC40=BS40,BU40,IF(DC40=BW40,BY40,IF(DC40=CA40,CC40,IF(DC40=CE40,CG40,IF(DC40=CI40,CK40,IF(DC40=CM40,CO40,IF(DC40=CQ40,CS40,IF(DC40=CU40,CW40,IF(DC40=CY40,DA40,0))))))))))</f>
        <v>8.5293100000000006</v>
      </c>
      <c r="DF40">
        <f t="shared" si="23"/>
        <v>0</v>
      </c>
      <c r="DG40">
        <f t="shared" si="24"/>
        <v>0.22962777777777801</v>
      </c>
      <c r="DH40">
        <f>IF(DG40=BO40,BP40,IF(DG40=BS40,BT40,IF(DG40=BW40,BX40,IF(DG40=CA40,CB40,IF(DG40=CE40,CF40,IF(DG40=CI40,CJ40,IF(DG40=CM40,CN40,IF(DG40=CQ40,CR40,IF(DG40=CU40,CV40,IF(DG40=CY40,CZ40,IF(DG40=DC40,DD40,0)))))))))))</f>
        <v>6</v>
      </c>
      <c r="DI40">
        <f>IF(DG40=BO40,BQ40,IF(DG40=BS40,BU40,IF(DG40=BW40,BY40,IF(DG40=CA40,CC40,IF(DG40=CE40,CG40,IF(DG40=CI40,CK40,IF(DG40=CM40,CO40,IF(DG40=CQ40,CS40,IF(DG40=CU40,CW40,IF(DG40=CY40,DA40,IF(DG40=DC40,DE40,0)))))))))))</f>
        <v>8.5293100000000006</v>
      </c>
      <c r="DJ40">
        <f t="shared" si="25"/>
        <v>0</v>
      </c>
      <c r="DK40">
        <f t="shared" si="26"/>
        <v>0.22962777777777801</v>
      </c>
      <c r="DL40">
        <f>IF(DK40=BO40,BP40,IF(DK40=BS40,BT40,IF(DK40=BW40,BX40,IF(DK40=CA40,CB40,IF(DK40=CE40,CF40,IF(DK40=CI40,CJ40,IF(DK40=CM40,CN40,IF(DK40=CQ40,CR40,IF(DK40=CU40,CV40,IF(DK40=CY40,CZ40,IF(DK40=DC40,DD40,IF(DK40=DG40,DH40,0))))))))))))</f>
        <v>6</v>
      </c>
      <c r="DM40">
        <f>IF(DK40=BO40,BQ40,IF(DK40=BS40,BU40,IF(DK40=BW40,BY40,IF(DK40=CA40,CC40,IF(DK40=CE40,CG40,IF(DK40=CI40,CK40,IF(DK40=CM40,CO40,IF(DK40=CQ40,CS40,IF(DK40=CU40,CW40,IF(DK40=CY40,DA40,IF(DK40=DC40,DE40,IF(DK40=DG40,DI40,0))))))))))))</f>
        <v>8.5293100000000006</v>
      </c>
      <c r="DN40">
        <f t="shared" si="27"/>
        <v>0</v>
      </c>
      <c r="DO40">
        <f t="shared" si="28"/>
        <v>0.22962777777777801</v>
      </c>
      <c r="DP40">
        <f>IF(DO40=BO40,BP40,IF(DO40=BS40,BT40,IF(DO40=BW40,BX40,IF(DO40=CA40,CB40,IF(DO40=CE40,CF40,IF(DO40=CI40,CJ40,IF(DO40=CM40,CN40,IF(DO40=CQ40,CR40,IF(DO40=CU40,CV40,IF(DO40=CY40,CZ40,IF(DO40=DC40,DD40,IF(DO40=DG40,DH40,IF(DO40=DK40,DL40,0)))))))))))))</f>
        <v>6</v>
      </c>
      <c r="DQ40">
        <f>IF(DO40=BO40,BQ40,IF(DO40=BS40,BU40,IF(DO40=BW40,BY40,IF(DO40=CA40,CC40,IF(DO40=CE40,CG40,IF(DO40=CI40,CK40,IF(DO40=CM40,CO40,IF(DO40=CQ40,CS40,IF(DO40=CU40,CW40,IF(DO40=CY40,DA40,IF(DO40=DC40,DE40,IF(DO40=DG40,DI40,IF(DO40=DK40,DM40,0)))))))))))))</f>
        <v>8.5293100000000006</v>
      </c>
      <c r="DR40">
        <f t="shared" si="29"/>
        <v>0</v>
      </c>
      <c r="DS40">
        <f t="shared" si="30"/>
        <v>0.22962777777777801</v>
      </c>
      <c r="DT40">
        <f>IF(DS40=BO40,BP40,IF(DS40=BS40,BT40,IF(DS40=BW40,BX40,IF(DS40=CA40,CB40,IF(DS40=CE40,CF40,IF(DS40=CI40,CJ40,IF(DS40=CM40,CN40,IF(DS40=CQ40,CR40,IF(DS40=CU40,CV40,IF(DS40=CY40,CZ40,IF(DS40=DC40,DD40,IF(DS40=DG40,DH40,IF(DS40=DK40,DL40,IF(DS40=DO40,DP40,0))))))))))))))</f>
        <v>6</v>
      </c>
      <c r="DU40">
        <f>IF(DS40=BO40,BQ40,IF(DS40=BS40,BU40,IF(DS40=BW40,BY40,IF(DS40=CA40,CC40,IF(DS40=CE40,CG40,IF(DS40=CI40,CK40,IF(DS40=CM40,CO40,IF(DS40=CQ40,CS40,IF(DS40=CU40,CW40,IF(DS40=CY40,DA40,IF(DS40=DC40,DE40,IF(DS40=DG40,DI40,IF(DS40=DK40,DM40,IF(DS40=DO40,DQ40,0))))))))))))))</f>
        <v>8.5293100000000006</v>
      </c>
      <c r="DV40">
        <f t="shared" si="31"/>
        <v>0</v>
      </c>
      <c r="DW40">
        <v>31226.480769230799</v>
      </c>
      <c r="DX40">
        <v>3</v>
      </c>
      <c r="DY40">
        <v>25</v>
      </c>
      <c r="DZ40">
        <v>4</v>
      </c>
      <c r="EA40">
        <v>4</v>
      </c>
      <c r="EB40">
        <v>14.0364762223093</v>
      </c>
      <c r="EC40">
        <v>1.3333333333333299</v>
      </c>
      <c r="ED40">
        <v>3.4914685333333302</v>
      </c>
      <c r="EE40">
        <v>0.22962777777777801</v>
      </c>
      <c r="EF40">
        <v>8.5293100000000006</v>
      </c>
      <c r="EG40">
        <v>10.846096252392901</v>
      </c>
      <c r="EH40">
        <v>6</v>
      </c>
      <c r="EI40">
        <v>0</v>
      </c>
      <c r="EJ40">
        <v>1.47841373333333</v>
      </c>
      <c r="EK40">
        <v>1</v>
      </c>
      <c r="EL40">
        <v>1</v>
      </c>
      <c r="EM40">
        <v>22</v>
      </c>
      <c r="EN40">
        <v>1</v>
      </c>
      <c r="EO40">
        <v>2</v>
      </c>
      <c r="EP40">
        <v>5</v>
      </c>
      <c r="EQ40">
        <v>3</v>
      </c>
      <c r="ER40">
        <v>14.1987814663817</v>
      </c>
      <c r="ES40">
        <v>8.7563096481983198</v>
      </c>
      <c r="ET40">
        <v>12.2477781815317</v>
      </c>
      <c r="EU40">
        <v>6.5208692705550497</v>
      </c>
      <c r="EV40">
        <v>7.9992830038883804</v>
      </c>
      <c r="EW40">
        <v>1.88562053333333</v>
      </c>
      <c r="EX40">
        <v>7.0004725556417204</v>
      </c>
      <c r="EY40">
        <v>8.8860930889750591</v>
      </c>
      <c r="EZ40">
        <v>1.47841373333333</v>
      </c>
      <c r="FA40">
        <v>6.5208692705550497</v>
      </c>
      <c r="FB40">
        <v>7.9992830038883804</v>
      </c>
      <c r="FC40">
        <v>3.0966086666666701</v>
      </c>
      <c r="FD40">
        <v>10.148657935215599</v>
      </c>
      <c r="FE40">
        <v>13.2452666018822</v>
      </c>
      <c r="FF40">
        <v>1.47841373333333</v>
      </c>
      <c r="FG40">
        <v>6.5208692705550497</v>
      </c>
      <c r="FH40">
        <v>7.9992830038883804</v>
      </c>
    </row>
    <row r="41" spans="1:164" x14ac:dyDescent="0.2">
      <c r="A41">
        <v>40</v>
      </c>
      <c r="B41">
        <v>48</v>
      </c>
      <c r="C41">
        <v>89</v>
      </c>
      <c r="D41">
        <v>3</v>
      </c>
      <c r="E41">
        <v>12</v>
      </c>
      <c r="F41" t="s">
        <v>146</v>
      </c>
      <c r="G41" t="s">
        <v>200</v>
      </c>
      <c r="H41">
        <v>3</v>
      </c>
      <c r="I41">
        <v>1</v>
      </c>
      <c r="K41" t="s">
        <v>175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4</v>
      </c>
      <c r="AE41">
        <v>6</v>
      </c>
      <c r="AF41">
        <v>3</v>
      </c>
      <c r="AG41">
        <v>7</v>
      </c>
      <c r="AH41">
        <v>1</v>
      </c>
      <c r="AI41">
        <v>0.100186111111111</v>
      </c>
      <c r="AJ41">
        <v>1.81796</v>
      </c>
      <c r="AK41">
        <v>0.39201111111111098</v>
      </c>
      <c r="AL41">
        <v>23.15277</v>
      </c>
      <c r="AM41">
        <v>0.286122222222222</v>
      </c>
      <c r="AN41">
        <v>20.68262</v>
      </c>
      <c r="AO41">
        <v>0.28226388888888898</v>
      </c>
      <c r="AP41">
        <v>18.30913</v>
      </c>
      <c r="AQ41">
        <v>0.30556388888888902</v>
      </c>
      <c r="AR41">
        <v>18.63702</v>
      </c>
      <c r="AS41">
        <v>0.27074999999999999</v>
      </c>
      <c r="AT41">
        <v>15.13716</v>
      </c>
      <c r="AU41">
        <v>0.17009444444444399</v>
      </c>
      <c r="AV41">
        <v>9.6016200000000005</v>
      </c>
      <c r="AW41">
        <v>0.14537222222222199</v>
      </c>
      <c r="AX41">
        <v>7.5754400000000004</v>
      </c>
      <c r="AY41">
        <v>0.115452777777778</v>
      </c>
      <c r="AZ41">
        <v>4.3986200000000002</v>
      </c>
      <c r="BA41">
        <v>0.100444444444444</v>
      </c>
      <c r="BB41">
        <v>3.8156400000000001</v>
      </c>
      <c r="BC41">
        <v>3.9919444444444403E-2</v>
      </c>
      <c r="BD41">
        <v>0.60690999999999995</v>
      </c>
      <c r="BE41">
        <v>0.17330833333333301</v>
      </c>
      <c r="BF41">
        <v>8.8085000000000004</v>
      </c>
      <c r="BG41">
        <v>0.237183333333333</v>
      </c>
      <c r="BH41">
        <v>12.211349999999999</v>
      </c>
      <c r="BI41">
        <v>0.28100833333333303</v>
      </c>
      <c r="BJ41">
        <v>14.185269999999999</v>
      </c>
      <c r="BK41">
        <v>0.34915000000000002</v>
      </c>
      <c r="BL41">
        <v>21.000920000000001</v>
      </c>
      <c r="BM41">
        <v>0.39065277777777802</v>
      </c>
      <c r="BN41">
        <v>22.993600000000001</v>
      </c>
      <c r="BO41">
        <f t="shared" si="0"/>
        <v>3.9919444444444403E-2</v>
      </c>
      <c r="BP41">
        <v>10</v>
      </c>
      <c r="BQ41">
        <v>0.60690999999999995</v>
      </c>
      <c r="BR41">
        <f t="shared" si="1"/>
        <v>0</v>
      </c>
      <c r="BS41">
        <f t="shared" si="2"/>
        <v>3.9919444444444403E-2</v>
      </c>
      <c r="BT41">
        <f t="shared" si="3"/>
        <v>10</v>
      </c>
      <c r="BU41">
        <f t="shared" si="4"/>
        <v>0.60690999999999995</v>
      </c>
      <c r="BV41">
        <f t="shared" si="5"/>
        <v>0</v>
      </c>
      <c r="BW41">
        <f t="shared" si="6"/>
        <v>3.9919444444444403E-2</v>
      </c>
      <c r="BX41">
        <f t="shared" si="32"/>
        <v>10</v>
      </c>
      <c r="BY41">
        <f t="shared" si="33"/>
        <v>0.60690999999999995</v>
      </c>
      <c r="BZ41">
        <f t="shared" si="7"/>
        <v>0</v>
      </c>
      <c r="CA41">
        <f t="shared" si="8"/>
        <v>3.9919444444444403E-2</v>
      </c>
      <c r="CB41">
        <f>IF(CA41=BO41,BP41,IF(CA41=BS41,BT41,IF(CA41=BW41,BX41,0)))</f>
        <v>10</v>
      </c>
      <c r="CC41">
        <f>IF(CA41=BO41,BQ41,IF(CA41=BS41,BU41,IF(CA41=BW41,BY41,0)))</f>
        <v>0.60690999999999995</v>
      </c>
      <c r="CD41">
        <f t="shared" si="9"/>
        <v>0</v>
      </c>
      <c r="CE41">
        <f t="shared" si="10"/>
        <v>3.9919444444444403E-2</v>
      </c>
      <c r="CF41">
        <f>IF(CE41=BO41,BP41,IF(CE41=BS41,BT41,IF(CE41=BW41,BX41,IF(CE41=CA41,CB41,0))))</f>
        <v>10</v>
      </c>
      <c r="CG41">
        <f>IF(CE41=BO41,BQ41,IF(CE41=BS41,BU41,IF(CE41=BW41,BY41,IF(CE41=CA41,CC41,0))))</f>
        <v>0.60690999999999995</v>
      </c>
      <c r="CH41">
        <f t="shared" si="11"/>
        <v>0</v>
      </c>
      <c r="CI41">
        <f t="shared" si="12"/>
        <v>3.9919444444444403E-2</v>
      </c>
      <c r="CJ41">
        <f>IF(CI41=BO41,BP41,IF(CI41=BS41,BT41,IF(CI41=BW41,BX41,IF(CI41=CA41,CB41,IF(CI41=CE41,CF41,0)))))</f>
        <v>10</v>
      </c>
      <c r="CK41">
        <f>IF(CI41=BO41,BQ41,IF(CI41=BS41,BU41,IF(CI41=BW41,BY41,IF(CI41=CA41,CC41,IF(CI41=CE41,CG41,0)))))</f>
        <v>0.60690999999999995</v>
      </c>
      <c r="CL41">
        <f t="shared" si="13"/>
        <v>0</v>
      </c>
      <c r="CM41">
        <f t="shared" si="14"/>
        <v>3.9919444444444403E-2</v>
      </c>
      <c r="CN41">
        <f>IF(CM41=BO41,BP41,IF(CM41=BS41,BT41,IF(CM41=BW41,BX41,IF(CM41=CA41,CB41,IF(CM41=CE41,CF41,IF(CM41=CI41,CJ41,0))))))</f>
        <v>10</v>
      </c>
      <c r="CO41">
        <f>IF(CM41=BO41,BQ41,IF(CM41=BS41,BU41,IF(CM41=BW41,BY41,IF(CM41=CA41,CC41,IF(CM41=CE41,CG41,IF(CM41=CI41,CK41,0))))))</f>
        <v>0.60690999999999995</v>
      </c>
      <c r="CP41">
        <f t="shared" si="15"/>
        <v>0</v>
      </c>
      <c r="CQ41">
        <f t="shared" si="16"/>
        <v>3.9919444444444403E-2</v>
      </c>
      <c r="CR41">
        <f>IF(CQ41=BO41,BP41,IF(CQ41=BS41,BT41,IF(CQ41=BW41,BX41,IF(CQ41=CA41,CB41,IF(CQ41=CE41,CF41,IF(CQ41=CI41,CJ41,IF(CQ41=CM41,CN41,0)))))))</f>
        <v>10</v>
      </c>
      <c r="CS41">
        <f>IF(CQ41=BO41,BQ41,IF(CQ41=BS41,BU41,IF(CQ41=BW41,BY41,IF(CQ41=CA41,CC41,IF(CQ41=CE41,CG41,IF(CQ41=CI41,CK41,IF(CQ41=CM41,CO41,0)))))))</f>
        <v>0.60690999999999995</v>
      </c>
      <c r="CT41">
        <f t="shared" si="17"/>
        <v>0</v>
      </c>
      <c r="CU41">
        <f t="shared" si="18"/>
        <v>3.9919444444444403E-2</v>
      </c>
      <c r="CV41">
        <f>IF(CU41=BO41,BP41,IF(CU41=BS41,BT41,IF(CU41=BW41,BX41,IF(CU41=CA41,CB41,IF(CU41=CE41,CF41,IF(CU41=CI41,CJ41,IF(CU41=CM41,CN41,IF(CU41=CQ41,CR41,0))))))))</f>
        <v>10</v>
      </c>
      <c r="CW41">
        <f>IF(CU41=BO41,BQ41,IF(CU41=BS41,BU41,IF(CU41=BW41,BY41,IF(CU41=CA41,CC41,IF(CU41=CE41,CG41,IF(CU41=CI41,CK41,IF(CU41=CM41,CO41,IF(CU41=CQ41,CS41,0))))))))</f>
        <v>0.60690999999999995</v>
      </c>
      <c r="CX41">
        <f t="shared" si="19"/>
        <v>0</v>
      </c>
      <c r="CY41">
        <f t="shared" si="20"/>
        <v>0.100186111111111</v>
      </c>
      <c r="CZ41" t="s">
        <v>407</v>
      </c>
      <c r="DA41">
        <v>1.81796</v>
      </c>
      <c r="DB41">
        <v>4</v>
      </c>
      <c r="DC41">
        <f t="shared" si="22"/>
        <v>3.9919444444444403E-2</v>
      </c>
      <c r="DD41">
        <f>IF(DC41=BO41,BP41,IF(DC41=BS41,BT41,IF(DC41=BW41,BX41,IF(DC41=CA41,CB41,IF(DC41=CE41,CF41,IF(DC41=CI41,CJ41,IF(DC41=CM41,CN41,IF(DC41=CQ41,CR41,IF(DC41=CU41,CV41,IF(DC41=CY41,CZ41,0))))))))))</f>
        <v>10</v>
      </c>
      <c r="DE41">
        <f>IF(DC41=BO41,BQ41,IF(DC41=BS41,BU41,IF(DC41=BW41,BY41,IF(DC41=CA41,CC41,IF(DC41=CE41,CG41,IF(DC41=CI41,CK41,IF(DC41=CM41,CO41,IF(DC41=CQ41,CS41,IF(DC41=CU41,CW41,IF(DC41=CY41,DA41,0))))))))))</f>
        <v>0.60690999999999995</v>
      </c>
      <c r="DF41">
        <f t="shared" si="23"/>
        <v>0</v>
      </c>
      <c r="DG41">
        <f t="shared" si="24"/>
        <v>3.9919444444444403E-2</v>
      </c>
      <c r="DH41">
        <f>IF(DG41=BO41,BP41,IF(DG41=BS41,BT41,IF(DG41=BW41,BX41,IF(DG41=CA41,CB41,IF(DG41=CE41,CF41,IF(DG41=CI41,CJ41,IF(DG41=CM41,CN41,IF(DG41=CQ41,CR41,IF(DG41=CU41,CV41,IF(DG41=CY41,CZ41,IF(DG41=DC41,DD41,0)))))))))))</f>
        <v>10</v>
      </c>
      <c r="DI41">
        <f>IF(DG41=BO41,BQ41,IF(DG41=BS41,BU41,IF(DG41=BW41,BY41,IF(DG41=CA41,CC41,IF(DG41=CE41,CG41,IF(DG41=CI41,CK41,IF(DG41=CM41,CO41,IF(DG41=CQ41,CS41,IF(DG41=CU41,CW41,IF(DG41=CY41,DA41,IF(DG41=DC41,DE41,0)))))))))))</f>
        <v>0.60690999999999995</v>
      </c>
      <c r="DJ41">
        <f t="shared" si="25"/>
        <v>0</v>
      </c>
      <c r="DK41">
        <f t="shared" si="26"/>
        <v>3.9919444444444403E-2</v>
      </c>
      <c r="DL41">
        <f>IF(DK41=BO41,BP41,IF(DK41=BS41,BT41,IF(DK41=BW41,BX41,IF(DK41=CA41,CB41,IF(DK41=CE41,CF41,IF(DK41=CI41,CJ41,IF(DK41=CM41,CN41,IF(DK41=CQ41,CR41,IF(DK41=CU41,CV41,IF(DK41=CY41,CZ41,IF(DK41=DC41,DD41,IF(DK41=DG41,DH41,0))))))))))))</f>
        <v>10</v>
      </c>
      <c r="DM41">
        <f>IF(DK41=BO41,BQ41,IF(DK41=BS41,BU41,IF(DK41=BW41,BY41,IF(DK41=CA41,CC41,IF(DK41=CE41,CG41,IF(DK41=CI41,CK41,IF(DK41=CM41,CO41,IF(DK41=CQ41,CS41,IF(DK41=CU41,CW41,IF(DK41=CY41,DA41,IF(DK41=DC41,DE41,IF(DK41=DG41,DI41,0))))))))))))</f>
        <v>0.60690999999999995</v>
      </c>
      <c r="DN41">
        <f t="shared" si="27"/>
        <v>0</v>
      </c>
      <c r="DO41">
        <f t="shared" si="28"/>
        <v>3.9919444444444403E-2</v>
      </c>
      <c r="DP41">
        <f>IF(DO41=BO41,BP41,IF(DO41=BS41,BT41,IF(DO41=BW41,BX41,IF(DO41=CA41,CB41,IF(DO41=CE41,CF41,IF(DO41=CI41,CJ41,IF(DO41=CM41,CN41,IF(DO41=CQ41,CR41,IF(DO41=CU41,CV41,IF(DO41=CY41,CZ41,IF(DO41=DC41,DD41,IF(DO41=DG41,DH41,IF(DO41=DK41,DL41,0)))))))))))))</f>
        <v>10</v>
      </c>
      <c r="DQ41">
        <f>IF(DO41=BO41,BQ41,IF(DO41=BS41,BU41,IF(DO41=BW41,BY41,IF(DO41=CA41,CC41,IF(DO41=CE41,CG41,IF(DO41=CI41,CK41,IF(DO41=CM41,CO41,IF(DO41=CQ41,CS41,IF(DO41=CU41,CW41,IF(DO41=CY41,DA41,IF(DO41=DC41,DE41,IF(DO41=DG41,DI41,IF(DO41=DK41,DM41,0)))))))))))))</f>
        <v>0.60690999999999995</v>
      </c>
      <c r="DR41">
        <f t="shared" si="29"/>
        <v>0</v>
      </c>
      <c r="DS41">
        <f t="shared" si="30"/>
        <v>3.9919444444444403E-2</v>
      </c>
      <c r="DT41">
        <f>IF(DS41=BO41,BP41,IF(DS41=BS41,BT41,IF(DS41=BW41,BX41,IF(DS41=CA41,CB41,IF(DS41=CE41,CF41,IF(DS41=CI41,CJ41,IF(DS41=CM41,CN41,IF(DS41=CQ41,CR41,IF(DS41=CU41,CV41,IF(DS41=CY41,CZ41,IF(DS41=DC41,DD41,IF(DS41=DG41,DH41,IF(DS41=DK41,DL41,IF(DS41=DO41,DP41,0))))))))))))))</f>
        <v>10</v>
      </c>
      <c r="DU41">
        <f>IF(DS41=BO41,BQ41,IF(DS41=BS41,BU41,IF(DS41=BW41,BY41,IF(DS41=CA41,CC41,IF(DS41=CE41,CG41,IF(DS41=CI41,CK41,IF(DS41=CM41,CO41,IF(DS41=CQ41,CS41,IF(DS41=CU41,CW41,IF(DS41=CY41,DA41,IF(DS41=DC41,DE41,IF(DS41=DG41,DI41,IF(DS41=DK41,DM41,IF(DS41=DO41,DQ41,0))))))))))))))</f>
        <v>0.60690999999999995</v>
      </c>
      <c r="DV41">
        <f t="shared" si="31"/>
        <v>0</v>
      </c>
      <c r="DW41">
        <v>7500</v>
      </c>
      <c r="DX41">
        <v>2</v>
      </c>
      <c r="DY41">
        <v>0</v>
      </c>
      <c r="DZ41">
        <v>0</v>
      </c>
      <c r="EA41">
        <v>0</v>
      </c>
      <c r="EB41">
        <v>3.37129157926281</v>
      </c>
      <c r="EC41">
        <v>0</v>
      </c>
      <c r="ED41">
        <v>0</v>
      </c>
      <c r="EE41">
        <v>3.9919444444444403E-2</v>
      </c>
      <c r="EF41">
        <v>0.60690999999999995</v>
      </c>
      <c r="EG41">
        <v>0.67551318549595396</v>
      </c>
      <c r="EH41">
        <v>10</v>
      </c>
      <c r="EI41">
        <v>0</v>
      </c>
      <c r="EJ41">
        <v>0</v>
      </c>
      <c r="EK41">
        <v>0</v>
      </c>
      <c r="EL41">
        <v>0</v>
      </c>
      <c r="EM41">
        <v>42</v>
      </c>
      <c r="EN41">
        <v>0</v>
      </c>
      <c r="EO41">
        <v>1</v>
      </c>
      <c r="EP41">
        <v>1</v>
      </c>
      <c r="EQ41">
        <v>3</v>
      </c>
      <c r="ER41">
        <v>14.1987814663817</v>
      </c>
      <c r="ES41">
        <v>2.8450413952666</v>
      </c>
      <c r="ET41">
        <v>2.8450413952666</v>
      </c>
      <c r="EU41">
        <v>1.13361493585206</v>
      </c>
      <c r="EV41">
        <v>1.13361493585206</v>
      </c>
      <c r="EW41">
        <v>0</v>
      </c>
      <c r="EX41">
        <v>3.2785775227067901</v>
      </c>
      <c r="EY41">
        <v>3.2785775227067901</v>
      </c>
      <c r="EZ41">
        <v>0</v>
      </c>
      <c r="FA41">
        <v>1.13361493585206</v>
      </c>
      <c r="FB41">
        <v>1.13361493585206</v>
      </c>
      <c r="FC41">
        <v>0</v>
      </c>
      <c r="FD41">
        <v>8.0156065483687495</v>
      </c>
      <c r="FE41">
        <v>8.0156065483687495</v>
      </c>
      <c r="FF41">
        <v>0</v>
      </c>
      <c r="FG41">
        <v>1.13361493585206</v>
      </c>
      <c r="FH41">
        <v>1.13361493585206</v>
      </c>
    </row>
    <row r="42" spans="1:164" x14ac:dyDescent="0.2">
      <c r="A42">
        <v>41</v>
      </c>
      <c r="B42">
        <v>49</v>
      </c>
      <c r="C42">
        <v>90</v>
      </c>
      <c r="D42">
        <v>3</v>
      </c>
      <c r="E42">
        <v>12</v>
      </c>
      <c r="F42" t="s">
        <v>146</v>
      </c>
      <c r="G42" t="s">
        <v>201</v>
      </c>
      <c r="H42">
        <v>3</v>
      </c>
      <c r="I42">
        <v>3</v>
      </c>
      <c r="K42" t="s">
        <v>202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4</v>
      </c>
      <c r="AE42">
        <v>6</v>
      </c>
      <c r="AF42">
        <v>3</v>
      </c>
      <c r="AG42">
        <v>7</v>
      </c>
      <c r="AH42">
        <v>6</v>
      </c>
      <c r="AI42">
        <v>0.28880555555555598</v>
      </c>
      <c r="AJ42">
        <v>15.72889</v>
      </c>
      <c r="AK42">
        <v>0.280725</v>
      </c>
      <c r="AL42">
        <v>11.13322</v>
      </c>
      <c r="AM42">
        <v>0.174836111111111</v>
      </c>
      <c r="AN42">
        <v>8.6630800000000008</v>
      </c>
      <c r="AO42">
        <v>0.170980555555556</v>
      </c>
      <c r="AP42">
        <v>6.2895799999999999</v>
      </c>
      <c r="AQ42">
        <v>0.19427777777777799</v>
      </c>
      <c r="AR42">
        <v>6.6174799999999996</v>
      </c>
      <c r="AS42">
        <v>0.120744444444444</v>
      </c>
      <c r="AT42">
        <v>2.0772699999999999</v>
      </c>
      <c r="AU42">
        <v>0.18041388888888901</v>
      </c>
      <c r="AV42">
        <v>7.2408900000000003</v>
      </c>
      <c r="AW42">
        <v>0.20792777777777799</v>
      </c>
      <c r="AX42">
        <v>9.4107199999999995</v>
      </c>
      <c r="AY42">
        <v>0.22372222222222199</v>
      </c>
      <c r="AZ42">
        <v>12.217650000000001</v>
      </c>
      <c r="BA42">
        <v>0.23707222222222199</v>
      </c>
      <c r="BB42">
        <v>13.53837</v>
      </c>
      <c r="BC42">
        <v>0.2979</v>
      </c>
      <c r="BD42">
        <v>14.863060000000001</v>
      </c>
      <c r="BE42">
        <v>0.30891944444444402</v>
      </c>
      <c r="BF42">
        <v>21.240020000000001</v>
      </c>
      <c r="BG42">
        <v>0.37279444444444398</v>
      </c>
      <c r="BH42">
        <v>24.642869999999998</v>
      </c>
      <c r="BI42">
        <v>0.41661944444444399</v>
      </c>
      <c r="BJ42">
        <v>26.616790000000002</v>
      </c>
      <c r="BK42">
        <v>0.48476111111111098</v>
      </c>
      <c r="BL42">
        <v>33.43244</v>
      </c>
      <c r="BM42">
        <v>0.52626388888888898</v>
      </c>
      <c r="BN42">
        <v>35.42512</v>
      </c>
      <c r="BO42">
        <f t="shared" si="0"/>
        <v>0.120744444444444</v>
      </c>
      <c r="BP42">
        <v>5</v>
      </c>
      <c r="BQ42">
        <v>2.0772699999999999</v>
      </c>
      <c r="BR42">
        <f t="shared" si="1"/>
        <v>0</v>
      </c>
      <c r="BS42">
        <f t="shared" si="2"/>
        <v>0.120744444444444</v>
      </c>
      <c r="BT42">
        <f t="shared" si="3"/>
        <v>5</v>
      </c>
      <c r="BU42">
        <f t="shared" si="4"/>
        <v>2.0772699999999999</v>
      </c>
      <c r="BV42">
        <f t="shared" si="5"/>
        <v>0</v>
      </c>
      <c r="BW42">
        <f t="shared" si="6"/>
        <v>0.120744444444444</v>
      </c>
      <c r="BX42">
        <f t="shared" si="32"/>
        <v>5</v>
      </c>
      <c r="BY42">
        <f t="shared" si="33"/>
        <v>2.0772699999999999</v>
      </c>
      <c r="BZ42">
        <f t="shared" si="7"/>
        <v>0</v>
      </c>
      <c r="CA42">
        <f t="shared" si="8"/>
        <v>0.120744444444444</v>
      </c>
      <c r="CB42">
        <f>IF(CA42=BO42,BP42,IF(CA42=BS42,BT42,IF(CA42=BW42,BX42,0)))</f>
        <v>5</v>
      </c>
      <c r="CC42">
        <f>IF(CA42=BO42,BQ42,IF(CA42=BS42,BU42,IF(CA42=BW42,BY42,0)))</f>
        <v>2.0772699999999999</v>
      </c>
      <c r="CD42">
        <f t="shared" si="9"/>
        <v>0</v>
      </c>
      <c r="CE42">
        <f t="shared" si="10"/>
        <v>0.170980555555556</v>
      </c>
      <c r="CF42">
        <v>3</v>
      </c>
      <c r="CG42">
        <v>6.2895799999999999</v>
      </c>
      <c r="CH42">
        <f t="shared" si="11"/>
        <v>0</v>
      </c>
      <c r="CI42">
        <f t="shared" si="12"/>
        <v>0.120744444444444</v>
      </c>
      <c r="CJ42">
        <f>IF(CI42=BO42,BP42,IF(CI42=BS42,BT42,IF(CI42=BW42,BX42,IF(CI42=CA42,CB42,IF(CI42=CE42,CF42,0)))))</f>
        <v>5</v>
      </c>
      <c r="CK42">
        <f>IF(CI42=BO42,BQ42,IF(CI42=BS42,BU42,IF(CI42=BW42,BY42,IF(CI42=CA42,CC42,IF(CI42=CE42,CG42,0)))))</f>
        <v>2.0772699999999999</v>
      </c>
      <c r="CL42">
        <f t="shared" si="13"/>
        <v>0</v>
      </c>
      <c r="CM42">
        <f t="shared" si="14"/>
        <v>0.120744444444444</v>
      </c>
      <c r="CN42">
        <f>IF(CM42=BO42,BP42,IF(CM42=BS42,BT42,IF(CM42=BW42,BX42,IF(CM42=CA42,CB42,IF(CM42=CE42,CF42,IF(CM42=CI42,CJ42,0))))))</f>
        <v>5</v>
      </c>
      <c r="CO42">
        <f>IF(CM42=BO42,BQ42,IF(CM42=BS42,BU42,IF(CM42=BW42,BY42,IF(CM42=CA42,CC42,IF(CM42=CE42,CG42,IF(CM42=CI42,CK42,0))))))</f>
        <v>2.0772699999999999</v>
      </c>
      <c r="CP42">
        <f t="shared" si="15"/>
        <v>0</v>
      </c>
      <c r="CQ42">
        <f t="shared" si="16"/>
        <v>0.120744444444444</v>
      </c>
      <c r="CR42">
        <f>IF(CQ42=BO42,BP42,IF(CQ42=BS42,BT42,IF(CQ42=BW42,BX42,IF(CQ42=CA42,CB42,IF(CQ42=CE42,CF42,IF(CQ42=CI42,CJ42,IF(CQ42=CM42,CN42,0)))))))</f>
        <v>5</v>
      </c>
      <c r="CS42">
        <f>IF(CQ42=BO42,BQ42,IF(CQ42=BS42,BU42,IF(CQ42=BW42,BY42,IF(CQ42=CA42,CC42,IF(CQ42=CE42,CG42,IF(CQ42=CI42,CK42,IF(CQ42=CM42,CO42,0)))))))</f>
        <v>2.0772699999999999</v>
      </c>
      <c r="CT42">
        <f t="shared" si="17"/>
        <v>0</v>
      </c>
      <c r="CU42">
        <f t="shared" si="18"/>
        <v>0.120744444444444</v>
      </c>
      <c r="CV42">
        <f>IF(CU42=BO42,BP42,IF(CU42=BS42,BT42,IF(CU42=BW42,BX42,IF(CU42=CA42,CB42,IF(CU42=CE42,CF42,IF(CU42=CI42,CJ42,IF(CU42=CM42,CN42,IF(CU42=CQ42,CR42,0))))))))</f>
        <v>5</v>
      </c>
      <c r="CW42">
        <f>IF(CU42=BO42,BQ42,IF(CU42=BS42,BU42,IF(CU42=BW42,BY42,IF(CU42=CA42,CC42,IF(CU42=CE42,CG42,IF(CU42=CI42,CK42,IF(CU42=CM42,CO42,IF(CU42=CQ42,CS42,0))))))))</f>
        <v>2.0772699999999999</v>
      </c>
      <c r="CX42">
        <f t="shared" si="19"/>
        <v>0</v>
      </c>
      <c r="CY42">
        <f t="shared" si="20"/>
        <v>0.120744444444444</v>
      </c>
      <c r="CZ42">
        <f>IF(CY42=BO42,BP42,IF(CY42=BS42,BT42,IF(CY42=BW42,BX42,IF(CY42=CA42,CB42,IF(CY42=CE42,CF42,IF(CY42=CI42,CJ42,IF(CY42=CM42,CN42,IF(CY42=CQ42,CR42,IF(CY42=CU42,CV42,0)))))))))</f>
        <v>5</v>
      </c>
      <c r="DA42">
        <f>IF(CY42=BO42,BQ42,IF(CY42=BS42,BU42,IF(CY42=BW42,BY42,IF(CY42=CA42,CC42,IF(CY42=CE42,CG42,IF(CY42=CI42,CK42,IF(CY42=CM42,CO42,IF(CY42=CQ42,CS42,IF(CY42=CU42,CW42,0)))))))))</f>
        <v>2.0772699999999999</v>
      </c>
      <c r="DB42">
        <f t="shared" si="21"/>
        <v>0</v>
      </c>
      <c r="DC42">
        <f t="shared" si="22"/>
        <v>0.120744444444444</v>
      </c>
      <c r="DD42">
        <f>IF(DC42=BO42,BP42,IF(DC42=BS42,BT42,IF(DC42=BW42,BX42,IF(DC42=CA42,CB42,IF(DC42=CE42,CF42,IF(DC42=CI42,CJ42,IF(DC42=CM42,CN42,IF(DC42=CQ42,CR42,IF(DC42=CU42,CV42,IF(DC42=CY42,CZ42,0))))))))))</f>
        <v>5</v>
      </c>
      <c r="DE42">
        <f>IF(DC42=BO42,BQ42,IF(DC42=BS42,BU42,IF(DC42=BW42,BY42,IF(DC42=CA42,CC42,IF(DC42=CE42,CG42,IF(DC42=CI42,CK42,IF(DC42=CM42,CO42,IF(DC42=CQ42,CS42,IF(DC42=CU42,CW42,IF(DC42=CY42,DA42,0))))))))))</f>
        <v>2.0772699999999999</v>
      </c>
      <c r="DF42">
        <f t="shared" si="23"/>
        <v>0</v>
      </c>
      <c r="DG42">
        <f t="shared" si="24"/>
        <v>0.120744444444444</v>
      </c>
      <c r="DH42">
        <f>IF(DG42=BO42,BP42,IF(DG42=BS42,BT42,IF(DG42=BW42,BX42,IF(DG42=CA42,CB42,IF(DG42=CE42,CF42,IF(DG42=CI42,CJ42,IF(DG42=CM42,CN42,IF(DG42=CQ42,CR42,IF(DG42=CU42,CV42,IF(DG42=CY42,CZ42,IF(DG42=DC42,DD42,0)))))))))))</f>
        <v>5</v>
      </c>
      <c r="DI42">
        <f>IF(DG42=BO42,BQ42,IF(DG42=BS42,BU42,IF(DG42=BW42,BY42,IF(DG42=CA42,CC42,IF(DG42=CE42,CG42,IF(DG42=CI42,CK42,IF(DG42=CM42,CO42,IF(DG42=CQ42,CS42,IF(DG42=CU42,CW42,IF(DG42=CY42,DA42,IF(DG42=DC42,DE42,0)))))))))))</f>
        <v>2.0772699999999999</v>
      </c>
      <c r="DJ42">
        <f t="shared" si="25"/>
        <v>0</v>
      </c>
      <c r="DK42">
        <f t="shared" si="26"/>
        <v>0.120744444444444</v>
      </c>
      <c r="DL42">
        <f>IF(DK42=BO42,BP42,IF(DK42=BS42,BT42,IF(DK42=BW42,BX42,IF(DK42=CA42,CB42,IF(DK42=CE42,CF42,IF(DK42=CI42,CJ42,IF(DK42=CM42,CN42,IF(DK42=CQ42,CR42,IF(DK42=CU42,CV42,IF(DK42=CY42,CZ42,IF(DK42=DC42,DD42,IF(DK42=DG42,DH42,0))))))))))))</f>
        <v>5</v>
      </c>
      <c r="DM42">
        <f>IF(DK42=BO42,BQ42,IF(DK42=BS42,BU42,IF(DK42=BW42,BY42,IF(DK42=CA42,CC42,IF(DK42=CE42,CG42,IF(DK42=CI42,CK42,IF(DK42=CM42,CO42,IF(DK42=CQ42,CS42,IF(DK42=CU42,CW42,IF(DK42=CY42,DA42,IF(DK42=DC42,DE42,IF(DK42=DG42,DI42,0))))))))))))</f>
        <v>2.0772699999999999</v>
      </c>
      <c r="DN42">
        <f t="shared" si="27"/>
        <v>0</v>
      </c>
      <c r="DO42">
        <f t="shared" si="28"/>
        <v>0.120744444444444</v>
      </c>
      <c r="DP42">
        <f>IF(DO42=BO42,BP42,IF(DO42=BS42,BT42,IF(DO42=BW42,BX42,IF(DO42=CA42,CB42,IF(DO42=CE42,CF42,IF(DO42=CI42,CJ42,IF(DO42=CM42,CN42,IF(DO42=CQ42,CR42,IF(DO42=CU42,CV42,IF(DO42=CY42,CZ42,IF(DO42=DC42,DD42,IF(DO42=DG42,DH42,IF(DO42=DK42,DL42,0)))))))))))))</f>
        <v>5</v>
      </c>
      <c r="DQ42">
        <f>IF(DO42=BO42,BQ42,IF(DO42=BS42,BU42,IF(DO42=BW42,BY42,IF(DO42=CA42,CC42,IF(DO42=CE42,CG42,IF(DO42=CI42,CK42,IF(DO42=CM42,CO42,IF(DO42=CQ42,CS42,IF(DO42=CU42,CW42,IF(DO42=CY42,DA42,IF(DO42=DC42,DE42,IF(DO42=DG42,DI42,IF(DO42=DK42,DM42,0)))))))))))))</f>
        <v>2.0772699999999999</v>
      </c>
      <c r="DR42">
        <f t="shared" si="29"/>
        <v>0</v>
      </c>
      <c r="DS42">
        <f t="shared" si="30"/>
        <v>0.120744444444444</v>
      </c>
      <c r="DT42">
        <f>IF(DS42=BO42,BP42,IF(DS42=BS42,BT42,IF(DS42=BW42,BX42,IF(DS42=CA42,CB42,IF(DS42=CE42,CF42,IF(DS42=CI42,CJ42,IF(DS42=CM42,CN42,IF(DS42=CQ42,CR42,IF(DS42=CU42,CV42,IF(DS42=CY42,CZ42,IF(DS42=DC42,DD42,IF(DS42=DG42,DH42,IF(DS42=DK42,DL42,IF(DS42=DO42,DP42,0))))))))))))))</f>
        <v>5</v>
      </c>
      <c r="DU42">
        <f>IF(DS42=BO42,BQ42,IF(DS42=BS42,BU42,IF(DS42=BW42,BY42,IF(DS42=CA42,CC42,IF(DS42=CE42,CG42,IF(DS42=CI42,CK42,IF(DS42=CM42,CO42,IF(DS42=CQ42,CS42,IF(DS42=CU42,CW42,IF(DS42=CY42,DA42,IF(DS42=DC42,DE42,IF(DS42=DG42,DI42,IF(DS42=DK42,DM42,IF(DS42=DO42,DQ42,0))))))))))))))</f>
        <v>2.0772699999999999</v>
      </c>
      <c r="DV42">
        <f t="shared" si="31"/>
        <v>0</v>
      </c>
      <c r="DW42">
        <v>31226.480769230799</v>
      </c>
      <c r="DX42">
        <v>6</v>
      </c>
      <c r="DY42">
        <v>0</v>
      </c>
      <c r="DZ42">
        <v>6</v>
      </c>
      <c r="EA42">
        <v>6</v>
      </c>
      <c r="EB42">
        <v>14.0364762223093</v>
      </c>
      <c r="EC42">
        <v>1</v>
      </c>
      <c r="ED42">
        <v>2.36317046666667</v>
      </c>
      <c r="EE42">
        <v>0.120744444444444</v>
      </c>
      <c r="EF42">
        <v>2.0772699999999999</v>
      </c>
      <c r="EG42">
        <v>9.6486557117054499</v>
      </c>
      <c r="EH42">
        <v>5</v>
      </c>
      <c r="EI42">
        <v>0</v>
      </c>
      <c r="EJ42">
        <v>0.18003006666666699</v>
      </c>
      <c r="EK42">
        <v>1</v>
      </c>
      <c r="EL42">
        <v>0</v>
      </c>
      <c r="EM42">
        <v>25</v>
      </c>
      <c r="EN42">
        <v>1</v>
      </c>
      <c r="EO42">
        <v>3</v>
      </c>
      <c r="EP42">
        <v>6</v>
      </c>
      <c r="EQ42">
        <v>3</v>
      </c>
      <c r="ER42">
        <v>14.1987814663817</v>
      </c>
      <c r="ES42">
        <v>8.2013739392205807</v>
      </c>
      <c r="ET42">
        <v>10.5645444058873</v>
      </c>
      <c r="EU42">
        <v>3.42884795989265</v>
      </c>
      <c r="EV42">
        <v>3.6088780265593101</v>
      </c>
      <c r="EW42">
        <v>1.0588630000000001</v>
      </c>
      <c r="EX42">
        <v>6.3531658850132198</v>
      </c>
      <c r="EY42">
        <v>7.4120288850132203</v>
      </c>
      <c r="EZ42">
        <v>0.18003006666666699</v>
      </c>
      <c r="FA42">
        <v>3.42884795989265</v>
      </c>
      <c r="FB42">
        <v>3.6088780265593101</v>
      </c>
      <c r="FC42">
        <v>0.54509693333333298</v>
      </c>
      <c r="FD42">
        <v>4.8554310866677399</v>
      </c>
      <c r="FE42">
        <v>5.4005280200010803</v>
      </c>
      <c r="FF42">
        <v>0.18003006666666699</v>
      </c>
      <c r="FG42">
        <v>3.42884795989265</v>
      </c>
      <c r="FH42">
        <v>3.6088780265593101</v>
      </c>
    </row>
    <row r="43" spans="1:164" x14ac:dyDescent="0.2">
      <c r="A43">
        <v>42</v>
      </c>
      <c r="B43">
        <v>50</v>
      </c>
      <c r="C43">
        <v>91</v>
      </c>
      <c r="D43">
        <v>3</v>
      </c>
      <c r="E43">
        <v>12</v>
      </c>
      <c r="F43" t="s">
        <v>146</v>
      </c>
      <c r="G43" t="s">
        <v>203</v>
      </c>
      <c r="H43">
        <v>3</v>
      </c>
      <c r="I43">
        <v>3</v>
      </c>
      <c r="K43" t="s">
        <v>204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4</v>
      </c>
      <c r="AE43">
        <v>6</v>
      </c>
      <c r="AF43">
        <v>3</v>
      </c>
      <c r="AG43">
        <v>7</v>
      </c>
      <c r="AH43">
        <v>7</v>
      </c>
      <c r="AI43">
        <v>0.28880555555555598</v>
      </c>
      <c r="AJ43">
        <v>15.72889</v>
      </c>
      <c r="AK43">
        <v>0.280725</v>
      </c>
      <c r="AL43">
        <v>11.13322</v>
      </c>
      <c r="AM43">
        <v>0.174836111111111</v>
      </c>
      <c r="AN43">
        <v>8.6630800000000008</v>
      </c>
      <c r="AO43">
        <v>0.170980555555556</v>
      </c>
      <c r="AP43">
        <v>6.2895799999999999</v>
      </c>
      <c r="AQ43">
        <v>0.19427777777777799</v>
      </c>
      <c r="AR43">
        <v>6.6174799999999996</v>
      </c>
      <c r="AS43">
        <v>0.120744444444444</v>
      </c>
      <c r="AT43">
        <v>2.0772699999999999</v>
      </c>
      <c r="AU43">
        <v>0.18041388888888901</v>
      </c>
      <c r="AV43">
        <v>7.2408900000000003</v>
      </c>
      <c r="AW43">
        <v>0.20792777777777799</v>
      </c>
      <c r="AX43">
        <v>9.4107199999999995</v>
      </c>
      <c r="AY43">
        <v>0.22372222222222199</v>
      </c>
      <c r="AZ43">
        <v>12.217650000000001</v>
      </c>
      <c r="BA43">
        <v>0.23707222222222199</v>
      </c>
      <c r="BB43">
        <v>13.53837</v>
      </c>
      <c r="BC43">
        <v>0.2979</v>
      </c>
      <c r="BD43">
        <v>14.863060000000001</v>
      </c>
      <c r="BE43">
        <v>0.30891944444444402</v>
      </c>
      <c r="BF43">
        <v>21.240020000000001</v>
      </c>
      <c r="BG43">
        <v>0.37279444444444398</v>
      </c>
      <c r="BH43">
        <v>24.642869999999998</v>
      </c>
      <c r="BI43">
        <v>0.41661944444444399</v>
      </c>
      <c r="BJ43">
        <v>26.616790000000002</v>
      </c>
      <c r="BK43">
        <v>0.48476111111111098</v>
      </c>
      <c r="BL43">
        <v>33.43244</v>
      </c>
      <c r="BM43">
        <v>0.52626388888888898</v>
      </c>
      <c r="BN43">
        <v>35.42512</v>
      </c>
      <c r="BO43">
        <f t="shared" si="0"/>
        <v>0.120744444444444</v>
      </c>
      <c r="BP43">
        <v>5</v>
      </c>
      <c r="BQ43">
        <v>2.0772699999999999</v>
      </c>
      <c r="BR43">
        <f t="shared" si="1"/>
        <v>0</v>
      </c>
      <c r="BS43">
        <f t="shared" si="2"/>
        <v>0.120744444444444</v>
      </c>
      <c r="BT43">
        <f t="shared" si="3"/>
        <v>5</v>
      </c>
      <c r="BU43">
        <f t="shared" si="4"/>
        <v>2.0772699999999999</v>
      </c>
      <c r="BV43">
        <f t="shared" si="5"/>
        <v>0</v>
      </c>
      <c r="BW43">
        <f t="shared" si="6"/>
        <v>0.120744444444444</v>
      </c>
      <c r="BX43">
        <f t="shared" si="32"/>
        <v>5</v>
      </c>
      <c r="BY43">
        <f t="shared" si="33"/>
        <v>2.0772699999999999</v>
      </c>
      <c r="BZ43">
        <f t="shared" si="7"/>
        <v>0</v>
      </c>
      <c r="CA43">
        <f t="shared" si="8"/>
        <v>0.120744444444444</v>
      </c>
      <c r="CB43">
        <f>IF(CA43=BO43,BP43,IF(CA43=BS43,BT43,IF(CA43=BW43,BX43,0)))</f>
        <v>5</v>
      </c>
      <c r="CC43">
        <f>IF(CA43=BO43,BQ43,IF(CA43=BS43,BU43,IF(CA43=BW43,BY43,0)))</f>
        <v>2.0772699999999999</v>
      </c>
      <c r="CD43">
        <f t="shared" si="9"/>
        <v>0</v>
      </c>
      <c r="CE43">
        <f t="shared" si="10"/>
        <v>0.170980555555556</v>
      </c>
      <c r="CF43">
        <v>3</v>
      </c>
      <c r="CG43">
        <v>6.2895799999999999</v>
      </c>
      <c r="CH43">
        <f t="shared" si="11"/>
        <v>0</v>
      </c>
      <c r="CI43">
        <f t="shared" si="12"/>
        <v>0.120744444444444</v>
      </c>
      <c r="CJ43">
        <f>IF(CI43=BO43,BP43,IF(CI43=BS43,BT43,IF(CI43=BW43,BX43,IF(CI43=CA43,CB43,IF(CI43=CE43,CF43,0)))))</f>
        <v>5</v>
      </c>
      <c r="CK43">
        <f>IF(CI43=BO43,BQ43,IF(CI43=BS43,BU43,IF(CI43=BW43,BY43,IF(CI43=CA43,CC43,IF(CI43=CE43,CG43,0)))))</f>
        <v>2.0772699999999999</v>
      </c>
      <c r="CL43">
        <f t="shared" si="13"/>
        <v>0</v>
      </c>
      <c r="CM43">
        <f t="shared" si="14"/>
        <v>0.120744444444444</v>
      </c>
      <c r="CN43">
        <f>IF(CM43=BO43,BP43,IF(CM43=BS43,BT43,IF(CM43=BW43,BX43,IF(CM43=CA43,CB43,IF(CM43=CE43,CF43,IF(CM43=CI43,CJ43,0))))))</f>
        <v>5</v>
      </c>
      <c r="CO43">
        <f>IF(CM43=BO43,BQ43,IF(CM43=BS43,BU43,IF(CM43=BW43,BY43,IF(CM43=CA43,CC43,IF(CM43=CE43,CG43,IF(CM43=CI43,CK43,0))))))</f>
        <v>2.0772699999999999</v>
      </c>
      <c r="CP43">
        <f t="shared" si="15"/>
        <v>0</v>
      </c>
      <c r="CQ43">
        <f t="shared" si="16"/>
        <v>0.120744444444444</v>
      </c>
      <c r="CR43">
        <f>IF(CQ43=BO43,BP43,IF(CQ43=BS43,BT43,IF(CQ43=BW43,BX43,IF(CQ43=CA43,CB43,IF(CQ43=CE43,CF43,IF(CQ43=CI43,CJ43,IF(CQ43=CM43,CN43,0)))))))</f>
        <v>5</v>
      </c>
      <c r="CS43">
        <f>IF(CQ43=BO43,BQ43,IF(CQ43=BS43,BU43,IF(CQ43=BW43,BY43,IF(CQ43=CA43,CC43,IF(CQ43=CE43,CG43,IF(CQ43=CI43,CK43,IF(CQ43=CM43,CO43,0)))))))</f>
        <v>2.0772699999999999</v>
      </c>
      <c r="CT43">
        <f t="shared" si="17"/>
        <v>0</v>
      </c>
      <c r="CU43">
        <f t="shared" si="18"/>
        <v>0.120744444444444</v>
      </c>
      <c r="CV43">
        <f>IF(CU43=BO43,BP43,IF(CU43=BS43,BT43,IF(CU43=BW43,BX43,IF(CU43=CA43,CB43,IF(CU43=CE43,CF43,IF(CU43=CI43,CJ43,IF(CU43=CM43,CN43,IF(CU43=CQ43,CR43,0))))))))</f>
        <v>5</v>
      </c>
      <c r="CW43">
        <f>IF(CU43=BO43,BQ43,IF(CU43=BS43,BU43,IF(CU43=BW43,BY43,IF(CU43=CA43,CC43,IF(CU43=CE43,CG43,IF(CU43=CI43,CK43,IF(CU43=CM43,CO43,IF(CU43=CQ43,CS43,0))))))))</f>
        <v>2.0772699999999999</v>
      </c>
      <c r="CX43">
        <f t="shared" si="19"/>
        <v>0</v>
      </c>
      <c r="CY43">
        <f t="shared" si="20"/>
        <v>0.120744444444444</v>
      </c>
      <c r="CZ43">
        <f>IF(CY43=BO43,BP43,IF(CY43=BS43,BT43,IF(CY43=BW43,BX43,IF(CY43=CA43,CB43,IF(CY43=CE43,CF43,IF(CY43=CI43,CJ43,IF(CY43=CM43,CN43,IF(CY43=CQ43,CR43,IF(CY43=CU43,CV43,0)))))))))</f>
        <v>5</v>
      </c>
      <c r="DA43">
        <f>IF(CY43=BO43,BQ43,IF(CY43=BS43,BU43,IF(CY43=BW43,BY43,IF(CY43=CA43,CC43,IF(CY43=CE43,CG43,IF(CY43=CI43,CK43,IF(CY43=CM43,CO43,IF(CY43=CQ43,CS43,IF(CY43=CU43,CW43,0)))))))))</f>
        <v>2.0772699999999999</v>
      </c>
      <c r="DB43">
        <f t="shared" si="21"/>
        <v>0</v>
      </c>
      <c r="DC43">
        <f t="shared" si="22"/>
        <v>0.120744444444444</v>
      </c>
      <c r="DD43">
        <f>IF(DC43=BO43,BP43,IF(DC43=BS43,BT43,IF(DC43=BW43,BX43,IF(DC43=CA43,CB43,IF(DC43=CE43,CF43,IF(DC43=CI43,CJ43,IF(DC43=CM43,CN43,IF(DC43=CQ43,CR43,IF(DC43=CU43,CV43,IF(DC43=CY43,CZ43,0))))))))))</f>
        <v>5</v>
      </c>
      <c r="DE43">
        <f>IF(DC43=BO43,BQ43,IF(DC43=BS43,BU43,IF(DC43=BW43,BY43,IF(DC43=CA43,CC43,IF(DC43=CE43,CG43,IF(DC43=CI43,CK43,IF(DC43=CM43,CO43,IF(DC43=CQ43,CS43,IF(DC43=CU43,CW43,IF(DC43=CY43,DA43,0))))))))))</f>
        <v>2.0772699999999999</v>
      </c>
      <c r="DF43">
        <f t="shared" si="23"/>
        <v>0</v>
      </c>
      <c r="DG43">
        <f t="shared" si="24"/>
        <v>0.120744444444444</v>
      </c>
      <c r="DH43">
        <f>IF(DG43=BO43,BP43,IF(DG43=BS43,BT43,IF(DG43=BW43,BX43,IF(DG43=CA43,CB43,IF(DG43=CE43,CF43,IF(DG43=CI43,CJ43,IF(DG43=CM43,CN43,IF(DG43=CQ43,CR43,IF(DG43=CU43,CV43,IF(DG43=CY43,CZ43,IF(DG43=DC43,DD43,0)))))))))))</f>
        <v>5</v>
      </c>
      <c r="DI43">
        <f>IF(DG43=BO43,BQ43,IF(DG43=BS43,BU43,IF(DG43=BW43,BY43,IF(DG43=CA43,CC43,IF(DG43=CE43,CG43,IF(DG43=CI43,CK43,IF(DG43=CM43,CO43,IF(DG43=CQ43,CS43,IF(DG43=CU43,CW43,IF(DG43=CY43,DA43,IF(DG43=DC43,DE43,0)))))))))))</f>
        <v>2.0772699999999999</v>
      </c>
      <c r="DJ43">
        <f t="shared" si="25"/>
        <v>0</v>
      </c>
      <c r="DK43">
        <f t="shared" si="26"/>
        <v>0.120744444444444</v>
      </c>
      <c r="DL43">
        <f>IF(DK43=BO43,BP43,IF(DK43=BS43,BT43,IF(DK43=BW43,BX43,IF(DK43=CA43,CB43,IF(DK43=CE43,CF43,IF(DK43=CI43,CJ43,IF(DK43=CM43,CN43,IF(DK43=CQ43,CR43,IF(DK43=CU43,CV43,IF(DK43=CY43,CZ43,IF(DK43=DC43,DD43,IF(DK43=DG43,DH43,0))))))))))))</f>
        <v>5</v>
      </c>
      <c r="DM43">
        <f>IF(DK43=BO43,BQ43,IF(DK43=BS43,BU43,IF(DK43=BW43,BY43,IF(DK43=CA43,CC43,IF(DK43=CE43,CG43,IF(DK43=CI43,CK43,IF(DK43=CM43,CO43,IF(DK43=CQ43,CS43,IF(DK43=CU43,CW43,IF(DK43=CY43,DA43,IF(DK43=DC43,DE43,IF(DK43=DG43,DI43,0))))))))))))</f>
        <v>2.0772699999999999</v>
      </c>
      <c r="DN43">
        <f t="shared" si="27"/>
        <v>0</v>
      </c>
      <c r="DO43">
        <f t="shared" si="28"/>
        <v>0.120744444444444</v>
      </c>
      <c r="DP43">
        <f>IF(DO43=BO43,BP43,IF(DO43=BS43,BT43,IF(DO43=BW43,BX43,IF(DO43=CA43,CB43,IF(DO43=CE43,CF43,IF(DO43=CI43,CJ43,IF(DO43=CM43,CN43,IF(DO43=CQ43,CR43,IF(DO43=CU43,CV43,IF(DO43=CY43,CZ43,IF(DO43=DC43,DD43,IF(DO43=DG43,DH43,IF(DO43=DK43,DL43,0)))))))))))))</f>
        <v>5</v>
      </c>
      <c r="DQ43">
        <f>IF(DO43=BO43,BQ43,IF(DO43=BS43,BU43,IF(DO43=BW43,BY43,IF(DO43=CA43,CC43,IF(DO43=CE43,CG43,IF(DO43=CI43,CK43,IF(DO43=CM43,CO43,IF(DO43=CQ43,CS43,IF(DO43=CU43,CW43,IF(DO43=CY43,DA43,IF(DO43=DC43,DE43,IF(DO43=DG43,DI43,IF(DO43=DK43,DM43,0)))))))))))))</f>
        <v>2.0772699999999999</v>
      </c>
      <c r="DR43">
        <f t="shared" si="29"/>
        <v>0</v>
      </c>
      <c r="DS43">
        <f t="shared" si="30"/>
        <v>0.120744444444444</v>
      </c>
      <c r="DT43">
        <f>IF(DS43=BO43,BP43,IF(DS43=BS43,BT43,IF(DS43=BW43,BX43,IF(DS43=CA43,CB43,IF(DS43=CE43,CF43,IF(DS43=CI43,CJ43,IF(DS43=CM43,CN43,IF(DS43=CQ43,CR43,IF(DS43=CU43,CV43,IF(DS43=CY43,CZ43,IF(DS43=DC43,DD43,IF(DS43=DG43,DH43,IF(DS43=DK43,DL43,IF(DS43=DO43,DP43,0))))))))))))))</f>
        <v>5</v>
      </c>
      <c r="DU43">
        <f>IF(DS43=BO43,BQ43,IF(DS43=BS43,BU43,IF(DS43=BW43,BY43,IF(DS43=CA43,CC43,IF(DS43=CE43,CG43,IF(DS43=CI43,CK43,IF(DS43=CM43,CO43,IF(DS43=CQ43,CS43,IF(DS43=CU43,CW43,IF(DS43=CY43,DA43,IF(DS43=DC43,DE43,IF(DS43=DG43,DI43,IF(DS43=DK43,DM43,IF(DS43=DO43,DQ43,0))))))))))))))</f>
        <v>2.0772699999999999</v>
      </c>
      <c r="DV43">
        <f t="shared" si="31"/>
        <v>0</v>
      </c>
      <c r="DW43">
        <v>31226.480769230799</v>
      </c>
      <c r="DX43">
        <v>6</v>
      </c>
      <c r="DY43">
        <v>0</v>
      </c>
      <c r="DZ43">
        <v>6</v>
      </c>
      <c r="EA43">
        <v>6</v>
      </c>
      <c r="EB43">
        <v>14.0364762223093</v>
      </c>
      <c r="EC43">
        <v>1</v>
      </c>
      <c r="ED43">
        <v>2.36317046666667</v>
      </c>
      <c r="EE43">
        <v>0.120744444444444</v>
      </c>
      <c r="EF43">
        <v>2.0772699999999999</v>
      </c>
      <c r="EG43">
        <v>9.6486557117054499</v>
      </c>
      <c r="EH43">
        <v>5</v>
      </c>
      <c r="EI43">
        <v>0</v>
      </c>
      <c r="EJ43">
        <v>0.18003006666666699</v>
      </c>
      <c r="EK43">
        <v>1</v>
      </c>
      <c r="EL43">
        <v>0</v>
      </c>
      <c r="EM43">
        <v>24</v>
      </c>
      <c r="EN43">
        <v>1</v>
      </c>
      <c r="EO43">
        <v>4</v>
      </c>
      <c r="EP43">
        <v>7</v>
      </c>
      <c r="EQ43">
        <v>3</v>
      </c>
      <c r="ER43">
        <v>14.1987814663817</v>
      </c>
      <c r="ES43">
        <v>8.2013739392205807</v>
      </c>
      <c r="ET43">
        <v>10.5645444058873</v>
      </c>
      <c r="EU43">
        <v>3.42884795989265</v>
      </c>
      <c r="EV43">
        <v>3.6088780265593101</v>
      </c>
      <c r="EW43">
        <v>1.0588630000000001</v>
      </c>
      <c r="EX43">
        <v>6.3531658850132198</v>
      </c>
      <c r="EY43">
        <v>7.4120288850132203</v>
      </c>
      <c r="EZ43">
        <v>0.18003006666666699</v>
      </c>
      <c r="FA43">
        <v>3.42884795989265</v>
      </c>
      <c r="FB43">
        <v>3.6088780265593101</v>
      </c>
      <c r="FC43">
        <v>0.54509693333333298</v>
      </c>
      <c r="FD43">
        <v>4.8554310866677399</v>
      </c>
      <c r="FE43">
        <v>5.4005280200010803</v>
      </c>
      <c r="FF43">
        <v>0.18003006666666699</v>
      </c>
      <c r="FG43">
        <v>3.42884795989265</v>
      </c>
      <c r="FH43">
        <v>3.6088780265593101</v>
      </c>
    </row>
    <row r="44" spans="1:164" x14ac:dyDescent="0.2">
      <c r="A44">
        <v>43</v>
      </c>
      <c r="B44">
        <v>51</v>
      </c>
      <c r="C44">
        <v>92</v>
      </c>
      <c r="D44">
        <v>3</v>
      </c>
      <c r="E44">
        <v>12</v>
      </c>
      <c r="F44" t="s">
        <v>205</v>
      </c>
      <c r="G44" t="s">
        <v>206</v>
      </c>
      <c r="H44">
        <v>3</v>
      </c>
      <c r="I44">
        <v>3</v>
      </c>
      <c r="K44" t="s">
        <v>204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1</v>
      </c>
      <c r="AD44">
        <v>3</v>
      </c>
      <c r="AE44">
        <v>6</v>
      </c>
      <c r="AF44">
        <v>3</v>
      </c>
      <c r="AG44">
        <v>8</v>
      </c>
      <c r="AH44">
        <v>6</v>
      </c>
      <c r="AI44">
        <v>0.28880555555555598</v>
      </c>
      <c r="AJ44">
        <v>15.72889</v>
      </c>
      <c r="AK44">
        <v>0.280725</v>
      </c>
      <c r="AL44">
        <v>11.13322</v>
      </c>
      <c r="AM44">
        <v>0.174836111111111</v>
      </c>
      <c r="AN44">
        <v>8.6630800000000008</v>
      </c>
      <c r="AO44">
        <v>0.170980555555556</v>
      </c>
      <c r="AP44">
        <v>6.2895799999999999</v>
      </c>
      <c r="AQ44">
        <v>0.19427777777777799</v>
      </c>
      <c r="AR44">
        <v>6.6174799999999996</v>
      </c>
      <c r="AS44">
        <v>0.120744444444444</v>
      </c>
      <c r="AT44">
        <v>2.0772699999999999</v>
      </c>
      <c r="AU44">
        <v>0.18041388888888901</v>
      </c>
      <c r="AV44">
        <v>7.2408900000000003</v>
      </c>
      <c r="AW44">
        <v>0.20792777777777799</v>
      </c>
      <c r="AX44">
        <v>9.4107199999999995</v>
      </c>
      <c r="AY44">
        <v>0.22372222222222199</v>
      </c>
      <c r="AZ44">
        <v>12.217650000000001</v>
      </c>
      <c r="BA44">
        <v>0.23707222222222199</v>
      </c>
      <c r="BB44">
        <v>13.53837</v>
      </c>
      <c r="BC44">
        <v>0.2979</v>
      </c>
      <c r="BD44">
        <v>14.863060000000001</v>
      </c>
      <c r="BE44">
        <v>0.30891944444444402</v>
      </c>
      <c r="BF44">
        <v>21.240020000000001</v>
      </c>
      <c r="BG44">
        <v>0.37279444444444398</v>
      </c>
      <c r="BH44">
        <v>24.642869999999998</v>
      </c>
      <c r="BI44">
        <v>0.41661944444444399</v>
      </c>
      <c r="BJ44">
        <v>26.616790000000002</v>
      </c>
      <c r="BK44">
        <v>0.48476111111111098</v>
      </c>
      <c r="BL44">
        <v>33.43244</v>
      </c>
      <c r="BM44">
        <v>0.52626388888888898</v>
      </c>
      <c r="BN44">
        <v>35.42512</v>
      </c>
      <c r="BO44">
        <f t="shared" si="0"/>
        <v>0.120744444444444</v>
      </c>
      <c r="BP44">
        <v>5</v>
      </c>
      <c r="BQ44">
        <v>2.0772699999999999</v>
      </c>
      <c r="BR44">
        <f t="shared" si="1"/>
        <v>0</v>
      </c>
      <c r="BS44">
        <f t="shared" si="2"/>
        <v>0.120744444444444</v>
      </c>
      <c r="BT44">
        <f t="shared" si="3"/>
        <v>5</v>
      </c>
      <c r="BU44">
        <f t="shared" si="4"/>
        <v>2.0772699999999999</v>
      </c>
      <c r="BV44">
        <f t="shared" si="5"/>
        <v>0</v>
      </c>
      <c r="BW44">
        <f t="shared" si="6"/>
        <v>0.120744444444444</v>
      </c>
      <c r="BX44">
        <f t="shared" si="32"/>
        <v>5</v>
      </c>
      <c r="BY44">
        <f t="shared" si="33"/>
        <v>2.0772699999999999</v>
      </c>
      <c r="BZ44">
        <f t="shared" si="7"/>
        <v>0</v>
      </c>
      <c r="CA44">
        <f t="shared" si="8"/>
        <v>0.120744444444444</v>
      </c>
      <c r="CB44">
        <f>IF(CA44=BO44,BP44,IF(CA44=BS44,BT44,IF(CA44=BW44,BX44,0)))</f>
        <v>5</v>
      </c>
      <c r="CC44">
        <f>IF(CA44=BO44,BQ44,IF(CA44=BS44,BU44,IF(CA44=BW44,BY44,0)))</f>
        <v>2.0772699999999999</v>
      </c>
      <c r="CD44">
        <f t="shared" si="9"/>
        <v>0</v>
      </c>
      <c r="CE44">
        <f t="shared" si="10"/>
        <v>0.170980555555556</v>
      </c>
      <c r="CF44">
        <v>3</v>
      </c>
      <c r="CG44">
        <v>6.2895799999999999</v>
      </c>
      <c r="CH44">
        <f t="shared" si="11"/>
        <v>0</v>
      </c>
      <c r="CI44">
        <f t="shared" si="12"/>
        <v>0.120744444444444</v>
      </c>
      <c r="CJ44">
        <f>IF(CI44=BO44,BP44,IF(CI44=BS44,BT44,IF(CI44=BW44,BX44,IF(CI44=CA44,CB44,IF(CI44=CE44,CF44,0)))))</f>
        <v>5</v>
      </c>
      <c r="CK44">
        <f>IF(CI44=BO44,BQ44,IF(CI44=BS44,BU44,IF(CI44=BW44,BY44,IF(CI44=CA44,CC44,IF(CI44=CE44,CG44,0)))))</f>
        <v>2.0772699999999999</v>
      </c>
      <c r="CL44">
        <f t="shared" si="13"/>
        <v>0</v>
      </c>
      <c r="CM44">
        <f t="shared" si="14"/>
        <v>0.120744444444444</v>
      </c>
      <c r="CN44">
        <f>IF(CM44=BO44,BP44,IF(CM44=BS44,BT44,IF(CM44=BW44,BX44,IF(CM44=CA44,CB44,IF(CM44=CE44,CF44,IF(CM44=CI44,CJ44,0))))))</f>
        <v>5</v>
      </c>
      <c r="CO44">
        <f>IF(CM44=BO44,BQ44,IF(CM44=BS44,BU44,IF(CM44=BW44,BY44,IF(CM44=CA44,CC44,IF(CM44=CE44,CG44,IF(CM44=CI44,CK44,0))))))</f>
        <v>2.0772699999999999</v>
      </c>
      <c r="CP44">
        <f t="shared" si="15"/>
        <v>0</v>
      </c>
      <c r="CQ44">
        <f t="shared" si="16"/>
        <v>0.120744444444444</v>
      </c>
      <c r="CR44">
        <f>IF(CQ44=BO44,BP44,IF(CQ44=BS44,BT44,IF(CQ44=BW44,BX44,IF(CQ44=CA44,CB44,IF(CQ44=CE44,CF44,IF(CQ44=CI44,CJ44,IF(CQ44=CM44,CN44,0)))))))</f>
        <v>5</v>
      </c>
      <c r="CS44">
        <f>IF(CQ44=BO44,BQ44,IF(CQ44=BS44,BU44,IF(CQ44=BW44,BY44,IF(CQ44=CA44,CC44,IF(CQ44=CE44,CG44,IF(CQ44=CI44,CK44,IF(CQ44=CM44,CO44,0)))))))</f>
        <v>2.0772699999999999</v>
      </c>
      <c r="CT44">
        <f t="shared" si="17"/>
        <v>0</v>
      </c>
      <c r="CU44">
        <f t="shared" si="18"/>
        <v>0.120744444444444</v>
      </c>
      <c r="CV44">
        <f>IF(CU44=BO44,BP44,IF(CU44=BS44,BT44,IF(CU44=BW44,BX44,IF(CU44=CA44,CB44,IF(CU44=CE44,CF44,IF(CU44=CI44,CJ44,IF(CU44=CM44,CN44,IF(CU44=CQ44,CR44,0))))))))</f>
        <v>5</v>
      </c>
      <c r="CW44">
        <f>IF(CU44=BO44,BQ44,IF(CU44=BS44,BU44,IF(CU44=BW44,BY44,IF(CU44=CA44,CC44,IF(CU44=CE44,CG44,IF(CU44=CI44,CK44,IF(CU44=CM44,CO44,IF(CU44=CQ44,CS44,0))))))))</f>
        <v>2.0772699999999999</v>
      </c>
      <c r="CX44">
        <f t="shared" si="19"/>
        <v>0</v>
      </c>
      <c r="CY44">
        <f t="shared" si="20"/>
        <v>0.120744444444444</v>
      </c>
      <c r="CZ44">
        <f>IF(CY44=BO44,BP44,IF(CY44=BS44,BT44,IF(CY44=BW44,BX44,IF(CY44=CA44,CB44,IF(CY44=CE44,CF44,IF(CY44=CI44,CJ44,IF(CY44=CM44,CN44,IF(CY44=CQ44,CR44,IF(CY44=CU44,CV44,0)))))))))</f>
        <v>5</v>
      </c>
      <c r="DA44">
        <f>IF(CY44=BO44,BQ44,IF(CY44=BS44,BU44,IF(CY44=BW44,BY44,IF(CY44=CA44,CC44,IF(CY44=CE44,CG44,IF(CY44=CI44,CK44,IF(CY44=CM44,CO44,IF(CY44=CQ44,CS44,IF(CY44=CU44,CW44,0)))))))))</f>
        <v>2.0772699999999999</v>
      </c>
      <c r="DB44">
        <f t="shared" si="21"/>
        <v>0</v>
      </c>
      <c r="DC44">
        <f t="shared" si="22"/>
        <v>0.120744444444444</v>
      </c>
      <c r="DD44">
        <f>IF(DC44=BO44,BP44,IF(DC44=BS44,BT44,IF(DC44=BW44,BX44,IF(DC44=CA44,CB44,IF(DC44=CE44,CF44,IF(DC44=CI44,CJ44,IF(DC44=CM44,CN44,IF(DC44=CQ44,CR44,IF(DC44=CU44,CV44,IF(DC44=CY44,CZ44,0))))))))))</f>
        <v>5</v>
      </c>
      <c r="DE44">
        <f>IF(DC44=BO44,BQ44,IF(DC44=BS44,BU44,IF(DC44=BW44,BY44,IF(DC44=CA44,CC44,IF(DC44=CE44,CG44,IF(DC44=CI44,CK44,IF(DC44=CM44,CO44,IF(DC44=CQ44,CS44,IF(DC44=CU44,CW44,IF(DC44=CY44,DA44,0))))))))))</f>
        <v>2.0772699999999999</v>
      </c>
      <c r="DF44">
        <f t="shared" si="23"/>
        <v>0</v>
      </c>
      <c r="DG44">
        <f t="shared" si="24"/>
        <v>0.120744444444444</v>
      </c>
      <c r="DH44">
        <f>IF(DG44=BO44,BP44,IF(DG44=BS44,BT44,IF(DG44=BW44,BX44,IF(DG44=CA44,CB44,IF(DG44=CE44,CF44,IF(DG44=CI44,CJ44,IF(DG44=CM44,CN44,IF(DG44=CQ44,CR44,IF(DG44=CU44,CV44,IF(DG44=CY44,CZ44,IF(DG44=DC44,DD44,0)))))))))))</f>
        <v>5</v>
      </c>
      <c r="DI44">
        <f>IF(DG44=BO44,BQ44,IF(DG44=BS44,BU44,IF(DG44=BW44,BY44,IF(DG44=CA44,CC44,IF(DG44=CE44,CG44,IF(DG44=CI44,CK44,IF(DG44=CM44,CO44,IF(DG44=CQ44,CS44,IF(DG44=CU44,CW44,IF(DG44=CY44,DA44,IF(DG44=DC44,DE44,0)))))))))))</f>
        <v>2.0772699999999999</v>
      </c>
      <c r="DJ44">
        <f t="shared" si="25"/>
        <v>0</v>
      </c>
      <c r="DK44">
        <f t="shared" si="26"/>
        <v>0.120744444444444</v>
      </c>
      <c r="DL44">
        <f>IF(DK44=BO44,BP44,IF(DK44=BS44,BT44,IF(DK44=BW44,BX44,IF(DK44=CA44,CB44,IF(DK44=CE44,CF44,IF(DK44=CI44,CJ44,IF(DK44=CM44,CN44,IF(DK44=CQ44,CR44,IF(DK44=CU44,CV44,IF(DK44=CY44,CZ44,IF(DK44=DC44,DD44,IF(DK44=DG44,DH44,0))))))))))))</f>
        <v>5</v>
      </c>
      <c r="DM44">
        <f>IF(DK44=BO44,BQ44,IF(DK44=BS44,BU44,IF(DK44=BW44,BY44,IF(DK44=CA44,CC44,IF(DK44=CE44,CG44,IF(DK44=CI44,CK44,IF(DK44=CM44,CO44,IF(DK44=CQ44,CS44,IF(DK44=CU44,CW44,IF(DK44=CY44,DA44,IF(DK44=DC44,DE44,IF(DK44=DG44,DI44,0))))))))))))</f>
        <v>2.0772699999999999</v>
      </c>
      <c r="DN44">
        <f t="shared" si="27"/>
        <v>0</v>
      </c>
      <c r="DO44">
        <f t="shared" si="28"/>
        <v>0.120744444444444</v>
      </c>
      <c r="DP44">
        <f>IF(DO44=BO44,BP44,IF(DO44=BS44,BT44,IF(DO44=BW44,BX44,IF(DO44=CA44,CB44,IF(DO44=CE44,CF44,IF(DO44=CI44,CJ44,IF(DO44=CM44,CN44,IF(DO44=CQ44,CR44,IF(DO44=CU44,CV44,IF(DO44=CY44,CZ44,IF(DO44=DC44,DD44,IF(DO44=DG44,DH44,IF(DO44=DK44,DL44,0)))))))))))))</f>
        <v>5</v>
      </c>
      <c r="DQ44">
        <f>IF(DO44=BO44,BQ44,IF(DO44=BS44,BU44,IF(DO44=BW44,BY44,IF(DO44=CA44,CC44,IF(DO44=CE44,CG44,IF(DO44=CI44,CK44,IF(DO44=CM44,CO44,IF(DO44=CQ44,CS44,IF(DO44=CU44,CW44,IF(DO44=CY44,DA44,IF(DO44=DC44,DE44,IF(DO44=DG44,DI44,IF(DO44=DK44,DM44,0)))))))))))))</f>
        <v>2.0772699999999999</v>
      </c>
      <c r="DR44">
        <f t="shared" si="29"/>
        <v>0</v>
      </c>
      <c r="DS44">
        <f t="shared" si="30"/>
        <v>0.120744444444444</v>
      </c>
      <c r="DT44">
        <f>IF(DS44=BO44,BP44,IF(DS44=BS44,BT44,IF(DS44=BW44,BX44,IF(DS44=CA44,CB44,IF(DS44=CE44,CF44,IF(DS44=CI44,CJ44,IF(DS44=CM44,CN44,IF(DS44=CQ44,CR44,IF(DS44=CU44,CV44,IF(DS44=CY44,CZ44,IF(DS44=DC44,DD44,IF(DS44=DG44,DH44,IF(DS44=DK44,DL44,IF(DS44=DO44,DP44,0))))))))))))))</f>
        <v>5</v>
      </c>
      <c r="DU44">
        <f>IF(DS44=BO44,BQ44,IF(DS44=BS44,BU44,IF(DS44=BW44,BY44,IF(DS44=CA44,CC44,IF(DS44=CE44,CG44,IF(DS44=CI44,CK44,IF(DS44=CM44,CO44,IF(DS44=CQ44,CS44,IF(DS44=CU44,CW44,IF(DS44=CY44,DA44,IF(DS44=DC44,DE44,IF(DS44=DG44,DI44,IF(DS44=DK44,DM44,IF(DS44=DO44,DQ44,0))))))))))))))</f>
        <v>2.0772699999999999</v>
      </c>
      <c r="DV44">
        <f t="shared" si="31"/>
        <v>0</v>
      </c>
      <c r="DW44">
        <v>22500.5</v>
      </c>
      <c r="DX44">
        <v>6</v>
      </c>
      <c r="DY44">
        <v>0</v>
      </c>
      <c r="DZ44">
        <v>6</v>
      </c>
      <c r="EA44">
        <v>6</v>
      </c>
      <c r="EB44">
        <v>10.114099490560401</v>
      </c>
      <c r="EC44">
        <v>1</v>
      </c>
      <c r="ED44">
        <v>2.36317046666667</v>
      </c>
      <c r="EE44">
        <v>0.120744444444444</v>
      </c>
      <c r="EF44">
        <v>2.0772699999999999</v>
      </c>
      <c r="EG44">
        <v>7.3830473294835803</v>
      </c>
      <c r="EH44">
        <v>5</v>
      </c>
      <c r="EI44">
        <v>0</v>
      </c>
      <c r="EJ44">
        <v>0.18003006666666699</v>
      </c>
      <c r="EK44">
        <v>1</v>
      </c>
      <c r="EL44">
        <v>0</v>
      </c>
      <c r="EM44">
        <v>24</v>
      </c>
      <c r="EN44">
        <v>1</v>
      </c>
      <c r="EO44">
        <v>3</v>
      </c>
      <c r="EP44">
        <v>6</v>
      </c>
      <c r="EQ44">
        <v>3</v>
      </c>
      <c r="ER44">
        <v>14.1987814663817</v>
      </c>
      <c r="ES44">
        <v>8.2013739392205807</v>
      </c>
      <c r="ET44">
        <v>10.5645444058873</v>
      </c>
      <c r="EU44">
        <v>3.42884795989265</v>
      </c>
      <c r="EV44">
        <v>3.6088780265593101</v>
      </c>
      <c r="EW44">
        <v>1.0588630000000001</v>
      </c>
      <c r="EX44">
        <v>6.3531658850132198</v>
      </c>
      <c r="EY44">
        <v>7.4120288850132203</v>
      </c>
      <c r="EZ44">
        <v>0.18003006666666699</v>
      </c>
      <c r="FA44">
        <v>3.42884795989265</v>
      </c>
      <c r="FB44">
        <v>3.6088780265593101</v>
      </c>
      <c r="FC44">
        <v>0.54509693333333298</v>
      </c>
      <c r="FD44">
        <v>4.8554310866677399</v>
      </c>
      <c r="FE44">
        <v>5.4005280200010803</v>
      </c>
      <c r="FF44">
        <v>0.18003006666666699</v>
      </c>
      <c r="FG44">
        <v>3.42884795989265</v>
      </c>
      <c r="FH44">
        <v>3.6088780265593101</v>
      </c>
    </row>
    <row r="45" spans="1:164" x14ac:dyDescent="0.2">
      <c r="A45">
        <v>44</v>
      </c>
      <c r="B45">
        <v>52</v>
      </c>
      <c r="C45">
        <v>93</v>
      </c>
      <c r="D45">
        <v>1</v>
      </c>
      <c r="E45">
        <v>11</v>
      </c>
      <c r="F45" t="s">
        <v>146</v>
      </c>
      <c r="G45" t="s">
        <v>146</v>
      </c>
      <c r="H45">
        <v>3</v>
      </c>
      <c r="I45">
        <v>3</v>
      </c>
      <c r="K45" t="s">
        <v>204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2</v>
      </c>
      <c r="AC45">
        <v>3</v>
      </c>
      <c r="AD45">
        <v>0</v>
      </c>
      <c r="AE45">
        <v>6</v>
      </c>
      <c r="AF45">
        <v>3</v>
      </c>
      <c r="AG45">
        <v>7</v>
      </c>
      <c r="AH45">
        <v>6</v>
      </c>
      <c r="AI45">
        <v>0.28880555555555598</v>
      </c>
      <c r="AJ45">
        <v>15.72889</v>
      </c>
      <c r="AK45">
        <v>0.280725</v>
      </c>
      <c r="AL45">
        <v>11.13322</v>
      </c>
      <c r="AM45">
        <v>0.174836111111111</v>
      </c>
      <c r="AN45">
        <v>8.6630800000000008</v>
      </c>
      <c r="AO45">
        <v>0.170980555555556</v>
      </c>
      <c r="AP45">
        <v>6.2895799999999999</v>
      </c>
      <c r="AQ45">
        <v>0.19427777777777799</v>
      </c>
      <c r="AR45">
        <v>6.6174799999999996</v>
      </c>
      <c r="AS45">
        <v>0.120744444444444</v>
      </c>
      <c r="AT45">
        <v>2.0772699999999999</v>
      </c>
      <c r="AU45">
        <v>0.18041388888888901</v>
      </c>
      <c r="AV45">
        <v>7.2408900000000003</v>
      </c>
      <c r="AW45">
        <v>0.20792777777777799</v>
      </c>
      <c r="AX45">
        <v>9.4107199999999995</v>
      </c>
      <c r="AY45">
        <v>0.22372222222222199</v>
      </c>
      <c r="AZ45">
        <v>12.217650000000001</v>
      </c>
      <c r="BA45">
        <v>0.23707222222222199</v>
      </c>
      <c r="BB45">
        <v>13.53837</v>
      </c>
      <c r="BC45">
        <v>0.2979</v>
      </c>
      <c r="BD45">
        <v>14.863060000000001</v>
      </c>
      <c r="BE45">
        <v>0.30891944444444402</v>
      </c>
      <c r="BF45">
        <v>21.240020000000001</v>
      </c>
      <c r="BG45">
        <v>0.37279444444444398</v>
      </c>
      <c r="BH45">
        <v>24.642869999999998</v>
      </c>
      <c r="BI45">
        <v>0.41661944444444399</v>
      </c>
      <c r="BJ45">
        <v>26.616790000000002</v>
      </c>
      <c r="BK45">
        <v>0.48476111111111098</v>
      </c>
      <c r="BL45">
        <v>33.43244</v>
      </c>
      <c r="BM45">
        <v>0.52626388888888898</v>
      </c>
      <c r="BN45">
        <v>35.42512</v>
      </c>
      <c r="BO45">
        <f t="shared" si="0"/>
        <v>0.120744444444444</v>
      </c>
      <c r="BP45">
        <v>5</v>
      </c>
      <c r="BQ45">
        <v>2.0772699999999999</v>
      </c>
      <c r="BR45">
        <f t="shared" si="1"/>
        <v>0</v>
      </c>
      <c r="BS45">
        <f t="shared" si="2"/>
        <v>0.120744444444444</v>
      </c>
      <c r="BT45">
        <f t="shared" si="3"/>
        <v>5</v>
      </c>
      <c r="BU45">
        <f t="shared" si="4"/>
        <v>2.0772699999999999</v>
      </c>
      <c r="BV45">
        <f t="shared" si="5"/>
        <v>0</v>
      </c>
      <c r="BW45">
        <f t="shared" si="6"/>
        <v>0.120744444444444</v>
      </c>
      <c r="BX45">
        <f t="shared" si="32"/>
        <v>5</v>
      </c>
      <c r="BY45">
        <f t="shared" si="33"/>
        <v>2.0772699999999999</v>
      </c>
      <c r="BZ45">
        <f t="shared" si="7"/>
        <v>0</v>
      </c>
      <c r="CA45">
        <f t="shared" si="8"/>
        <v>0.120744444444444</v>
      </c>
      <c r="CB45">
        <f>IF(CA45=BO45,BP45,IF(CA45=BS45,BT45,IF(CA45=BW45,BX45,0)))</f>
        <v>5</v>
      </c>
      <c r="CC45">
        <f>IF(CA45=BO45,BQ45,IF(CA45=BS45,BU45,IF(CA45=BW45,BY45,0)))</f>
        <v>2.0772699999999999</v>
      </c>
      <c r="CD45">
        <f t="shared" si="9"/>
        <v>0</v>
      </c>
      <c r="CE45">
        <f t="shared" si="10"/>
        <v>0.170980555555556</v>
      </c>
      <c r="CF45">
        <v>3</v>
      </c>
      <c r="CG45">
        <v>6.2895799999999999</v>
      </c>
      <c r="CH45">
        <f t="shared" si="11"/>
        <v>0</v>
      </c>
      <c r="CI45">
        <f t="shared" si="12"/>
        <v>0.120744444444444</v>
      </c>
      <c r="CJ45">
        <f>IF(CI45=BO45,BP45,IF(CI45=BS45,BT45,IF(CI45=BW45,BX45,IF(CI45=CA45,CB45,IF(CI45=CE45,CF45,0)))))</f>
        <v>5</v>
      </c>
      <c r="CK45">
        <f>IF(CI45=BO45,BQ45,IF(CI45=BS45,BU45,IF(CI45=BW45,BY45,IF(CI45=CA45,CC45,IF(CI45=CE45,CG45,0)))))</f>
        <v>2.0772699999999999</v>
      </c>
      <c r="CL45">
        <f t="shared" si="13"/>
        <v>0</v>
      </c>
      <c r="CM45">
        <f t="shared" si="14"/>
        <v>0.120744444444444</v>
      </c>
      <c r="CN45">
        <f>IF(CM45=BO45,BP45,IF(CM45=BS45,BT45,IF(CM45=BW45,BX45,IF(CM45=CA45,CB45,IF(CM45=CE45,CF45,IF(CM45=CI45,CJ45,0))))))</f>
        <v>5</v>
      </c>
      <c r="CO45">
        <f>IF(CM45=BO45,BQ45,IF(CM45=BS45,BU45,IF(CM45=BW45,BY45,IF(CM45=CA45,CC45,IF(CM45=CE45,CG45,IF(CM45=CI45,CK45,0))))))</f>
        <v>2.0772699999999999</v>
      </c>
      <c r="CP45">
        <f t="shared" si="15"/>
        <v>0</v>
      </c>
      <c r="CQ45">
        <f t="shared" si="16"/>
        <v>0.120744444444444</v>
      </c>
      <c r="CR45">
        <f>IF(CQ45=BO45,BP45,IF(CQ45=BS45,BT45,IF(CQ45=BW45,BX45,IF(CQ45=CA45,CB45,IF(CQ45=CE45,CF45,IF(CQ45=CI45,CJ45,IF(CQ45=CM45,CN45,0)))))))</f>
        <v>5</v>
      </c>
      <c r="CS45">
        <f>IF(CQ45=BO45,BQ45,IF(CQ45=BS45,BU45,IF(CQ45=BW45,BY45,IF(CQ45=CA45,CC45,IF(CQ45=CE45,CG45,IF(CQ45=CI45,CK45,IF(CQ45=CM45,CO45,0)))))))</f>
        <v>2.0772699999999999</v>
      </c>
      <c r="CT45">
        <f t="shared" si="17"/>
        <v>0</v>
      </c>
      <c r="CU45">
        <f t="shared" si="18"/>
        <v>0.120744444444444</v>
      </c>
      <c r="CV45">
        <f>IF(CU45=BO45,BP45,IF(CU45=BS45,BT45,IF(CU45=BW45,BX45,IF(CU45=CA45,CB45,IF(CU45=CE45,CF45,IF(CU45=CI45,CJ45,IF(CU45=CM45,CN45,IF(CU45=CQ45,CR45,0))))))))</f>
        <v>5</v>
      </c>
      <c r="CW45">
        <f>IF(CU45=BO45,BQ45,IF(CU45=BS45,BU45,IF(CU45=BW45,BY45,IF(CU45=CA45,CC45,IF(CU45=CE45,CG45,IF(CU45=CI45,CK45,IF(CU45=CM45,CO45,IF(CU45=CQ45,CS45,0))))))))</f>
        <v>2.0772699999999999</v>
      </c>
      <c r="CX45">
        <f t="shared" si="19"/>
        <v>0</v>
      </c>
      <c r="CY45">
        <f t="shared" si="20"/>
        <v>0.120744444444444</v>
      </c>
      <c r="CZ45">
        <f>IF(CY45=BO45,BP45,IF(CY45=BS45,BT45,IF(CY45=BW45,BX45,IF(CY45=CA45,CB45,IF(CY45=CE45,CF45,IF(CY45=CI45,CJ45,IF(CY45=CM45,CN45,IF(CY45=CQ45,CR45,IF(CY45=CU45,CV45,0)))))))))</f>
        <v>5</v>
      </c>
      <c r="DA45">
        <f>IF(CY45=BO45,BQ45,IF(CY45=BS45,BU45,IF(CY45=BW45,BY45,IF(CY45=CA45,CC45,IF(CY45=CE45,CG45,IF(CY45=CI45,CK45,IF(CY45=CM45,CO45,IF(CY45=CQ45,CS45,IF(CY45=CU45,CW45,0)))))))))</f>
        <v>2.0772699999999999</v>
      </c>
      <c r="DB45">
        <f t="shared" si="21"/>
        <v>0</v>
      </c>
      <c r="DC45">
        <f t="shared" si="22"/>
        <v>0.120744444444444</v>
      </c>
      <c r="DD45">
        <f>IF(DC45=BO45,BP45,IF(DC45=BS45,BT45,IF(DC45=BW45,BX45,IF(DC45=CA45,CB45,IF(DC45=CE45,CF45,IF(DC45=CI45,CJ45,IF(DC45=CM45,CN45,IF(DC45=CQ45,CR45,IF(DC45=CU45,CV45,IF(DC45=CY45,CZ45,0))))))))))</f>
        <v>5</v>
      </c>
      <c r="DE45">
        <f>IF(DC45=BO45,BQ45,IF(DC45=BS45,BU45,IF(DC45=BW45,BY45,IF(DC45=CA45,CC45,IF(DC45=CE45,CG45,IF(DC45=CI45,CK45,IF(DC45=CM45,CO45,IF(DC45=CQ45,CS45,IF(DC45=CU45,CW45,IF(DC45=CY45,DA45,0))))))))))</f>
        <v>2.0772699999999999</v>
      </c>
      <c r="DF45">
        <f t="shared" si="23"/>
        <v>0</v>
      </c>
      <c r="DG45">
        <f t="shared" si="24"/>
        <v>0.120744444444444</v>
      </c>
      <c r="DH45">
        <f>IF(DG45=BO45,BP45,IF(DG45=BS45,BT45,IF(DG45=BW45,BX45,IF(DG45=CA45,CB45,IF(DG45=CE45,CF45,IF(DG45=CI45,CJ45,IF(DG45=CM45,CN45,IF(DG45=CQ45,CR45,IF(DG45=CU45,CV45,IF(DG45=CY45,CZ45,IF(DG45=DC45,DD45,0)))))))))))</f>
        <v>5</v>
      </c>
      <c r="DI45">
        <f>IF(DG45=BO45,BQ45,IF(DG45=BS45,BU45,IF(DG45=BW45,BY45,IF(DG45=CA45,CC45,IF(DG45=CE45,CG45,IF(DG45=CI45,CK45,IF(DG45=CM45,CO45,IF(DG45=CQ45,CS45,IF(DG45=CU45,CW45,IF(DG45=CY45,DA45,IF(DG45=DC45,DE45,0)))))))))))</f>
        <v>2.0772699999999999</v>
      </c>
      <c r="DJ45">
        <f t="shared" si="25"/>
        <v>0</v>
      </c>
      <c r="DK45">
        <f t="shared" si="26"/>
        <v>0.120744444444444</v>
      </c>
      <c r="DL45">
        <f>IF(DK45=BO45,BP45,IF(DK45=BS45,BT45,IF(DK45=BW45,BX45,IF(DK45=CA45,CB45,IF(DK45=CE45,CF45,IF(DK45=CI45,CJ45,IF(DK45=CM45,CN45,IF(DK45=CQ45,CR45,IF(DK45=CU45,CV45,IF(DK45=CY45,CZ45,IF(DK45=DC45,DD45,IF(DK45=DG45,DH45,0))))))))))))</f>
        <v>5</v>
      </c>
      <c r="DM45">
        <f>IF(DK45=BO45,BQ45,IF(DK45=BS45,BU45,IF(DK45=BW45,BY45,IF(DK45=CA45,CC45,IF(DK45=CE45,CG45,IF(DK45=CI45,CK45,IF(DK45=CM45,CO45,IF(DK45=CQ45,CS45,IF(DK45=CU45,CW45,IF(DK45=CY45,DA45,IF(DK45=DC45,DE45,IF(DK45=DG45,DI45,0))))))))))))</f>
        <v>2.0772699999999999</v>
      </c>
      <c r="DN45">
        <f t="shared" si="27"/>
        <v>0</v>
      </c>
      <c r="DO45">
        <f t="shared" si="28"/>
        <v>0.120744444444444</v>
      </c>
      <c r="DP45">
        <f>IF(DO45=BO45,BP45,IF(DO45=BS45,BT45,IF(DO45=BW45,BX45,IF(DO45=CA45,CB45,IF(DO45=CE45,CF45,IF(DO45=CI45,CJ45,IF(DO45=CM45,CN45,IF(DO45=CQ45,CR45,IF(DO45=CU45,CV45,IF(DO45=CY45,CZ45,IF(DO45=DC45,DD45,IF(DO45=DG45,DH45,IF(DO45=DK45,DL45,0)))))))))))))</f>
        <v>5</v>
      </c>
      <c r="DQ45">
        <f>IF(DO45=BO45,BQ45,IF(DO45=BS45,BU45,IF(DO45=BW45,BY45,IF(DO45=CA45,CC45,IF(DO45=CE45,CG45,IF(DO45=CI45,CK45,IF(DO45=CM45,CO45,IF(DO45=CQ45,CS45,IF(DO45=CU45,CW45,IF(DO45=CY45,DA45,IF(DO45=DC45,DE45,IF(DO45=DG45,DI45,IF(DO45=DK45,DM45,0)))))))))))))</f>
        <v>2.0772699999999999</v>
      </c>
      <c r="DR45">
        <f t="shared" si="29"/>
        <v>0</v>
      </c>
      <c r="DS45">
        <f t="shared" si="30"/>
        <v>0.120744444444444</v>
      </c>
      <c r="DT45">
        <f>IF(DS45=BO45,BP45,IF(DS45=BS45,BT45,IF(DS45=BW45,BX45,IF(DS45=CA45,CB45,IF(DS45=CE45,CF45,IF(DS45=CI45,CJ45,IF(DS45=CM45,CN45,IF(DS45=CQ45,CR45,IF(DS45=CU45,CV45,IF(DS45=CY45,CZ45,IF(DS45=DC45,DD45,IF(DS45=DG45,DH45,IF(DS45=DK45,DL45,IF(DS45=DO45,DP45,0))))))))))))))</f>
        <v>5</v>
      </c>
      <c r="DU45">
        <f>IF(DS45=BO45,BQ45,IF(DS45=BS45,BU45,IF(DS45=BW45,BY45,IF(DS45=CA45,CC45,IF(DS45=CE45,CG45,IF(DS45=CI45,CK45,IF(DS45=CM45,CO45,IF(DS45=CQ45,CS45,IF(DS45=CU45,CW45,IF(DS45=CY45,DA45,IF(DS45=DC45,DE45,IF(DS45=DG45,DI45,IF(DS45=DK45,DM45,IF(DS45=DO45,DQ45,0))))))))))))))</f>
        <v>2.0772699999999999</v>
      </c>
      <c r="DV45">
        <f t="shared" si="31"/>
        <v>0</v>
      </c>
      <c r="DW45">
        <v>22500.5</v>
      </c>
      <c r="DX45">
        <v>1</v>
      </c>
      <c r="DY45">
        <v>0</v>
      </c>
      <c r="DZ45">
        <v>6</v>
      </c>
      <c r="EA45">
        <v>6</v>
      </c>
      <c r="EB45">
        <v>10.114099490560401</v>
      </c>
      <c r="EC45">
        <v>6</v>
      </c>
      <c r="ED45">
        <v>14.1790228</v>
      </c>
      <c r="EE45">
        <v>0.120744444444444</v>
      </c>
      <c r="EF45">
        <v>2.0772699999999999</v>
      </c>
      <c r="EG45">
        <v>15.0882027537469</v>
      </c>
      <c r="EH45">
        <v>5</v>
      </c>
      <c r="EI45">
        <v>0</v>
      </c>
      <c r="EJ45">
        <v>1.0801803999999999</v>
      </c>
      <c r="EK45">
        <v>1</v>
      </c>
      <c r="EL45">
        <v>0</v>
      </c>
      <c r="EM45">
        <v>23</v>
      </c>
      <c r="EN45">
        <v>1</v>
      </c>
      <c r="EO45">
        <v>3</v>
      </c>
      <c r="EP45">
        <v>6</v>
      </c>
      <c r="EQ45">
        <v>3</v>
      </c>
      <c r="ER45">
        <v>14.1987814663817</v>
      </c>
      <c r="ES45">
        <v>8.2013739392205807</v>
      </c>
      <c r="ET45">
        <v>22.3803967392206</v>
      </c>
      <c r="EU45">
        <v>3.42884795989265</v>
      </c>
      <c r="EV45">
        <v>4.5090283598926497</v>
      </c>
      <c r="EW45">
        <v>6.3531779999999998</v>
      </c>
      <c r="EX45">
        <v>6.3531658850132198</v>
      </c>
      <c r="EY45">
        <v>12.706343885013199</v>
      </c>
      <c r="EZ45">
        <v>1.0801803999999999</v>
      </c>
      <c r="FA45">
        <v>3.42884795989265</v>
      </c>
      <c r="FB45">
        <v>4.5090283598926497</v>
      </c>
      <c r="FC45">
        <v>3.2705815999999999</v>
      </c>
      <c r="FD45">
        <v>4.8554310866677399</v>
      </c>
      <c r="FE45">
        <v>8.1260126866677407</v>
      </c>
      <c r="FF45">
        <v>1.0801803999999999</v>
      </c>
      <c r="FG45">
        <v>3.42884795989265</v>
      </c>
      <c r="FH45">
        <v>4.5090283598926497</v>
      </c>
    </row>
    <row r="46" spans="1:164" x14ac:dyDescent="0.2">
      <c r="A46">
        <v>45</v>
      </c>
      <c r="B46">
        <v>53</v>
      </c>
      <c r="C46">
        <v>94</v>
      </c>
      <c r="D46">
        <v>1</v>
      </c>
      <c r="E46">
        <v>11</v>
      </c>
      <c r="F46" t="s">
        <v>146</v>
      </c>
      <c r="G46" t="s">
        <v>207</v>
      </c>
      <c r="H46">
        <v>3</v>
      </c>
      <c r="I46">
        <v>3</v>
      </c>
      <c r="K46" t="s">
        <v>204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3</v>
      </c>
      <c r="AC46">
        <v>0</v>
      </c>
      <c r="AD46">
        <v>2</v>
      </c>
      <c r="AE46">
        <v>6</v>
      </c>
      <c r="AF46">
        <v>3</v>
      </c>
      <c r="AG46">
        <v>7</v>
      </c>
      <c r="AH46">
        <v>5</v>
      </c>
      <c r="AI46">
        <v>0.28880555555555598</v>
      </c>
      <c r="AJ46">
        <v>15.72889</v>
      </c>
      <c r="AK46">
        <v>0.280725</v>
      </c>
      <c r="AL46">
        <v>11.13322</v>
      </c>
      <c r="AM46">
        <v>0.174836111111111</v>
      </c>
      <c r="AN46">
        <v>8.6630800000000008</v>
      </c>
      <c r="AO46">
        <v>0.170980555555556</v>
      </c>
      <c r="AP46">
        <v>6.2895799999999999</v>
      </c>
      <c r="AQ46">
        <v>0.19427777777777799</v>
      </c>
      <c r="AR46">
        <v>6.6174799999999996</v>
      </c>
      <c r="AS46">
        <v>0.120744444444444</v>
      </c>
      <c r="AT46">
        <v>2.0772699999999999</v>
      </c>
      <c r="AU46">
        <v>0.18041388888888901</v>
      </c>
      <c r="AV46">
        <v>7.2408900000000003</v>
      </c>
      <c r="AW46">
        <v>0.20792777777777799</v>
      </c>
      <c r="AX46">
        <v>9.4107199999999995</v>
      </c>
      <c r="AY46">
        <v>0.22372222222222199</v>
      </c>
      <c r="AZ46">
        <v>12.217650000000001</v>
      </c>
      <c r="BA46">
        <v>0.23707222222222199</v>
      </c>
      <c r="BB46">
        <v>13.53837</v>
      </c>
      <c r="BC46">
        <v>0.2979</v>
      </c>
      <c r="BD46">
        <v>14.863060000000001</v>
      </c>
      <c r="BE46">
        <v>0.30891944444444402</v>
      </c>
      <c r="BF46">
        <v>21.240020000000001</v>
      </c>
      <c r="BG46">
        <v>0.37279444444444398</v>
      </c>
      <c r="BH46">
        <v>24.642869999999998</v>
      </c>
      <c r="BI46">
        <v>0.41661944444444399</v>
      </c>
      <c r="BJ46">
        <v>26.616790000000002</v>
      </c>
      <c r="BK46">
        <v>0.48476111111111098</v>
      </c>
      <c r="BL46">
        <v>33.43244</v>
      </c>
      <c r="BM46">
        <v>0.52626388888888898</v>
      </c>
      <c r="BN46">
        <v>35.42512</v>
      </c>
      <c r="BO46">
        <f t="shared" si="0"/>
        <v>0.120744444444444</v>
      </c>
      <c r="BP46">
        <v>5</v>
      </c>
      <c r="BQ46">
        <v>2.0772699999999999</v>
      </c>
      <c r="BR46">
        <f t="shared" si="1"/>
        <v>0</v>
      </c>
      <c r="BS46">
        <f t="shared" si="2"/>
        <v>0.120744444444444</v>
      </c>
      <c r="BT46">
        <f t="shared" si="3"/>
        <v>5</v>
      </c>
      <c r="BU46">
        <f t="shared" si="4"/>
        <v>2.0772699999999999</v>
      </c>
      <c r="BV46">
        <f t="shared" si="5"/>
        <v>0</v>
      </c>
      <c r="BW46">
        <f t="shared" si="6"/>
        <v>0.120744444444444</v>
      </c>
      <c r="BX46">
        <f t="shared" si="32"/>
        <v>5</v>
      </c>
      <c r="BY46">
        <f t="shared" si="33"/>
        <v>2.0772699999999999</v>
      </c>
      <c r="BZ46">
        <f t="shared" si="7"/>
        <v>0</v>
      </c>
      <c r="CA46">
        <f t="shared" si="8"/>
        <v>0.120744444444444</v>
      </c>
      <c r="CB46">
        <f>IF(CA46=BO46,BP46,IF(CA46=BS46,BT46,IF(CA46=BW46,BX46,0)))</f>
        <v>5</v>
      </c>
      <c r="CC46">
        <f>IF(CA46=BO46,BQ46,IF(CA46=BS46,BU46,IF(CA46=BW46,BY46,0)))</f>
        <v>2.0772699999999999</v>
      </c>
      <c r="CD46">
        <f t="shared" si="9"/>
        <v>0</v>
      </c>
      <c r="CE46">
        <f t="shared" si="10"/>
        <v>0.170980555555556</v>
      </c>
      <c r="CF46">
        <v>3</v>
      </c>
      <c r="CG46">
        <v>6.2895799999999999</v>
      </c>
      <c r="CH46">
        <f t="shared" si="11"/>
        <v>0</v>
      </c>
      <c r="CI46">
        <f t="shared" si="12"/>
        <v>0.120744444444444</v>
      </c>
      <c r="CJ46">
        <f>IF(CI46=BO46,BP46,IF(CI46=BS46,BT46,IF(CI46=BW46,BX46,IF(CI46=CA46,CB46,IF(CI46=CE46,CF46,0)))))</f>
        <v>5</v>
      </c>
      <c r="CK46">
        <f>IF(CI46=BO46,BQ46,IF(CI46=BS46,BU46,IF(CI46=BW46,BY46,IF(CI46=CA46,CC46,IF(CI46=CE46,CG46,0)))))</f>
        <v>2.0772699999999999</v>
      </c>
      <c r="CL46">
        <f t="shared" si="13"/>
        <v>0</v>
      </c>
      <c r="CM46">
        <f t="shared" si="14"/>
        <v>0.120744444444444</v>
      </c>
      <c r="CN46">
        <f>IF(CM46=BO46,BP46,IF(CM46=BS46,BT46,IF(CM46=BW46,BX46,IF(CM46=CA46,CB46,IF(CM46=CE46,CF46,IF(CM46=CI46,CJ46,0))))))</f>
        <v>5</v>
      </c>
      <c r="CO46">
        <f>IF(CM46=BO46,BQ46,IF(CM46=BS46,BU46,IF(CM46=BW46,BY46,IF(CM46=CA46,CC46,IF(CM46=CE46,CG46,IF(CM46=CI46,CK46,0))))))</f>
        <v>2.0772699999999999</v>
      </c>
      <c r="CP46">
        <f t="shared" si="15"/>
        <v>0</v>
      </c>
      <c r="CQ46">
        <f t="shared" si="16"/>
        <v>0.120744444444444</v>
      </c>
      <c r="CR46">
        <f>IF(CQ46=BO46,BP46,IF(CQ46=BS46,BT46,IF(CQ46=BW46,BX46,IF(CQ46=CA46,CB46,IF(CQ46=CE46,CF46,IF(CQ46=CI46,CJ46,IF(CQ46=CM46,CN46,0)))))))</f>
        <v>5</v>
      </c>
      <c r="CS46">
        <f>IF(CQ46=BO46,BQ46,IF(CQ46=BS46,BU46,IF(CQ46=BW46,BY46,IF(CQ46=CA46,CC46,IF(CQ46=CE46,CG46,IF(CQ46=CI46,CK46,IF(CQ46=CM46,CO46,0)))))))</f>
        <v>2.0772699999999999</v>
      </c>
      <c r="CT46">
        <f t="shared" si="17"/>
        <v>0</v>
      </c>
      <c r="CU46">
        <f t="shared" si="18"/>
        <v>0.120744444444444</v>
      </c>
      <c r="CV46">
        <f>IF(CU46=BO46,BP46,IF(CU46=BS46,BT46,IF(CU46=BW46,BX46,IF(CU46=CA46,CB46,IF(CU46=CE46,CF46,IF(CU46=CI46,CJ46,IF(CU46=CM46,CN46,IF(CU46=CQ46,CR46,0))))))))</f>
        <v>5</v>
      </c>
      <c r="CW46">
        <f>IF(CU46=BO46,BQ46,IF(CU46=BS46,BU46,IF(CU46=BW46,BY46,IF(CU46=CA46,CC46,IF(CU46=CE46,CG46,IF(CU46=CI46,CK46,IF(CU46=CM46,CO46,IF(CU46=CQ46,CS46,0))))))))</f>
        <v>2.0772699999999999</v>
      </c>
      <c r="CX46">
        <f t="shared" si="19"/>
        <v>0</v>
      </c>
      <c r="CY46">
        <f t="shared" si="20"/>
        <v>0.120744444444444</v>
      </c>
      <c r="CZ46">
        <f>IF(CY46=BO46,BP46,IF(CY46=BS46,BT46,IF(CY46=BW46,BX46,IF(CY46=CA46,CB46,IF(CY46=CE46,CF46,IF(CY46=CI46,CJ46,IF(CY46=CM46,CN46,IF(CY46=CQ46,CR46,IF(CY46=CU46,CV46,0)))))))))</f>
        <v>5</v>
      </c>
      <c r="DA46">
        <f>IF(CY46=BO46,BQ46,IF(CY46=BS46,BU46,IF(CY46=BW46,BY46,IF(CY46=CA46,CC46,IF(CY46=CE46,CG46,IF(CY46=CI46,CK46,IF(CY46=CM46,CO46,IF(CY46=CQ46,CS46,IF(CY46=CU46,CW46,0)))))))))</f>
        <v>2.0772699999999999</v>
      </c>
      <c r="DB46">
        <f t="shared" si="21"/>
        <v>0</v>
      </c>
      <c r="DC46">
        <f t="shared" si="22"/>
        <v>0.120744444444444</v>
      </c>
      <c r="DD46">
        <f>IF(DC46=BO46,BP46,IF(DC46=BS46,BT46,IF(DC46=BW46,BX46,IF(DC46=CA46,CB46,IF(DC46=CE46,CF46,IF(DC46=CI46,CJ46,IF(DC46=CM46,CN46,IF(DC46=CQ46,CR46,IF(DC46=CU46,CV46,IF(DC46=CY46,CZ46,0))))))))))</f>
        <v>5</v>
      </c>
      <c r="DE46">
        <f>IF(DC46=BO46,BQ46,IF(DC46=BS46,BU46,IF(DC46=BW46,BY46,IF(DC46=CA46,CC46,IF(DC46=CE46,CG46,IF(DC46=CI46,CK46,IF(DC46=CM46,CO46,IF(DC46=CQ46,CS46,IF(DC46=CU46,CW46,IF(DC46=CY46,DA46,0))))))))))</f>
        <v>2.0772699999999999</v>
      </c>
      <c r="DF46">
        <f t="shared" si="23"/>
        <v>0</v>
      </c>
      <c r="DG46">
        <f t="shared" si="24"/>
        <v>0.120744444444444</v>
      </c>
      <c r="DH46">
        <f>IF(DG46=BO46,BP46,IF(DG46=BS46,BT46,IF(DG46=BW46,BX46,IF(DG46=CA46,CB46,IF(DG46=CE46,CF46,IF(DG46=CI46,CJ46,IF(DG46=CM46,CN46,IF(DG46=CQ46,CR46,IF(DG46=CU46,CV46,IF(DG46=CY46,CZ46,IF(DG46=DC46,DD46,0)))))))))))</f>
        <v>5</v>
      </c>
      <c r="DI46">
        <f>IF(DG46=BO46,BQ46,IF(DG46=BS46,BU46,IF(DG46=BW46,BY46,IF(DG46=CA46,CC46,IF(DG46=CE46,CG46,IF(DG46=CI46,CK46,IF(DG46=CM46,CO46,IF(DG46=CQ46,CS46,IF(DG46=CU46,CW46,IF(DG46=CY46,DA46,IF(DG46=DC46,DE46,0)))))))))))</f>
        <v>2.0772699999999999</v>
      </c>
      <c r="DJ46">
        <f t="shared" si="25"/>
        <v>0</v>
      </c>
      <c r="DK46">
        <f t="shared" si="26"/>
        <v>0.120744444444444</v>
      </c>
      <c r="DL46">
        <f>IF(DK46=BO46,BP46,IF(DK46=BS46,BT46,IF(DK46=BW46,BX46,IF(DK46=CA46,CB46,IF(DK46=CE46,CF46,IF(DK46=CI46,CJ46,IF(DK46=CM46,CN46,IF(DK46=CQ46,CR46,IF(DK46=CU46,CV46,IF(DK46=CY46,CZ46,IF(DK46=DC46,DD46,IF(DK46=DG46,DH46,0))))))))))))</f>
        <v>5</v>
      </c>
      <c r="DM46">
        <f>IF(DK46=BO46,BQ46,IF(DK46=BS46,BU46,IF(DK46=BW46,BY46,IF(DK46=CA46,CC46,IF(DK46=CE46,CG46,IF(DK46=CI46,CK46,IF(DK46=CM46,CO46,IF(DK46=CQ46,CS46,IF(DK46=CU46,CW46,IF(DK46=CY46,DA46,IF(DK46=DC46,DE46,IF(DK46=DG46,DI46,0))))))))))))</f>
        <v>2.0772699999999999</v>
      </c>
      <c r="DN46">
        <f t="shared" si="27"/>
        <v>0</v>
      </c>
      <c r="DO46">
        <f t="shared" si="28"/>
        <v>0.120744444444444</v>
      </c>
      <c r="DP46">
        <f>IF(DO46=BO46,BP46,IF(DO46=BS46,BT46,IF(DO46=BW46,BX46,IF(DO46=CA46,CB46,IF(DO46=CE46,CF46,IF(DO46=CI46,CJ46,IF(DO46=CM46,CN46,IF(DO46=CQ46,CR46,IF(DO46=CU46,CV46,IF(DO46=CY46,CZ46,IF(DO46=DC46,DD46,IF(DO46=DG46,DH46,IF(DO46=DK46,DL46,0)))))))))))))</f>
        <v>5</v>
      </c>
      <c r="DQ46">
        <f>IF(DO46=BO46,BQ46,IF(DO46=BS46,BU46,IF(DO46=BW46,BY46,IF(DO46=CA46,CC46,IF(DO46=CE46,CG46,IF(DO46=CI46,CK46,IF(DO46=CM46,CO46,IF(DO46=CQ46,CS46,IF(DO46=CU46,CW46,IF(DO46=CY46,DA46,IF(DO46=DC46,DE46,IF(DO46=DG46,DI46,IF(DO46=DK46,DM46,0)))))))))))))</f>
        <v>2.0772699999999999</v>
      </c>
      <c r="DR46">
        <f t="shared" si="29"/>
        <v>0</v>
      </c>
      <c r="DS46">
        <f t="shared" si="30"/>
        <v>0.120744444444444</v>
      </c>
      <c r="DT46">
        <f>IF(DS46=BO46,BP46,IF(DS46=BS46,BT46,IF(DS46=BW46,BX46,IF(DS46=CA46,CB46,IF(DS46=CE46,CF46,IF(DS46=CI46,CJ46,IF(DS46=CM46,CN46,IF(DS46=CQ46,CR46,IF(DS46=CU46,CV46,IF(DS46=CY46,CZ46,IF(DS46=DC46,DD46,IF(DS46=DG46,DH46,IF(DS46=DK46,DL46,IF(DS46=DO46,DP46,0))))))))))))))</f>
        <v>5</v>
      </c>
      <c r="DU46">
        <f>IF(DS46=BO46,BQ46,IF(DS46=BS46,BU46,IF(DS46=BW46,BY46,IF(DS46=CA46,CC46,IF(DS46=CE46,CG46,IF(DS46=CI46,CK46,IF(DS46=CM46,CO46,IF(DS46=CQ46,CS46,IF(DS46=CU46,CW46,IF(DS46=CY46,DA46,IF(DS46=DC46,DE46,IF(DS46=DG46,DI46,IF(DS46=DK46,DM46,IF(DS46=DO46,DQ46,0))))))))))))))</f>
        <v>2.0772699999999999</v>
      </c>
      <c r="DV46">
        <f t="shared" si="31"/>
        <v>0</v>
      </c>
      <c r="DW46">
        <v>7500</v>
      </c>
      <c r="DX46">
        <v>6</v>
      </c>
      <c r="DY46">
        <v>0</v>
      </c>
      <c r="EA46">
        <v>6</v>
      </c>
      <c r="EB46">
        <v>3.37129157926281</v>
      </c>
      <c r="EC46">
        <v>1</v>
      </c>
      <c r="ED46">
        <v>2.36317046666667</v>
      </c>
      <c r="EE46">
        <v>0.120744444444444</v>
      </c>
      <c r="EF46">
        <v>2.0772699999999999</v>
      </c>
      <c r="EG46">
        <v>3.4883265598301998</v>
      </c>
      <c r="EH46">
        <v>5</v>
      </c>
      <c r="EI46">
        <v>0</v>
      </c>
      <c r="EJ46">
        <v>0.18003006666666699</v>
      </c>
      <c r="EK46">
        <v>1</v>
      </c>
      <c r="EL46">
        <v>0</v>
      </c>
      <c r="EM46">
        <v>24</v>
      </c>
      <c r="EN46">
        <v>1</v>
      </c>
      <c r="EO46">
        <v>4</v>
      </c>
      <c r="EP46">
        <v>5</v>
      </c>
      <c r="EQ46">
        <v>3</v>
      </c>
      <c r="ER46">
        <v>14.1987814663817</v>
      </c>
      <c r="ES46">
        <v>8.2013739392205807</v>
      </c>
      <c r="ET46">
        <v>10.5645444058873</v>
      </c>
      <c r="EU46">
        <v>3.42884795989265</v>
      </c>
      <c r="EV46">
        <v>3.6088780265593101</v>
      </c>
      <c r="EW46">
        <v>1.0588630000000001</v>
      </c>
      <c r="EX46">
        <v>6.3531658850132198</v>
      </c>
      <c r="EY46">
        <v>7.4120288850132203</v>
      </c>
      <c r="EZ46">
        <v>0.18003006666666699</v>
      </c>
      <c r="FA46">
        <v>3.42884795989265</v>
      </c>
      <c r="FB46">
        <v>3.6088780265593101</v>
      </c>
      <c r="FC46">
        <v>0.54509693333333298</v>
      </c>
      <c r="FD46">
        <v>4.8554310866677399</v>
      </c>
      <c r="FE46">
        <v>5.4005280200010803</v>
      </c>
      <c r="FF46">
        <v>0.18003006666666699</v>
      </c>
      <c r="FG46">
        <v>3.42884795989265</v>
      </c>
      <c r="FH46">
        <v>3.6088780265593101</v>
      </c>
    </row>
    <row r="47" spans="1:164" x14ac:dyDescent="0.2">
      <c r="A47">
        <v>46</v>
      </c>
      <c r="B47">
        <v>54</v>
      </c>
      <c r="C47">
        <v>95</v>
      </c>
      <c r="D47">
        <v>1</v>
      </c>
      <c r="E47">
        <v>11</v>
      </c>
      <c r="F47" t="s">
        <v>146</v>
      </c>
      <c r="G47" t="s">
        <v>208</v>
      </c>
      <c r="H47">
        <v>3</v>
      </c>
      <c r="I47">
        <v>3</v>
      </c>
      <c r="K47" t="s">
        <v>209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1</v>
      </c>
      <c r="AD47">
        <v>1</v>
      </c>
      <c r="AE47">
        <v>4</v>
      </c>
      <c r="AF47">
        <v>2</v>
      </c>
      <c r="AG47">
        <v>7</v>
      </c>
      <c r="AH47">
        <v>6</v>
      </c>
      <c r="AI47">
        <v>0.28880555555555598</v>
      </c>
      <c r="AJ47">
        <v>15.72889</v>
      </c>
      <c r="AK47">
        <v>0.280725</v>
      </c>
      <c r="AL47">
        <v>11.13322</v>
      </c>
      <c r="AM47">
        <v>0.174836111111111</v>
      </c>
      <c r="AN47">
        <v>8.6630800000000008</v>
      </c>
      <c r="AO47">
        <v>0.170980555555556</v>
      </c>
      <c r="AP47">
        <v>6.2895799999999999</v>
      </c>
      <c r="AQ47">
        <v>0.19427777777777799</v>
      </c>
      <c r="AR47">
        <v>6.6174799999999996</v>
      </c>
      <c r="AS47">
        <v>0.120744444444444</v>
      </c>
      <c r="AT47">
        <v>2.0772699999999999</v>
      </c>
      <c r="AU47">
        <v>0.18041388888888901</v>
      </c>
      <c r="AV47">
        <v>7.2408900000000003</v>
      </c>
      <c r="AW47">
        <v>0.20792777777777799</v>
      </c>
      <c r="AX47">
        <v>9.4107199999999995</v>
      </c>
      <c r="AY47">
        <v>0.22372222222222199</v>
      </c>
      <c r="AZ47">
        <v>12.217650000000001</v>
      </c>
      <c r="BA47">
        <v>0.23707222222222199</v>
      </c>
      <c r="BB47">
        <v>13.53837</v>
      </c>
      <c r="BC47">
        <v>0.2979</v>
      </c>
      <c r="BD47">
        <v>14.863060000000001</v>
      </c>
      <c r="BE47">
        <v>0.30891944444444402</v>
      </c>
      <c r="BF47">
        <v>21.240020000000001</v>
      </c>
      <c r="BG47">
        <v>0.37279444444444398</v>
      </c>
      <c r="BH47">
        <v>24.642869999999998</v>
      </c>
      <c r="BI47">
        <v>0.41661944444444399</v>
      </c>
      <c r="BJ47">
        <v>26.616790000000002</v>
      </c>
      <c r="BK47">
        <v>0.48476111111111098</v>
      </c>
      <c r="BL47">
        <v>33.43244</v>
      </c>
      <c r="BM47">
        <v>0.52626388888888898</v>
      </c>
      <c r="BN47">
        <v>35.42512</v>
      </c>
      <c r="BO47">
        <f t="shared" si="0"/>
        <v>0.120744444444444</v>
      </c>
      <c r="BP47">
        <v>5</v>
      </c>
      <c r="BQ47">
        <v>2.0772699999999999</v>
      </c>
      <c r="BR47">
        <f t="shared" si="1"/>
        <v>0</v>
      </c>
      <c r="BS47">
        <f t="shared" si="2"/>
        <v>0.120744444444444</v>
      </c>
      <c r="BT47">
        <f t="shared" si="3"/>
        <v>5</v>
      </c>
      <c r="BU47">
        <f t="shared" si="4"/>
        <v>2.0772699999999999</v>
      </c>
      <c r="BV47">
        <f t="shared" si="5"/>
        <v>0</v>
      </c>
      <c r="BW47">
        <f t="shared" si="6"/>
        <v>0.120744444444444</v>
      </c>
      <c r="BX47">
        <f t="shared" si="32"/>
        <v>5</v>
      </c>
      <c r="BY47">
        <f t="shared" si="33"/>
        <v>2.0772699999999999</v>
      </c>
      <c r="BZ47">
        <f t="shared" si="7"/>
        <v>0</v>
      </c>
      <c r="CA47">
        <f t="shared" si="8"/>
        <v>0.120744444444444</v>
      </c>
      <c r="CB47">
        <f>IF(CA47=BO47,BP47,IF(CA47=BS47,BT47,IF(CA47=BW47,BX47,0)))</f>
        <v>5</v>
      </c>
      <c r="CC47">
        <f>IF(CA47=BO47,BQ47,IF(CA47=BS47,BU47,IF(CA47=BW47,BY47,0)))</f>
        <v>2.0772699999999999</v>
      </c>
      <c r="CD47">
        <f t="shared" si="9"/>
        <v>0</v>
      </c>
      <c r="CE47">
        <f t="shared" si="10"/>
        <v>0.170980555555556</v>
      </c>
      <c r="CF47">
        <v>3</v>
      </c>
      <c r="CG47">
        <v>6.2895799999999999</v>
      </c>
      <c r="CH47">
        <f t="shared" si="11"/>
        <v>0</v>
      </c>
      <c r="CI47">
        <f t="shared" si="12"/>
        <v>0.120744444444444</v>
      </c>
      <c r="CJ47">
        <f>IF(CI47=BO47,BP47,IF(CI47=BS47,BT47,IF(CI47=BW47,BX47,IF(CI47=CA47,CB47,IF(CI47=CE47,CF47,0)))))</f>
        <v>5</v>
      </c>
      <c r="CK47">
        <f>IF(CI47=BO47,BQ47,IF(CI47=BS47,BU47,IF(CI47=BW47,BY47,IF(CI47=CA47,CC47,IF(CI47=CE47,CG47,0)))))</f>
        <v>2.0772699999999999</v>
      </c>
      <c r="CL47">
        <f t="shared" si="13"/>
        <v>0</v>
      </c>
      <c r="CM47">
        <f t="shared" si="14"/>
        <v>0.120744444444444</v>
      </c>
      <c r="CN47">
        <f>IF(CM47=BO47,BP47,IF(CM47=BS47,BT47,IF(CM47=BW47,BX47,IF(CM47=CA47,CB47,IF(CM47=CE47,CF47,IF(CM47=CI47,CJ47,0))))))</f>
        <v>5</v>
      </c>
      <c r="CO47">
        <f>IF(CM47=BO47,BQ47,IF(CM47=BS47,BU47,IF(CM47=BW47,BY47,IF(CM47=CA47,CC47,IF(CM47=CE47,CG47,IF(CM47=CI47,CK47,0))))))</f>
        <v>2.0772699999999999</v>
      </c>
      <c r="CP47">
        <f t="shared" si="15"/>
        <v>0</v>
      </c>
      <c r="CQ47">
        <f t="shared" si="16"/>
        <v>0.120744444444444</v>
      </c>
      <c r="CR47">
        <f>IF(CQ47=BO47,BP47,IF(CQ47=BS47,BT47,IF(CQ47=BW47,BX47,IF(CQ47=CA47,CB47,IF(CQ47=CE47,CF47,IF(CQ47=CI47,CJ47,IF(CQ47=CM47,CN47,0)))))))</f>
        <v>5</v>
      </c>
      <c r="CS47">
        <f>IF(CQ47=BO47,BQ47,IF(CQ47=BS47,BU47,IF(CQ47=BW47,BY47,IF(CQ47=CA47,CC47,IF(CQ47=CE47,CG47,IF(CQ47=CI47,CK47,IF(CQ47=CM47,CO47,0)))))))</f>
        <v>2.0772699999999999</v>
      </c>
      <c r="CT47">
        <f t="shared" si="17"/>
        <v>0</v>
      </c>
      <c r="CU47">
        <f t="shared" si="18"/>
        <v>0.120744444444444</v>
      </c>
      <c r="CV47">
        <f>IF(CU47=BO47,BP47,IF(CU47=BS47,BT47,IF(CU47=BW47,BX47,IF(CU47=CA47,CB47,IF(CU47=CE47,CF47,IF(CU47=CI47,CJ47,IF(CU47=CM47,CN47,IF(CU47=CQ47,CR47,0))))))))</f>
        <v>5</v>
      </c>
      <c r="CW47">
        <f>IF(CU47=BO47,BQ47,IF(CU47=BS47,BU47,IF(CU47=BW47,BY47,IF(CU47=CA47,CC47,IF(CU47=CE47,CG47,IF(CU47=CI47,CK47,IF(CU47=CM47,CO47,IF(CU47=CQ47,CS47,0))))))))</f>
        <v>2.0772699999999999</v>
      </c>
      <c r="CX47">
        <f t="shared" si="19"/>
        <v>0</v>
      </c>
      <c r="CY47">
        <f t="shared" si="20"/>
        <v>0.120744444444444</v>
      </c>
      <c r="CZ47">
        <f>IF(CY47=BO47,BP47,IF(CY47=BS47,BT47,IF(CY47=BW47,BX47,IF(CY47=CA47,CB47,IF(CY47=CE47,CF47,IF(CY47=CI47,CJ47,IF(CY47=CM47,CN47,IF(CY47=CQ47,CR47,IF(CY47=CU47,CV47,0)))))))))</f>
        <v>5</v>
      </c>
      <c r="DA47">
        <f>IF(CY47=BO47,BQ47,IF(CY47=BS47,BU47,IF(CY47=BW47,BY47,IF(CY47=CA47,CC47,IF(CY47=CE47,CG47,IF(CY47=CI47,CK47,IF(CY47=CM47,CO47,IF(CY47=CQ47,CS47,IF(CY47=CU47,CW47,0)))))))))</f>
        <v>2.0772699999999999</v>
      </c>
      <c r="DB47">
        <f t="shared" si="21"/>
        <v>0</v>
      </c>
      <c r="DC47">
        <f t="shared" si="22"/>
        <v>0.120744444444444</v>
      </c>
      <c r="DD47">
        <f>IF(DC47=BO47,BP47,IF(DC47=BS47,BT47,IF(DC47=BW47,BX47,IF(DC47=CA47,CB47,IF(DC47=CE47,CF47,IF(DC47=CI47,CJ47,IF(DC47=CM47,CN47,IF(DC47=CQ47,CR47,IF(DC47=CU47,CV47,IF(DC47=CY47,CZ47,0))))))))))</f>
        <v>5</v>
      </c>
      <c r="DE47">
        <f>IF(DC47=BO47,BQ47,IF(DC47=BS47,BU47,IF(DC47=BW47,BY47,IF(DC47=CA47,CC47,IF(DC47=CE47,CG47,IF(DC47=CI47,CK47,IF(DC47=CM47,CO47,IF(DC47=CQ47,CS47,IF(DC47=CU47,CW47,IF(DC47=CY47,DA47,0))))))))))</f>
        <v>2.0772699999999999</v>
      </c>
      <c r="DF47">
        <f t="shared" si="23"/>
        <v>0</v>
      </c>
      <c r="DG47">
        <f t="shared" si="24"/>
        <v>0.120744444444444</v>
      </c>
      <c r="DH47">
        <f>IF(DG47=BO47,BP47,IF(DG47=BS47,BT47,IF(DG47=BW47,BX47,IF(DG47=CA47,CB47,IF(DG47=CE47,CF47,IF(DG47=CI47,CJ47,IF(DG47=CM47,CN47,IF(DG47=CQ47,CR47,IF(DG47=CU47,CV47,IF(DG47=CY47,CZ47,IF(DG47=DC47,DD47,0)))))))))))</f>
        <v>5</v>
      </c>
      <c r="DI47">
        <f>IF(DG47=BO47,BQ47,IF(DG47=BS47,BU47,IF(DG47=BW47,BY47,IF(DG47=CA47,CC47,IF(DG47=CE47,CG47,IF(DG47=CI47,CK47,IF(DG47=CM47,CO47,IF(DG47=CQ47,CS47,IF(DG47=CU47,CW47,IF(DG47=CY47,DA47,IF(DG47=DC47,DE47,0)))))))))))</f>
        <v>2.0772699999999999</v>
      </c>
      <c r="DJ47">
        <f t="shared" si="25"/>
        <v>0</v>
      </c>
      <c r="DK47">
        <f t="shared" si="26"/>
        <v>0.120744444444444</v>
      </c>
      <c r="DL47">
        <f>IF(DK47=BO47,BP47,IF(DK47=BS47,BT47,IF(DK47=BW47,BX47,IF(DK47=CA47,CB47,IF(DK47=CE47,CF47,IF(DK47=CI47,CJ47,IF(DK47=CM47,CN47,IF(DK47=CQ47,CR47,IF(DK47=CU47,CV47,IF(DK47=CY47,CZ47,IF(DK47=DC47,DD47,IF(DK47=DG47,DH47,0))))))))))))</f>
        <v>5</v>
      </c>
      <c r="DM47">
        <f>IF(DK47=BO47,BQ47,IF(DK47=BS47,BU47,IF(DK47=BW47,BY47,IF(DK47=CA47,CC47,IF(DK47=CE47,CG47,IF(DK47=CI47,CK47,IF(DK47=CM47,CO47,IF(DK47=CQ47,CS47,IF(DK47=CU47,CW47,IF(DK47=CY47,DA47,IF(DK47=DC47,DE47,IF(DK47=DG47,DI47,0))))))))))))</f>
        <v>2.0772699999999999</v>
      </c>
      <c r="DN47">
        <f t="shared" si="27"/>
        <v>0</v>
      </c>
      <c r="DO47">
        <f t="shared" si="28"/>
        <v>0.120744444444444</v>
      </c>
      <c r="DP47">
        <f>IF(DO47=BO47,BP47,IF(DO47=BS47,BT47,IF(DO47=BW47,BX47,IF(DO47=CA47,CB47,IF(DO47=CE47,CF47,IF(DO47=CI47,CJ47,IF(DO47=CM47,CN47,IF(DO47=CQ47,CR47,IF(DO47=CU47,CV47,IF(DO47=CY47,CZ47,IF(DO47=DC47,DD47,IF(DO47=DG47,DH47,IF(DO47=DK47,DL47,0)))))))))))))</f>
        <v>5</v>
      </c>
      <c r="DQ47">
        <f>IF(DO47=BO47,BQ47,IF(DO47=BS47,BU47,IF(DO47=BW47,BY47,IF(DO47=CA47,CC47,IF(DO47=CE47,CG47,IF(DO47=CI47,CK47,IF(DO47=CM47,CO47,IF(DO47=CQ47,CS47,IF(DO47=CU47,CW47,IF(DO47=CY47,DA47,IF(DO47=DC47,DE47,IF(DO47=DG47,DI47,IF(DO47=DK47,DM47,0)))))))))))))</f>
        <v>2.0772699999999999</v>
      </c>
      <c r="DR47">
        <f t="shared" si="29"/>
        <v>0</v>
      </c>
      <c r="DS47">
        <f t="shared" si="30"/>
        <v>0.120744444444444</v>
      </c>
      <c r="DT47">
        <f>IF(DS47=BO47,BP47,IF(DS47=BS47,BT47,IF(DS47=BW47,BX47,IF(DS47=CA47,CB47,IF(DS47=CE47,CF47,IF(DS47=CI47,CJ47,IF(DS47=CM47,CN47,IF(DS47=CQ47,CR47,IF(DS47=CU47,CV47,IF(DS47=CY47,CZ47,IF(DS47=DC47,DD47,IF(DS47=DG47,DH47,IF(DS47=DK47,DL47,IF(DS47=DO47,DP47,0))))))))))))))</f>
        <v>5</v>
      </c>
      <c r="DU47">
        <f>IF(DS47=BO47,BQ47,IF(DS47=BS47,BU47,IF(DS47=BW47,BY47,IF(DS47=CA47,CC47,IF(DS47=CE47,CG47,IF(DS47=CI47,CK47,IF(DS47=CM47,CO47,IF(DS47=CQ47,CS47,IF(DS47=CU47,CW47,IF(DS47=CY47,DA47,IF(DS47=DC47,DE47,IF(DS47=DG47,DI47,IF(DS47=DK47,DM47,IF(DS47=DO47,DQ47,0))))))))))))))</f>
        <v>2.0772699999999999</v>
      </c>
      <c r="DV47">
        <f t="shared" si="31"/>
        <v>0</v>
      </c>
      <c r="DW47">
        <v>7500</v>
      </c>
      <c r="DX47">
        <v>6</v>
      </c>
      <c r="DY47">
        <v>0</v>
      </c>
      <c r="DZ47">
        <v>4</v>
      </c>
      <c r="EA47">
        <v>4</v>
      </c>
      <c r="EB47">
        <v>3.37129157926281</v>
      </c>
      <c r="EC47">
        <v>0.66666666666666696</v>
      </c>
      <c r="ED47">
        <v>2.0298371333333298</v>
      </c>
      <c r="EE47">
        <v>0.120744444444444</v>
      </c>
      <c r="EF47">
        <v>2.0772699999999999</v>
      </c>
      <c r="EG47">
        <v>3.1549932264968601</v>
      </c>
      <c r="EH47">
        <v>5</v>
      </c>
      <c r="EI47">
        <v>0</v>
      </c>
      <c r="EJ47">
        <v>0.18003006666666699</v>
      </c>
      <c r="EK47">
        <v>1</v>
      </c>
      <c r="EL47">
        <v>0</v>
      </c>
      <c r="EM47">
        <v>24</v>
      </c>
      <c r="EN47">
        <v>1</v>
      </c>
      <c r="EO47">
        <v>3</v>
      </c>
      <c r="EP47">
        <v>6</v>
      </c>
      <c r="EQ47">
        <v>2</v>
      </c>
      <c r="ER47">
        <v>14.1987814663817</v>
      </c>
      <c r="ES47">
        <v>8.2013739392205807</v>
      </c>
      <c r="ET47">
        <v>10.231211072553901</v>
      </c>
      <c r="EU47">
        <v>3.42884795989265</v>
      </c>
      <c r="EV47">
        <v>3.6088780265593101</v>
      </c>
      <c r="EW47">
        <v>1.0588630000000001</v>
      </c>
      <c r="EX47">
        <v>6.3531658850132198</v>
      </c>
      <c r="EY47">
        <v>7.4120288850132203</v>
      </c>
      <c r="EZ47">
        <v>0.18003006666666699</v>
      </c>
      <c r="FA47">
        <v>3.42884795989265</v>
      </c>
      <c r="FB47">
        <v>3.6088780265593101</v>
      </c>
      <c r="FC47">
        <v>0.54509693333333298</v>
      </c>
      <c r="FD47">
        <v>4.8554310866677399</v>
      </c>
      <c r="FE47">
        <v>5.4005280200010803</v>
      </c>
      <c r="FF47">
        <v>0.18003006666666699</v>
      </c>
      <c r="FG47">
        <v>3.42884795989265</v>
      </c>
      <c r="FH47">
        <v>3.6088780265593101</v>
      </c>
    </row>
    <row r="48" spans="1:164" x14ac:dyDescent="0.2">
      <c r="A48">
        <v>47</v>
      </c>
      <c r="B48">
        <v>55</v>
      </c>
      <c r="C48">
        <v>97</v>
      </c>
      <c r="D48">
        <v>3</v>
      </c>
      <c r="E48">
        <v>12</v>
      </c>
      <c r="F48" t="s">
        <v>210</v>
      </c>
      <c r="G48" t="s">
        <v>211</v>
      </c>
      <c r="H48">
        <v>3</v>
      </c>
      <c r="I48">
        <v>3</v>
      </c>
      <c r="K48" t="s">
        <v>114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1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4</v>
      </c>
      <c r="AF48">
        <v>2</v>
      </c>
      <c r="AG48">
        <v>7</v>
      </c>
      <c r="AH48">
        <v>5</v>
      </c>
      <c r="AI48">
        <v>0.66244166666666704</v>
      </c>
      <c r="AJ48">
        <v>54.179200000000002</v>
      </c>
      <c r="AK48">
        <v>0.52605555555555505</v>
      </c>
      <c r="AL48">
        <v>34.140909999999998</v>
      </c>
      <c r="AM48">
        <v>0.44627222222222201</v>
      </c>
      <c r="AN48">
        <v>34.793050000000001</v>
      </c>
      <c r="AO48">
        <v>0.49745277777777802</v>
      </c>
      <c r="AP48">
        <v>37.407170000000001</v>
      </c>
      <c r="AQ48">
        <v>0.53678611111111096</v>
      </c>
      <c r="AR48">
        <v>39.42765</v>
      </c>
      <c r="AS48">
        <v>0.581361111111111</v>
      </c>
      <c r="AT48">
        <v>42.768329999999999</v>
      </c>
      <c r="AU48">
        <v>0.577819444444444</v>
      </c>
      <c r="AV48">
        <v>46.5032</v>
      </c>
      <c r="AW48">
        <v>0.58737222222222196</v>
      </c>
      <c r="AX48">
        <v>49.429229999999997</v>
      </c>
      <c r="AY48">
        <v>0.59735833333333299</v>
      </c>
      <c r="AZ48">
        <v>50.667960000000001</v>
      </c>
      <c r="BA48">
        <v>0.61071111111111098</v>
      </c>
      <c r="BB48">
        <v>51.988680000000002</v>
      </c>
      <c r="BC48">
        <v>0.67153888888888902</v>
      </c>
      <c r="BD48">
        <v>53.313380000000002</v>
      </c>
      <c r="BE48">
        <v>0.68255833333333304</v>
      </c>
      <c r="BF48">
        <v>59.690339999999999</v>
      </c>
      <c r="BG48">
        <v>0.74643055555555604</v>
      </c>
      <c r="BH48">
        <v>63.09319</v>
      </c>
      <c r="BI48">
        <v>0.79025833333333295</v>
      </c>
      <c r="BJ48">
        <v>65.067099999999996</v>
      </c>
      <c r="BK48">
        <v>0.85839722222222203</v>
      </c>
      <c r="BL48">
        <v>71.882750000000001</v>
      </c>
      <c r="BM48">
        <v>0.89990277777777805</v>
      </c>
      <c r="BN48">
        <v>73.875429999999994</v>
      </c>
      <c r="BO48">
        <f t="shared" si="0"/>
        <v>0.44627222222222201</v>
      </c>
      <c r="BP48">
        <v>2</v>
      </c>
      <c r="BQ48">
        <v>34.793050000000001</v>
      </c>
      <c r="BR48">
        <f t="shared" si="1"/>
        <v>0</v>
      </c>
      <c r="BS48">
        <f t="shared" si="2"/>
        <v>0.49745277777777802</v>
      </c>
      <c r="BT48">
        <v>3</v>
      </c>
      <c r="BU48">
        <v>37.407170000000001</v>
      </c>
      <c r="BV48">
        <f t="shared" si="5"/>
        <v>0</v>
      </c>
      <c r="BW48">
        <f t="shared" si="6"/>
        <v>0.44627222222222201</v>
      </c>
      <c r="BX48">
        <f t="shared" si="32"/>
        <v>2</v>
      </c>
      <c r="BY48">
        <f t="shared" si="33"/>
        <v>34.793050000000001</v>
      </c>
      <c r="BZ48">
        <f t="shared" si="7"/>
        <v>0</v>
      </c>
      <c r="CA48">
        <f t="shared" si="8"/>
        <v>0.44627222222222201</v>
      </c>
      <c r="CB48">
        <f>IF(CA48=BO48,BP48,IF(CA48=BS48,BT48,IF(CA48=BW48,BX48,0)))</f>
        <v>2</v>
      </c>
      <c r="CC48">
        <f>IF(CA48=BO48,BQ48,IF(CA48=BS48,BU48,IF(CA48=BW48,BY48,0)))</f>
        <v>34.793050000000001</v>
      </c>
      <c r="CD48">
        <f t="shared" si="9"/>
        <v>0</v>
      </c>
      <c r="CE48">
        <f t="shared" si="10"/>
        <v>0.44627222222222201</v>
      </c>
      <c r="CF48">
        <f>IF(CE48=BO48,BP48,IF(CE48=BS48,BT48,IF(CE48=BW48,BX48,IF(CE48=CA48,CB48,0))))</f>
        <v>2</v>
      </c>
      <c r="CG48">
        <f>IF(CE48=BO48,BQ48,IF(CE48=BS48,BU48,IF(CE48=BW48,BY48,IF(CE48=CA48,CC48,0))))</f>
        <v>34.793050000000001</v>
      </c>
      <c r="CH48">
        <f t="shared" si="11"/>
        <v>0</v>
      </c>
      <c r="CI48">
        <f t="shared" si="12"/>
        <v>0.44627222222222201</v>
      </c>
      <c r="CJ48">
        <f>IF(CI48=BO48,BP48,IF(CI48=BS48,BT48,IF(CI48=BW48,BX48,IF(CI48=CA48,CB48,IF(CI48=CE48,CF48,0)))))</f>
        <v>2</v>
      </c>
      <c r="CK48">
        <f>IF(CI48=BO48,BQ48,IF(CI48=BS48,BU48,IF(CI48=BW48,BY48,IF(CI48=CA48,CC48,IF(CI48=CE48,CG48,0)))))</f>
        <v>34.793050000000001</v>
      </c>
      <c r="CL48">
        <f t="shared" si="13"/>
        <v>0</v>
      </c>
      <c r="CM48">
        <f t="shared" si="14"/>
        <v>0.44627222222222201</v>
      </c>
      <c r="CN48">
        <f>IF(CM48=BO48,BP48,IF(CM48=BS48,BT48,IF(CM48=BW48,BX48,IF(CM48=CA48,CB48,IF(CM48=CE48,CF48,IF(CM48=CI48,CJ48,0))))))</f>
        <v>2</v>
      </c>
      <c r="CO48">
        <f>IF(CM48=BO48,BQ48,IF(CM48=BS48,BU48,IF(CM48=BW48,BY48,IF(CM48=CA48,CC48,IF(CM48=CE48,CG48,IF(CM48=CI48,CK48,0))))))</f>
        <v>34.793050000000001</v>
      </c>
      <c r="CP48">
        <f t="shared" si="15"/>
        <v>0</v>
      </c>
      <c r="CQ48">
        <f t="shared" si="16"/>
        <v>0.44627222222222201</v>
      </c>
      <c r="CR48">
        <f>IF(CQ48=BO48,BP48,IF(CQ48=BS48,BT48,IF(CQ48=BW48,BX48,IF(CQ48=CA48,CB48,IF(CQ48=CE48,CF48,IF(CQ48=CI48,CJ48,IF(CQ48=CM48,CN48,0)))))))</f>
        <v>2</v>
      </c>
      <c r="CS48">
        <f>IF(CQ48=BO48,BQ48,IF(CQ48=BS48,BU48,IF(CQ48=BW48,BY48,IF(CQ48=CA48,CC48,IF(CQ48=CE48,CG48,IF(CQ48=CI48,CK48,IF(CQ48=CM48,CO48,0)))))))</f>
        <v>34.793050000000001</v>
      </c>
      <c r="CT48">
        <f t="shared" si="17"/>
        <v>0</v>
      </c>
      <c r="CU48">
        <f t="shared" si="18"/>
        <v>0.44627222222222201</v>
      </c>
      <c r="CV48">
        <f>IF(CU48=BO48,BP48,IF(CU48=BS48,BT48,IF(CU48=BW48,BX48,IF(CU48=CA48,CB48,IF(CU48=CE48,CF48,IF(CU48=CI48,CJ48,IF(CU48=CM48,CN48,IF(CU48=CQ48,CR48,0))))))))</f>
        <v>2</v>
      </c>
      <c r="CW48">
        <f>IF(CU48=BO48,BQ48,IF(CU48=BS48,BU48,IF(CU48=BW48,BY48,IF(CU48=CA48,CC48,IF(CU48=CE48,CG48,IF(CU48=CI48,CK48,IF(CU48=CM48,CO48,IF(CU48=CQ48,CS48,0))))))))</f>
        <v>34.793050000000001</v>
      </c>
      <c r="CX48">
        <f t="shared" si="19"/>
        <v>0</v>
      </c>
      <c r="CY48">
        <f t="shared" si="20"/>
        <v>0.44627222222222201</v>
      </c>
      <c r="CZ48">
        <f>IF(CY48=BO48,BP48,IF(CY48=BS48,BT48,IF(CY48=BW48,BX48,IF(CY48=CA48,CB48,IF(CY48=CE48,CF48,IF(CY48=CI48,CJ48,IF(CY48=CM48,CN48,IF(CY48=CQ48,CR48,IF(CY48=CU48,CV48,0)))))))))</f>
        <v>2</v>
      </c>
      <c r="DA48">
        <f>IF(CY48=BO48,BQ48,IF(CY48=BS48,BU48,IF(CY48=BW48,BY48,IF(CY48=CA48,CC48,IF(CY48=CE48,CG48,IF(CY48=CI48,CK48,IF(CY48=CM48,CO48,IF(CY48=CQ48,CS48,IF(CY48=CU48,CW48,0)))))))))</f>
        <v>34.793050000000001</v>
      </c>
      <c r="DB48">
        <f t="shared" si="21"/>
        <v>0</v>
      </c>
      <c r="DC48">
        <f t="shared" si="22"/>
        <v>0.44627222222222201</v>
      </c>
      <c r="DD48">
        <f>IF(DC48=BO48,BP48,IF(DC48=BS48,BT48,IF(DC48=BW48,BX48,IF(DC48=CA48,CB48,IF(DC48=CE48,CF48,IF(DC48=CI48,CJ48,IF(DC48=CM48,CN48,IF(DC48=CQ48,CR48,IF(DC48=CU48,CV48,IF(DC48=CY48,CZ48,0))))))))))</f>
        <v>2</v>
      </c>
      <c r="DE48">
        <f>IF(DC48=BO48,BQ48,IF(DC48=BS48,BU48,IF(DC48=BW48,BY48,IF(DC48=CA48,CC48,IF(DC48=CE48,CG48,IF(DC48=CI48,CK48,IF(DC48=CM48,CO48,IF(DC48=CQ48,CS48,IF(DC48=CU48,CW48,IF(DC48=CY48,DA48,0))))))))))</f>
        <v>34.793050000000001</v>
      </c>
      <c r="DF48">
        <f t="shared" si="23"/>
        <v>0</v>
      </c>
      <c r="DG48">
        <f t="shared" si="24"/>
        <v>0.44627222222222201</v>
      </c>
      <c r="DH48">
        <f>IF(DG48=BO48,BP48,IF(DG48=BS48,BT48,IF(DG48=BW48,BX48,IF(DG48=CA48,CB48,IF(DG48=CE48,CF48,IF(DG48=CI48,CJ48,IF(DG48=CM48,CN48,IF(DG48=CQ48,CR48,IF(DG48=CU48,CV48,IF(DG48=CY48,CZ48,IF(DG48=DC48,DD48,0)))))))))))</f>
        <v>2</v>
      </c>
      <c r="DI48">
        <f>IF(DG48=BO48,BQ48,IF(DG48=BS48,BU48,IF(DG48=BW48,BY48,IF(DG48=CA48,CC48,IF(DG48=CE48,CG48,IF(DG48=CI48,CK48,IF(DG48=CM48,CO48,IF(DG48=CQ48,CS48,IF(DG48=CU48,CW48,IF(DG48=CY48,DA48,IF(DG48=DC48,DE48,0)))))))))))</f>
        <v>34.793050000000001</v>
      </c>
      <c r="DJ48">
        <f t="shared" si="25"/>
        <v>0</v>
      </c>
      <c r="DK48">
        <f t="shared" si="26"/>
        <v>0.44627222222222201</v>
      </c>
      <c r="DL48">
        <f>IF(DK48=BO48,BP48,IF(DK48=BS48,BT48,IF(DK48=BW48,BX48,IF(DK48=CA48,CB48,IF(DK48=CE48,CF48,IF(DK48=CI48,CJ48,IF(DK48=CM48,CN48,IF(DK48=CQ48,CR48,IF(DK48=CU48,CV48,IF(DK48=CY48,CZ48,IF(DK48=DC48,DD48,IF(DK48=DG48,DH48,0))))))))))))</f>
        <v>2</v>
      </c>
      <c r="DM48">
        <f>IF(DK48=BO48,BQ48,IF(DK48=BS48,BU48,IF(DK48=BW48,BY48,IF(DK48=CA48,CC48,IF(DK48=CE48,CG48,IF(DK48=CI48,CK48,IF(DK48=CM48,CO48,IF(DK48=CQ48,CS48,IF(DK48=CU48,CW48,IF(DK48=CY48,DA48,IF(DK48=DC48,DE48,IF(DK48=DG48,DI48,0))))))))))))</f>
        <v>34.793050000000001</v>
      </c>
      <c r="DN48">
        <f t="shared" si="27"/>
        <v>0</v>
      </c>
      <c r="DO48">
        <f t="shared" si="28"/>
        <v>0.44627222222222201</v>
      </c>
      <c r="DP48">
        <f>IF(DO48=BO48,BP48,IF(DO48=BS48,BT48,IF(DO48=BW48,BX48,IF(DO48=CA48,CB48,IF(DO48=CE48,CF48,IF(DO48=CI48,CJ48,IF(DO48=CM48,CN48,IF(DO48=CQ48,CR48,IF(DO48=CU48,CV48,IF(DO48=CY48,CZ48,IF(DO48=DC48,DD48,IF(DO48=DG48,DH48,IF(DO48=DK48,DL48,0)))))))))))))</f>
        <v>2</v>
      </c>
      <c r="DQ48">
        <f>IF(DO48=BO48,BQ48,IF(DO48=BS48,BU48,IF(DO48=BW48,BY48,IF(DO48=CA48,CC48,IF(DO48=CE48,CG48,IF(DO48=CI48,CK48,IF(DO48=CM48,CO48,IF(DO48=CQ48,CS48,IF(DO48=CU48,CW48,IF(DO48=CY48,DA48,IF(DO48=DC48,DE48,IF(DO48=DG48,DI48,IF(DO48=DK48,DM48,0)))))))))))))</f>
        <v>34.793050000000001</v>
      </c>
      <c r="DR48">
        <f t="shared" si="29"/>
        <v>0</v>
      </c>
      <c r="DS48">
        <f t="shared" si="30"/>
        <v>0.44627222222222201</v>
      </c>
      <c r="DT48">
        <f>IF(DS48=BO48,BP48,IF(DS48=BS48,BT48,IF(DS48=BW48,BX48,IF(DS48=CA48,CB48,IF(DS48=CE48,CF48,IF(DS48=CI48,CJ48,IF(DS48=CM48,CN48,IF(DS48=CQ48,CR48,IF(DS48=CU48,CV48,IF(DS48=CY48,CZ48,IF(DS48=DC48,DD48,IF(DS48=DG48,DH48,IF(DS48=DK48,DL48,IF(DS48=DO48,DP48,0))))))))))))))</f>
        <v>2</v>
      </c>
      <c r="DU48">
        <f>IF(DS48=BO48,BQ48,IF(DS48=BS48,BU48,IF(DS48=BW48,BY48,IF(DS48=CA48,CC48,IF(DS48=CE48,CG48,IF(DS48=CI48,CK48,IF(DS48=CM48,CO48,IF(DS48=CQ48,CS48,IF(DS48=CU48,CW48,IF(DS48=CY48,DA48,IF(DS48=DC48,DE48,IF(DS48=DG48,DI48,IF(DS48=DK48,DM48,IF(DS48=DO48,DQ48,0))))))))))))))</f>
        <v>34.793050000000001</v>
      </c>
      <c r="DV48">
        <f t="shared" si="31"/>
        <v>0</v>
      </c>
      <c r="DW48">
        <v>22500.5</v>
      </c>
      <c r="DX48">
        <v>4</v>
      </c>
      <c r="DY48">
        <v>0</v>
      </c>
      <c r="DZ48">
        <v>10</v>
      </c>
      <c r="EA48">
        <v>10</v>
      </c>
      <c r="EB48">
        <v>10.114099490560401</v>
      </c>
      <c r="EC48">
        <v>2.5</v>
      </c>
      <c r="ED48">
        <v>9.5432959999999998</v>
      </c>
      <c r="EE48">
        <v>0.44627222222222201</v>
      </c>
      <c r="EF48">
        <v>34.793050000000001</v>
      </c>
      <c r="EG48">
        <v>18.695427781331599</v>
      </c>
      <c r="EH48">
        <v>2</v>
      </c>
      <c r="EI48">
        <v>0</v>
      </c>
      <c r="EJ48">
        <v>4.5230965000000003</v>
      </c>
      <c r="EK48">
        <v>1</v>
      </c>
      <c r="EL48">
        <v>0</v>
      </c>
      <c r="EM48">
        <v>21</v>
      </c>
      <c r="EN48">
        <v>1</v>
      </c>
      <c r="EO48">
        <v>2</v>
      </c>
      <c r="EP48">
        <v>5</v>
      </c>
      <c r="EQ48">
        <v>2</v>
      </c>
      <c r="ER48">
        <v>14.1987814663817</v>
      </c>
      <c r="ES48">
        <v>18.811728918451301</v>
      </c>
      <c r="ET48">
        <v>28.355024918451299</v>
      </c>
      <c r="EU48">
        <v>12.6730435156997</v>
      </c>
      <c r="EV48">
        <v>17.196140015699701</v>
      </c>
      <c r="EW48">
        <v>6.5868348000000001</v>
      </c>
      <c r="EX48">
        <v>16.963520864244</v>
      </c>
      <c r="EY48">
        <v>23.550355664244002</v>
      </c>
      <c r="EZ48">
        <v>4.5230965000000003</v>
      </c>
      <c r="FA48">
        <v>12.6730435156997</v>
      </c>
      <c r="FB48">
        <v>17.196140015699701</v>
      </c>
      <c r="FC48">
        <v>4.8629321000000001</v>
      </c>
      <c r="FD48">
        <v>14.1264465630224</v>
      </c>
      <c r="FE48">
        <v>18.9893786630224</v>
      </c>
      <c r="FF48">
        <v>4.5230965000000003</v>
      </c>
      <c r="FG48">
        <v>12.6730435156997</v>
      </c>
      <c r="FH48">
        <v>17.196140015699701</v>
      </c>
    </row>
    <row r="49" spans="1:164" x14ac:dyDescent="0.2">
      <c r="A49">
        <v>48</v>
      </c>
      <c r="B49">
        <v>56</v>
      </c>
      <c r="C49">
        <v>99</v>
      </c>
      <c r="D49">
        <v>1</v>
      </c>
      <c r="E49">
        <v>11</v>
      </c>
      <c r="F49" t="s">
        <v>115</v>
      </c>
      <c r="G49" t="s">
        <v>212</v>
      </c>
      <c r="H49">
        <v>3</v>
      </c>
      <c r="I49">
        <v>3</v>
      </c>
      <c r="K49" t="s">
        <v>213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2</v>
      </c>
      <c r="AE49">
        <v>4</v>
      </c>
      <c r="AF49">
        <v>2</v>
      </c>
      <c r="AG49">
        <v>6</v>
      </c>
      <c r="AH49">
        <v>8</v>
      </c>
      <c r="AI49">
        <v>0.51291666666666702</v>
      </c>
      <c r="AJ49">
        <v>39.616259999999997</v>
      </c>
      <c r="AK49">
        <v>0.37653055555555598</v>
      </c>
      <c r="AL49">
        <v>19.577970000000001</v>
      </c>
      <c r="AM49">
        <v>0.29674444444444398</v>
      </c>
      <c r="AN49">
        <v>20.23011</v>
      </c>
      <c r="AO49">
        <v>0.347927777777778</v>
      </c>
      <c r="AP49">
        <v>22.84422</v>
      </c>
      <c r="AQ49">
        <v>0.387261111111111</v>
      </c>
      <c r="AR49">
        <v>24.864709999999999</v>
      </c>
      <c r="AS49">
        <v>0.43183611111111098</v>
      </c>
      <c r="AT49">
        <v>28.205390000000001</v>
      </c>
      <c r="AU49">
        <v>0.42829166666666701</v>
      </c>
      <c r="AV49">
        <v>31.940249999999999</v>
      </c>
      <c r="AW49">
        <v>0.437847222222222</v>
      </c>
      <c r="AX49">
        <v>34.866289999999999</v>
      </c>
      <c r="AY49">
        <v>0.44783333333333297</v>
      </c>
      <c r="AZ49">
        <v>36.105020000000003</v>
      </c>
      <c r="BA49">
        <v>0.461183333333333</v>
      </c>
      <c r="BB49">
        <v>37.425739999999998</v>
      </c>
      <c r="BC49">
        <v>0.52201111111111098</v>
      </c>
      <c r="BD49">
        <v>38.750430000000001</v>
      </c>
      <c r="BE49">
        <v>0.53303333333333303</v>
      </c>
      <c r="BF49">
        <v>45.127389999999998</v>
      </c>
      <c r="BG49">
        <v>0.59690555555555602</v>
      </c>
      <c r="BH49">
        <v>48.530239999999999</v>
      </c>
      <c r="BI49">
        <v>0.64073333333333304</v>
      </c>
      <c r="BJ49">
        <v>50.504159999999999</v>
      </c>
      <c r="BK49">
        <v>0.70887222222222201</v>
      </c>
      <c r="BL49">
        <v>57.319809999999997</v>
      </c>
      <c r="BM49">
        <v>0.75037500000000001</v>
      </c>
      <c r="BN49">
        <v>59.312489999999997</v>
      </c>
      <c r="BO49">
        <f t="shared" si="0"/>
        <v>0.29674444444444398</v>
      </c>
      <c r="BP49">
        <v>2</v>
      </c>
      <c r="BQ49">
        <v>20.23011</v>
      </c>
      <c r="BR49">
        <f t="shared" si="1"/>
        <v>0</v>
      </c>
      <c r="BS49">
        <f t="shared" si="2"/>
        <v>0.347927777777778</v>
      </c>
      <c r="BT49">
        <v>3</v>
      </c>
      <c r="BU49">
        <v>22.84422</v>
      </c>
      <c r="BV49">
        <f t="shared" si="5"/>
        <v>0</v>
      </c>
      <c r="BW49">
        <f t="shared" si="6"/>
        <v>0.29674444444444398</v>
      </c>
      <c r="BX49">
        <f t="shared" si="32"/>
        <v>2</v>
      </c>
      <c r="BY49">
        <f t="shared" si="33"/>
        <v>20.23011</v>
      </c>
      <c r="BZ49">
        <f t="shared" si="7"/>
        <v>0</v>
      </c>
      <c r="CA49">
        <f t="shared" si="8"/>
        <v>0.29674444444444398</v>
      </c>
      <c r="CB49">
        <f>IF(CA49=BO49,BP49,IF(CA49=BS49,BT49,IF(CA49=BW49,BX49,0)))</f>
        <v>2</v>
      </c>
      <c r="CC49">
        <f>IF(CA49=BO49,BQ49,IF(CA49=BS49,BU49,IF(CA49=BW49,BY49,0)))</f>
        <v>20.23011</v>
      </c>
      <c r="CD49">
        <f t="shared" si="9"/>
        <v>0</v>
      </c>
      <c r="CE49">
        <f t="shared" si="10"/>
        <v>0.29674444444444398</v>
      </c>
      <c r="CF49">
        <f>IF(CE49=BO49,BP49,IF(CE49=BS49,BT49,IF(CE49=BW49,BX49,IF(CE49=CA49,CB49,0))))</f>
        <v>2</v>
      </c>
      <c r="CG49">
        <f>IF(CE49=BO49,BQ49,IF(CE49=BS49,BU49,IF(CE49=BW49,BY49,IF(CE49=CA49,CC49,0))))</f>
        <v>20.23011</v>
      </c>
      <c r="CH49">
        <f t="shared" si="11"/>
        <v>0</v>
      </c>
      <c r="CI49">
        <f t="shared" si="12"/>
        <v>0.29674444444444398</v>
      </c>
      <c r="CJ49">
        <f>IF(CI49=BO49,BP49,IF(CI49=BS49,BT49,IF(CI49=BW49,BX49,IF(CI49=CA49,CB49,IF(CI49=CE49,CF49,0)))))</f>
        <v>2</v>
      </c>
      <c r="CK49">
        <f>IF(CI49=BO49,BQ49,IF(CI49=BS49,BU49,IF(CI49=BW49,BY49,IF(CI49=CA49,CC49,IF(CI49=CE49,CG49,0)))))</f>
        <v>20.23011</v>
      </c>
      <c r="CL49">
        <f t="shared" si="13"/>
        <v>0</v>
      </c>
      <c r="CM49">
        <f t="shared" si="14"/>
        <v>0.29674444444444398</v>
      </c>
      <c r="CN49">
        <f>IF(CM49=BO49,BP49,IF(CM49=BS49,BT49,IF(CM49=BW49,BX49,IF(CM49=CA49,CB49,IF(CM49=CE49,CF49,IF(CM49=CI49,CJ49,0))))))</f>
        <v>2</v>
      </c>
      <c r="CO49">
        <f>IF(CM49=BO49,BQ49,IF(CM49=BS49,BU49,IF(CM49=BW49,BY49,IF(CM49=CA49,CC49,IF(CM49=CE49,CG49,IF(CM49=CI49,CK49,0))))))</f>
        <v>20.23011</v>
      </c>
      <c r="CP49">
        <f t="shared" si="15"/>
        <v>0</v>
      </c>
      <c r="CQ49">
        <f t="shared" si="16"/>
        <v>0.29674444444444398</v>
      </c>
      <c r="CR49">
        <f>IF(CQ49=BO49,BP49,IF(CQ49=BS49,BT49,IF(CQ49=BW49,BX49,IF(CQ49=CA49,CB49,IF(CQ49=CE49,CF49,IF(CQ49=CI49,CJ49,IF(CQ49=CM49,CN49,0)))))))</f>
        <v>2</v>
      </c>
      <c r="CS49">
        <f>IF(CQ49=BO49,BQ49,IF(CQ49=BS49,BU49,IF(CQ49=BW49,BY49,IF(CQ49=CA49,CC49,IF(CQ49=CE49,CG49,IF(CQ49=CI49,CK49,IF(CQ49=CM49,CO49,0)))))))</f>
        <v>20.23011</v>
      </c>
      <c r="CT49">
        <f t="shared" si="17"/>
        <v>0</v>
      </c>
      <c r="CU49">
        <f t="shared" si="18"/>
        <v>0.29674444444444398</v>
      </c>
      <c r="CV49">
        <f>IF(CU49=BO49,BP49,IF(CU49=BS49,BT49,IF(CU49=BW49,BX49,IF(CU49=CA49,CB49,IF(CU49=CE49,CF49,IF(CU49=CI49,CJ49,IF(CU49=CM49,CN49,IF(CU49=CQ49,CR49,0))))))))</f>
        <v>2</v>
      </c>
      <c r="CW49">
        <f>IF(CU49=BO49,BQ49,IF(CU49=BS49,BU49,IF(CU49=BW49,BY49,IF(CU49=CA49,CC49,IF(CU49=CE49,CG49,IF(CU49=CI49,CK49,IF(CU49=CM49,CO49,IF(CU49=CQ49,CS49,0))))))))</f>
        <v>20.23011</v>
      </c>
      <c r="CX49">
        <f t="shared" si="19"/>
        <v>0</v>
      </c>
      <c r="CY49">
        <f t="shared" si="20"/>
        <v>0.29674444444444398</v>
      </c>
      <c r="CZ49">
        <f>IF(CY49=BO49,BP49,IF(CY49=BS49,BT49,IF(CY49=BW49,BX49,IF(CY49=CA49,CB49,IF(CY49=CE49,CF49,IF(CY49=CI49,CJ49,IF(CY49=CM49,CN49,IF(CY49=CQ49,CR49,IF(CY49=CU49,CV49,0)))))))))</f>
        <v>2</v>
      </c>
      <c r="DA49">
        <f>IF(CY49=BO49,BQ49,IF(CY49=BS49,BU49,IF(CY49=BW49,BY49,IF(CY49=CA49,CC49,IF(CY49=CE49,CG49,IF(CY49=CI49,CK49,IF(CY49=CM49,CO49,IF(CY49=CQ49,CS49,IF(CY49=CU49,CW49,0)))))))))</f>
        <v>20.23011</v>
      </c>
      <c r="DB49">
        <f t="shared" si="21"/>
        <v>0</v>
      </c>
      <c r="DC49">
        <f t="shared" si="22"/>
        <v>0.29674444444444398</v>
      </c>
      <c r="DD49">
        <f>IF(DC49=BO49,BP49,IF(DC49=BS49,BT49,IF(DC49=BW49,BX49,IF(DC49=CA49,CB49,IF(DC49=CE49,CF49,IF(DC49=CI49,CJ49,IF(DC49=CM49,CN49,IF(DC49=CQ49,CR49,IF(DC49=CU49,CV49,IF(DC49=CY49,CZ49,0))))))))))</f>
        <v>2</v>
      </c>
      <c r="DE49">
        <f>IF(DC49=BO49,BQ49,IF(DC49=BS49,BU49,IF(DC49=BW49,BY49,IF(DC49=CA49,CC49,IF(DC49=CE49,CG49,IF(DC49=CI49,CK49,IF(DC49=CM49,CO49,IF(DC49=CQ49,CS49,IF(DC49=CU49,CW49,IF(DC49=CY49,DA49,0))))))))))</f>
        <v>20.23011</v>
      </c>
      <c r="DF49">
        <f t="shared" si="23"/>
        <v>0</v>
      </c>
      <c r="DG49">
        <f t="shared" si="24"/>
        <v>0.29674444444444398</v>
      </c>
      <c r="DH49">
        <f>IF(DG49=BO49,BP49,IF(DG49=BS49,BT49,IF(DG49=BW49,BX49,IF(DG49=CA49,CB49,IF(DG49=CE49,CF49,IF(DG49=CI49,CJ49,IF(DG49=CM49,CN49,IF(DG49=CQ49,CR49,IF(DG49=CU49,CV49,IF(DG49=CY49,CZ49,IF(DG49=DC49,DD49,0)))))))))))</f>
        <v>2</v>
      </c>
      <c r="DI49">
        <f>IF(DG49=BO49,BQ49,IF(DG49=BS49,BU49,IF(DG49=BW49,BY49,IF(DG49=CA49,CC49,IF(DG49=CE49,CG49,IF(DG49=CI49,CK49,IF(DG49=CM49,CO49,IF(DG49=CQ49,CS49,IF(DG49=CU49,CW49,IF(DG49=CY49,DA49,IF(DG49=DC49,DE49,0)))))))))))</f>
        <v>20.23011</v>
      </c>
      <c r="DJ49">
        <f t="shared" si="25"/>
        <v>0</v>
      </c>
      <c r="DK49">
        <f t="shared" si="26"/>
        <v>0.29674444444444398</v>
      </c>
      <c r="DL49">
        <f>IF(DK49=BO49,BP49,IF(DK49=BS49,BT49,IF(DK49=BW49,BX49,IF(DK49=CA49,CB49,IF(DK49=CE49,CF49,IF(DK49=CI49,CJ49,IF(DK49=CM49,CN49,IF(DK49=CQ49,CR49,IF(DK49=CU49,CV49,IF(DK49=CY49,CZ49,IF(DK49=DC49,DD49,IF(DK49=DG49,DH49,0))))))))))))</f>
        <v>2</v>
      </c>
      <c r="DM49">
        <f>IF(DK49=BO49,BQ49,IF(DK49=BS49,BU49,IF(DK49=BW49,BY49,IF(DK49=CA49,CC49,IF(DK49=CE49,CG49,IF(DK49=CI49,CK49,IF(DK49=CM49,CO49,IF(DK49=CQ49,CS49,IF(DK49=CU49,CW49,IF(DK49=CY49,DA49,IF(DK49=DC49,DE49,IF(DK49=DG49,DI49,0))))))))))))</f>
        <v>20.23011</v>
      </c>
      <c r="DN49">
        <f t="shared" si="27"/>
        <v>0</v>
      </c>
      <c r="DO49">
        <f t="shared" si="28"/>
        <v>0.29674444444444398</v>
      </c>
      <c r="DP49">
        <f>IF(DO49=BO49,BP49,IF(DO49=BS49,BT49,IF(DO49=BW49,BX49,IF(DO49=CA49,CB49,IF(DO49=CE49,CF49,IF(DO49=CI49,CJ49,IF(DO49=CM49,CN49,IF(DO49=CQ49,CR49,IF(DO49=CU49,CV49,IF(DO49=CY49,CZ49,IF(DO49=DC49,DD49,IF(DO49=DG49,DH49,IF(DO49=DK49,DL49,0)))))))))))))</f>
        <v>2</v>
      </c>
      <c r="DQ49">
        <f>IF(DO49=BO49,BQ49,IF(DO49=BS49,BU49,IF(DO49=BW49,BY49,IF(DO49=CA49,CC49,IF(DO49=CE49,CG49,IF(DO49=CI49,CK49,IF(DO49=CM49,CO49,IF(DO49=CQ49,CS49,IF(DO49=CU49,CW49,IF(DO49=CY49,DA49,IF(DO49=DC49,DE49,IF(DO49=DG49,DI49,IF(DO49=DK49,DM49,0)))))))))))))</f>
        <v>20.23011</v>
      </c>
      <c r="DR49">
        <f t="shared" si="29"/>
        <v>0</v>
      </c>
      <c r="DS49">
        <f t="shared" si="30"/>
        <v>0.29674444444444398</v>
      </c>
      <c r="DT49">
        <f>IF(DS49=BO49,BP49,IF(DS49=BS49,BT49,IF(DS49=BW49,BX49,IF(DS49=CA49,CB49,IF(DS49=CE49,CF49,IF(DS49=CI49,CJ49,IF(DS49=CM49,CN49,IF(DS49=CQ49,CR49,IF(DS49=CU49,CV49,IF(DS49=CY49,CZ49,IF(DS49=DC49,DD49,IF(DS49=DG49,DH49,IF(DS49=DK49,DL49,IF(DS49=DO49,DP49,0))))))))))))))</f>
        <v>2</v>
      </c>
      <c r="DU49">
        <f>IF(DS49=BO49,BQ49,IF(DS49=BS49,BU49,IF(DS49=BW49,BY49,IF(DS49=CA49,CC49,IF(DS49=CE49,CG49,IF(DS49=CI49,CK49,IF(DS49=CM49,CO49,IF(DS49=CQ49,CS49,IF(DS49=CU49,CW49,IF(DS49=CY49,DA49,IF(DS49=DC49,DE49,IF(DS49=DG49,DI49,IF(DS49=DK49,DM49,IF(DS49=DO49,DQ49,0))))))))))))))</f>
        <v>20.23011</v>
      </c>
      <c r="DV49">
        <f t="shared" si="31"/>
        <v>0</v>
      </c>
      <c r="DW49">
        <v>31226.480769230799</v>
      </c>
      <c r="DX49">
        <v>4</v>
      </c>
      <c r="DY49">
        <v>35</v>
      </c>
      <c r="DZ49">
        <v>6</v>
      </c>
      <c r="EA49">
        <v>6</v>
      </c>
      <c r="EB49">
        <v>14.0364762223093</v>
      </c>
      <c r="EC49">
        <v>1.5</v>
      </c>
      <c r="ED49">
        <v>6.6501137999999997</v>
      </c>
      <c r="EE49">
        <v>0.29674444444444398</v>
      </c>
      <c r="EF49">
        <v>20.23011</v>
      </c>
      <c r="EG49">
        <v>17.943122767362599</v>
      </c>
      <c r="EH49">
        <v>2</v>
      </c>
      <c r="EI49">
        <v>0</v>
      </c>
      <c r="EJ49">
        <v>2.6299142999999998</v>
      </c>
      <c r="EK49">
        <v>1</v>
      </c>
      <c r="EL49">
        <v>0</v>
      </c>
      <c r="EM49">
        <v>36</v>
      </c>
      <c r="EN49">
        <v>1</v>
      </c>
      <c r="EO49">
        <v>3</v>
      </c>
      <c r="EP49">
        <v>8</v>
      </c>
      <c r="EQ49">
        <v>2</v>
      </c>
      <c r="ER49">
        <v>14.1987814663817</v>
      </c>
      <c r="ES49">
        <v>14.5655833209299</v>
      </c>
      <c r="ET49">
        <v>21.215697120929899</v>
      </c>
      <c r="EU49">
        <v>8.4268190360589994</v>
      </c>
      <c r="EV49">
        <v>11.056733336059001</v>
      </c>
      <c r="EW49">
        <v>4.6936526000000001</v>
      </c>
      <c r="EX49">
        <v>12.717375266722501</v>
      </c>
      <c r="EY49">
        <v>17.411027866722499</v>
      </c>
      <c r="EZ49">
        <v>2.6299142999999998</v>
      </c>
      <c r="FA49">
        <v>8.4268190360589994</v>
      </c>
      <c r="FB49">
        <v>11.056733336059001</v>
      </c>
      <c r="FC49">
        <v>2.9697486</v>
      </c>
      <c r="FD49">
        <v>9.8803009655009593</v>
      </c>
      <c r="FE49">
        <v>12.850049565500999</v>
      </c>
      <c r="FF49">
        <v>2.6299142999999998</v>
      </c>
      <c r="FG49">
        <v>8.4268190360589994</v>
      </c>
      <c r="FH49">
        <v>11.056733336059001</v>
      </c>
    </row>
    <row r="50" spans="1:164" x14ac:dyDescent="0.2">
      <c r="A50">
        <v>49</v>
      </c>
      <c r="B50">
        <v>57</v>
      </c>
      <c r="C50">
        <v>100</v>
      </c>
      <c r="D50">
        <v>3</v>
      </c>
      <c r="E50">
        <v>12</v>
      </c>
      <c r="F50" t="s">
        <v>214</v>
      </c>
      <c r="G50" t="s">
        <v>122</v>
      </c>
      <c r="H50">
        <v>3</v>
      </c>
      <c r="I50">
        <v>3</v>
      </c>
      <c r="K50" t="s">
        <v>215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1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3</v>
      </c>
      <c r="AE50">
        <v>8</v>
      </c>
      <c r="AF50">
        <v>4</v>
      </c>
      <c r="AG50">
        <v>10</v>
      </c>
      <c r="AH50">
        <v>4</v>
      </c>
      <c r="AI50">
        <v>0.21195277777777799</v>
      </c>
      <c r="AJ50">
        <v>6.3406799999999999</v>
      </c>
      <c r="AK50">
        <v>0.50308888888888903</v>
      </c>
      <c r="AL50">
        <v>27.154959999999999</v>
      </c>
      <c r="AM50">
        <v>0.3972</v>
      </c>
      <c r="AN50">
        <v>24.684809999999999</v>
      </c>
      <c r="AO50">
        <v>0.39334166666666698</v>
      </c>
      <c r="AP50">
        <v>22.311319999999998</v>
      </c>
      <c r="AQ50">
        <v>0.41664166666666702</v>
      </c>
      <c r="AR50">
        <v>22.639209999999999</v>
      </c>
      <c r="AS50">
        <v>0.38182777777777799</v>
      </c>
      <c r="AT50">
        <v>19.13935</v>
      </c>
      <c r="AU50">
        <v>0.28117222222222199</v>
      </c>
      <c r="AV50">
        <v>13.603809999999999</v>
      </c>
      <c r="AW50">
        <v>0.25644722222222199</v>
      </c>
      <c r="AX50">
        <v>11.577640000000001</v>
      </c>
      <c r="AY50">
        <v>0.218538888888889</v>
      </c>
      <c r="AZ50">
        <v>7.9763099999999998</v>
      </c>
      <c r="BA50">
        <v>0.20353055555555599</v>
      </c>
      <c r="BB50">
        <v>7.3933299999999997</v>
      </c>
      <c r="BC50">
        <v>0.22453611111111099</v>
      </c>
      <c r="BD50">
        <v>6.8517200000000003</v>
      </c>
      <c r="BE50">
        <v>0.25381944444444399</v>
      </c>
      <c r="BF50">
        <v>12.23803</v>
      </c>
      <c r="BG50">
        <v>0.31769166666666698</v>
      </c>
      <c r="BH50">
        <v>15.640879999999999</v>
      </c>
      <c r="BI50">
        <v>0.361519444444444</v>
      </c>
      <c r="BJ50">
        <v>17.614799999999999</v>
      </c>
      <c r="BK50">
        <v>0.42965833333333298</v>
      </c>
      <c r="BL50">
        <v>24.43045</v>
      </c>
      <c r="BM50">
        <v>0.47116111111111098</v>
      </c>
      <c r="BN50">
        <v>26.42313</v>
      </c>
      <c r="BO50">
        <f t="shared" si="0"/>
        <v>0.20353055555555599</v>
      </c>
      <c r="BP50">
        <v>9</v>
      </c>
      <c r="BQ50">
        <v>7.3933299999999997</v>
      </c>
      <c r="BR50">
        <f t="shared" si="1"/>
        <v>0</v>
      </c>
      <c r="BS50">
        <f t="shared" si="2"/>
        <v>0.20353055555555599</v>
      </c>
      <c r="BT50">
        <f t="shared" si="3"/>
        <v>9</v>
      </c>
      <c r="BU50">
        <f t="shared" si="4"/>
        <v>7.3933299999999997</v>
      </c>
      <c r="BV50">
        <f t="shared" si="5"/>
        <v>0</v>
      </c>
      <c r="BW50">
        <f t="shared" si="6"/>
        <v>0.20353055555555599</v>
      </c>
      <c r="BX50">
        <f t="shared" si="32"/>
        <v>9</v>
      </c>
      <c r="BY50">
        <f t="shared" si="33"/>
        <v>7.3933299999999997</v>
      </c>
      <c r="BZ50">
        <f t="shared" si="7"/>
        <v>0</v>
      </c>
      <c r="CA50">
        <f t="shared" si="8"/>
        <v>0.20353055555555599</v>
      </c>
      <c r="CB50">
        <f>IF(CA50=BO50,BP50,IF(CA50=BS50,BT50,IF(CA50=BW50,BX50,0)))</f>
        <v>9</v>
      </c>
      <c r="CC50">
        <f>IF(CA50=BO50,BQ50,IF(CA50=BS50,BU50,IF(CA50=BW50,BY50,0)))</f>
        <v>7.3933299999999997</v>
      </c>
      <c r="CD50">
        <f t="shared" si="9"/>
        <v>0</v>
      </c>
      <c r="CE50">
        <f t="shared" si="10"/>
        <v>0.20353055555555599</v>
      </c>
      <c r="CF50">
        <f>IF(CE50=BO50,BP50,IF(CE50=BS50,BT50,IF(CE50=BW50,BX50,IF(CE50=CA50,CB50,0))))</f>
        <v>9</v>
      </c>
      <c r="CG50">
        <f>IF(CE50=BO50,BQ50,IF(CE50=BS50,BU50,IF(CE50=BW50,BY50,IF(CE50=CA50,CC50,0))))</f>
        <v>7.3933299999999997</v>
      </c>
      <c r="CH50">
        <f t="shared" si="11"/>
        <v>0</v>
      </c>
      <c r="CI50">
        <f t="shared" si="12"/>
        <v>0.20353055555555599</v>
      </c>
      <c r="CJ50">
        <f>IF(CI50=BO50,BP50,IF(CI50=BS50,BT50,IF(CI50=BW50,BX50,IF(CI50=CA50,CB50,IF(CI50=CE50,CF50,0)))))</f>
        <v>9</v>
      </c>
      <c r="CK50">
        <f>IF(CI50=BO50,BQ50,IF(CI50=BS50,BU50,IF(CI50=BW50,BY50,IF(CI50=CA50,CC50,IF(CI50=CE50,CG50,0)))))</f>
        <v>7.3933299999999997</v>
      </c>
      <c r="CL50">
        <f t="shared" si="13"/>
        <v>0</v>
      </c>
      <c r="CM50">
        <f t="shared" si="14"/>
        <v>0.20353055555555599</v>
      </c>
      <c r="CN50">
        <f>IF(CM50=BO50,BP50,IF(CM50=BS50,BT50,IF(CM50=BW50,BX50,IF(CM50=CA50,CB50,IF(CM50=CE50,CF50,IF(CM50=CI50,CJ50,0))))))</f>
        <v>9</v>
      </c>
      <c r="CO50">
        <f>IF(CM50=BO50,BQ50,IF(CM50=BS50,BU50,IF(CM50=BW50,BY50,IF(CM50=CA50,CC50,IF(CM50=CE50,CG50,IF(CM50=CI50,CK50,0))))))</f>
        <v>7.3933299999999997</v>
      </c>
      <c r="CP50">
        <f t="shared" si="15"/>
        <v>0</v>
      </c>
      <c r="CQ50">
        <f t="shared" si="16"/>
        <v>0.20353055555555599</v>
      </c>
      <c r="CR50">
        <f>IF(CQ50=BO50,BP50,IF(CQ50=BS50,BT50,IF(CQ50=BW50,BX50,IF(CQ50=CA50,CB50,IF(CQ50=CE50,CF50,IF(CQ50=CI50,CJ50,IF(CQ50=CM50,CN50,0)))))))</f>
        <v>9</v>
      </c>
      <c r="CS50">
        <f>IF(CQ50=BO50,BQ50,IF(CQ50=BS50,BU50,IF(CQ50=BW50,BY50,IF(CQ50=CA50,CC50,IF(CQ50=CE50,CG50,IF(CQ50=CI50,CK50,IF(CQ50=CM50,CO50,0)))))))</f>
        <v>7.3933299999999997</v>
      </c>
      <c r="CT50">
        <f t="shared" si="17"/>
        <v>0</v>
      </c>
      <c r="CU50">
        <f t="shared" si="18"/>
        <v>0.21195277777777799</v>
      </c>
      <c r="CV50" t="s">
        <v>407</v>
      </c>
      <c r="CW50">
        <v>6.3406799999999999</v>
      </c>
      <c r="CX50">
        <v>4</v>
      </c>
      <c r="CY50">
        <f t="shared" si="20"/>
        <v>0.20353055555555599</v>
      </c>
      <c r="CZ50">
        <f>IF(CY50=BO50,BP50,IF(CY50=BS50,BT50,IF(CY50=BW50,BX50,IF(CY50=CA50,CB50,IF(CY50=CE50,CF50,IF(CY50=CI50,CJ50,IF(CY50=CM50,CN50,IF(CY50=CQ50,CR50,IF(CY50=CU50,CV50,0)))))))))</f>
        <v>9</v>
      </c>
      <c r="DA50">
        <f>IF(CY50=BO50,BQ50,IF(CY50=BS50,BU50,IF(CY50=BW50,BY50,IF(CY50=CA50,CC50,IF(CY50=CE50,CG50,IF(CY50=CI50,CK50,IF(CY50=CM50,CO50,IF(CY50=CQ50,CS50,IF(CY50=CU50,CW50,0)))))))))</f>
        <v>7.3933299999999997</v>
      </c>
      <c r="DB50">
        <f t="shared" si="21"/>
        <v>0</v>
      </c>
      <c r="DC50">
        <f t="shared" si="22"/>
        <v>0.20353055555555599</v>
      </c>
      <c r="DD50">
        <f>IF(DC50=BO50,BP50,IF(DC50=BS50,BT50,IF(DC50=BW50,BX50,IF(DC50=CA50,CB50,IF(DC50=CE50,CF50,IF(DC50=CI50,CJ50,IF(DC50=CM50,CN50,IF(DC50=CQ50,CR50,IF(DC50=CU50,CV50,IF(DC50=CY50,CZ50,0))))))))))</f>
        <v>9</v>
      </c>
      <c r="DE50">
        <f>IF(DC50=BO50,BQ50,IF(DC50=BS50,BU50,IF(DC50=BW50,BY50,IF(DC50=CA50,CC50,IF(DC50=CE50,CG50,IF(DC50=CI50,CK50,IF(DC50=CM50,CO50,IF(DC50=CQ50,CS50,IF(DC50=CU50,CW50,IF(DC50=CY50,DA50,0))))))))))</f>
        <v>7.3933299999999997</v>
      </c>
      <c r="DF50">
        <f t="shared" si="23"/>
        <v>0</v>
      </c>
      <c r="DG50">
        <f t="shared" si="24"/>
        <v>0.20353055555555599</v>
      </c>
      <c r="DH50">
        <f>IF(DG50=BO50,BP50,IF(DG50=BS50,BT50,IF(DG50=BW50,BX50,IF(DG50=CA50,CB50,IF(DG50=CE50,CF50,IF(DG50=CI50,CJ50,IF(DG50=CM50,CN50,IF(DG50=CQ50,CR50,IF(DG50=CU50,CV50,IF(DG50=CY50,CZ50,IF(DG50=DC50,DD50,0)))))))))))</f>
        <v>9</v>
      </c>
      <c r="DI50">
        <f>IF(DG50=BO50,BQ50,IF(DG50=BS50,BU50,IF(DG50=BW50,BY50,IF(DG50=CA50,CC50,IF(DG50=CE50,CG50,IF(DG50=CI50,CK50,IF(DG50=CM50,CO50,IF(DG50=CQ50,CS50,IF(DG50=CU50,CW50,IF(DG50=CY50,DA50,IF(DG50=DC50,DE50,0)))))))))))</f>
        <v>7.3933299999999997</v>
      </c>
      <c r="DJ50">
        <f t="shared" si="25"/>
        <v>0</v>
      </c>
      <c r="DK50">
        <f t="shared" si="26"/>
        <v>0.20353055555555599</v>
      </c>
      <c r="DL50">
        <f>IF(DK50=BO50,BP50,IF(DK50=BS50,BT50,IF(DK50=BW50,BX50,IF(DK50=CA50,CB50,IF(DK50=CE50,CF50,IF(DK50=CI50,CJ50,IF(DK50=CM50,CN50,IF(DK50=CQ50,CR50,IF(DK50=CU50,CV50,IF(DK50=CY50,CZ50,IF(DK50=DC50,DD50,IF(DK50=DG50,DH50,0))))))))))))</f>
        <v>9</v>
      </c>
      <c r="DM50">
        <f>IF(DK50=BO50,BQ50,IF(DK50=BS50,BU50,IF(DK50=BW50,BY50,IF(DK50=CA50,CC50,IF(DK50=CE50,CG50,IF(DK50=CI50,CK50,IF(DK50=CM50,CO50,IF(DK50=CQ50,CS50,IF(DK50=CU50,CW50,IF(DK50=CY50,DA50,IF(DK50=DC50,DE50,IF(DK50=DG50,DI50,0))))))))))))</f>
        <v>7.3933299999999997</v>
      </c>
      <c r="DN50">
        <f t="shared" si="27"/>
        <v>0</v>
      </c>
      <c r="DO50">
        <f t="shared" si="28"/>
        <v>0.20353055555555599</v>
      </c>
      <c r="DP50">
        <f>IF(DO50=BO50,BP50,IF(DO50=BS50,BT50,IF(DO50=BW50,BX50,IF(DO50=CA50,CB50,IF(DO50=CE50,CF50,IF(DO50=CI50,CJ50,IF(DO50=CM50,CN50,IF(DO50=CQ50,CR50,IF(DO50=CU50,CV50,IF(DO50=CY50,CZ50,IF(DO50=DC50,DD50,IF(DO50=DG50,DH50,IF(DO50=DK50,DL50,0)))))))))))))</f>
        <v>9</v>
      </c>
      <c r="DQ50">
        <f>IF(DO50=BO50,BQ50,IF(DO50=BS50,BU50,IF(DO50=BW50,BY50,IF(DO50=CA50,CC50,IF(DO50=CE50,CG50,IF(DO50=CI50,CK50,IF(DO50=CM50,CO50,IF(DO50=CQ50,CS50,IF(DO50=CU50,CW50,IF(DO50=CY50,DA50,IF(DO50=DC50,DE50,IF(DO50=DG50,DI50,IF(DO50=DK50,DM50,0)))))))))))))</f>
        <v>7.3933299999999997</v>
      </c>
      <c r="DR50">
        <f t="shared" si="29"/>
        <v>0</v>
      </c>
      <c r="DS50">
        <f t="shared" si="30"/>
        <v>0.20353055555555599</v>
      </c>
      <c r="DT50">
        <f>IF(DS50=BO50,BP50,IF(DS50=BS50,BT50,IF(DS50=BW50,BX50,IF(DS50=CA50,CB50,IF(DS50=CE50,CF50,IF(DS50=CI50,CJ50,IF(DS50=CM50,CN50,IF(DS50=CQ50,CR50,IF(DS50=CU50,CV50,IF(DS50=CY50,CZ50,IF(DS50=DC50,DD50,IF(DS50=DG50,DH50,IF(DS50=DK50,DL50,IF(DS50=DO50,DP50,0))))))))))))))</f>
        <v>9</v>
      </c>
      <c r="DU50">
        <f>IF(DS50=BO50,BQ50,IF(DS50=BS50,BU50,IF(DS50=BW50,BY50,IF(DS50=CA50,CC50,IF(DS50=CE50,CG50,IF(DS50=CI50,CK50,IF(DS50=CM50,CO50,IF(DS50=CQ50,CS50,IF(DS50=CU50,CW50,IF(DS50=CY50,DA50,IF(DS50=DC50,DE50,IF(DS50=DG50,DI50,IF(DS50=DK50,DM50,IF(DS50=DO50,DQ50,0))))))))))))))</f>
        <v>7.3933299999999997</v>
      </c>
      <c r="DV50">
        <f t="shared" si="31"/>
        <v>0</v>
      </c>
      <c r="DW50">
        <v>7500</v>
      </c>
      <c r="DX50">
        <v>6</v>
      </c>
      <c r="DY50">
        <v>0</v>
      </c>
      <c r="DZ50">
        <v>4</v>
      </c>
      <c r="EA50">
        <v>4</v>
      </c>
      <c r="EB50">
        <v>3.37129157926281</v>
      </c>
      <c r="EC50">
        <v>0.66666666666666696</v>
      </c>
      <c r="ED50">
        <v>1.21619226666667</v>
      </c>
      <c r="EE50">
        <v>0.20353055555555599</v>
      </c>
      <c r="EF50">
        <v>7.3933299999999997</v>
      </c>
      <c r="EG50">
        <v>2.3138780625982598</v>
      </c>
      <c r="EH50">
        <v>9</v>
      </c>
      <c r="EI50">
        <v>0</v>
      </c>
      <c r="EJ50">
        <v>0.64075526666666704</v>
      </c>
      <c r="EK50">
        <v>1</v>
      </c>
      <c r="EL50">
        <v>0</v>
      </c>
      <c r="EM50">
        <v>28</v>
      </c>
      <c r="EN50">
        <v>0</v>
      </c>
      <c r="EO50">
        <v>3</v>
      </c>
      <c r="EP50">
        <v>4</v>
      </c>
      <c r="EQ50">
        <v>4</v>
      </c>
      <c r="ER50">
        <v>14.1987814663817</v>
      </c>
      <c r="ES50">
        <v>6.0189423457184601</v>
      </c>
      <c r="ET50">
        <v>7.2351346123851199</v>
      </c>
      <c r="EU50">
        <v>5.77977176012919</v>
      </c>
      <c r="EV50">
        <v>6.4205270267958596</v>
      </c>
      <c r="EW50">
        <v>0.69128020000000001</v>
      </c>
      <c r="EX50">
        <v>6.2059718504783996</v>
      </c>
      <c r="EY50">
        <v>6.8972520504784001</v>
      </c>
      <c r="EZ50">
        <v>0.64075526666666704</v>
      </c>
      <c r="FA50">
        <v>5.77977176012919</v>
      </c>
      <c r="FB50">
        <v>6.4205270267958596</v>
      </c>
      <c r="FC50">
        <v>1.93364773333333</v>
      </c>
      <c r="FD50">
        <v>11.1699447332447</v>
      </c>
      <c r="FE50">
        <v>13.103592466578</v>
      </c>
      <c r="FF50">
        <v>0.64075526666666704</v>
      </c>
      <c r="FG50">
        <v>5.77977176012919</v>
      </c>
      <c r="FH50">
        <v>6.4205270267958596</v>
      </c>
    </row>
    <row r="51" spans="1:164" x14ac:dyDescent="0.2">
      <c r="A51">
        <v>50</v>
      </c>
      <c r="B51">
        <v>59</v>
      </c>
      <c r="C51">
        <v>102</v>
      </c>
      <c r="D51">
        <v>1</v>
      </c>
      <c r="E51">
        <v>11</v>
      </c>
      <c r="F51" t="s">
        <v>216</v>
      </c>
      <c r="G51" t="s">
        <v>216</v>
      </c>
      <c r="H51">
        <v>3</v>
      </c>
      <c r="I51">
        <v>6</v>
      </c>
      <c r="K51" t="s">
        <v>217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2</v>
      </c>
      <c r="AF51">
        <v>1</v>
      </c>
      <c r="AG51">
        <v>1</v>
      </c>
      <c r="AH51">
        <v>6</v>
      </c>
      <c r="AI51">
        <v>1.0785555555555599</v>
      </c>
      <c r="AJ51">
        <v>78.467910000000003</v>
      </c>
      <c r="AK51">
        <v>0.94216944444444395</v>
      </c>
      <c r="AL51">
        <v>58.429609999999997</v>
      </c>
      <c r="AM51">
        <v>0.86238333333333295</v>
      </c>
      <c r="AN51">
        <v>59.081760000000003</v>
      </c>
      <c r="AO51">
        <v>0.91356666666666697</v>
      </c>
      <c r="AP51">
        <v>61.695869999999999</v>
      </c>
      <c r="AQ51">
        <v>0.95289999999999997</v>
      </c>
      <c r="AR51">
        <v>63.716349999999998</v>
      </c>
      <c r="AS51">
        <v>0.997475</v>
      </c>
      <c r="AT51">
        <v>67.057029999999997</v>
      </c>
      <c r="AU51">
        <v>0.993933333333333</v>
      </c>
      <c r="AV51">
        <v>70.791899999999998</v>
      </c>
      <c r="AW51">
        <v>1.00348611111111</v>
      </c>
      <c r="AX51">
        <v>73.717929999999996</v>
      </c>
      <c r="AY51">
        <v>1.0134722222222201</v>
      </c>
      <c r="AZ51">
        <v>74.956659999999999</v>
      </c>
      <c r="BA51">
        <v>1.0268222222222201</v>
      </c>
      <c r="BB51">
        <v>76.277379999999994</v>
      </c>
      <c r="BC51">
        <v>1.08765277777778</v>
      </c>
      <c r="BD51">
        <v>77.602069999999998</v>
      </c>
      <c r="BE51">
        <v>1.0986722222222201</v>
      </c>
      <c r="BF51">
        <v>83.979039999999998</v>
      </c>
      <c r="BG51">
        <v>1.1625444444444399</v>
      </c>
      <c r="BH51">
        <v>87.381879999999995</v>
      </c>
      <c r="BI51">
        <v>1.20637222222222</v>
      </c>
      <c r="BJ51">
        <v>89.355800000000002</v>
      </c>
      <c r="BK51">
        <v>1.27451111111111</v>
      </c>
      <c r="BL51">
        <v>96.171449999999993</v>
      </c>
      <c r="BM51">
        <v>1.3160138888888899</v>
      </c>
      <c r="BN51">
        <v>98.16413</v>
      </c>
      <c r="BO51">
        <f t="shared" si="0"/>
        <v>0.86238333333333295</v>
      </c>
      <c r="BP51">
        <v>2</v>
      </c>
      <c r="BQ51">
        <v>59.081760000000003</v>
      </c>
      <c r="BR51">
        <f t="shared" si="1"/>
        <v>0</v>
      </c>
      <c r="BS51">
        <f t="shared" si="2"/>
        <v>0.91356666666666697</v>
      </c>
      <c r="BT51">
        <v>3</v>
      </c>
      <c r="BU51">
        <v>61.695869999999999</v>
      </c>
      <c r="BV51">
        <f t="shared" si="5"/>
        <v>0</v>
      </c>
      <c r="BW51">
        <f t="shared" si="6"/>
        <v>0.86238333333333295</v>
      </c>
      <c r="BX51">
        <f t="shared" si="32"/>
        <v>2</v>
      </c>
      <c r="BY51">
        <f t="shared" si="33"/>
        <v>59.081760000000003</v>
      </c>
      <c r="BZ51">
        <f t="shared" si="7"/>
        <v>0</v>
      </c>
      <c r="CA51">
        <f t="shared" si="8"/>
        <v>0.86238333333333295</v>
      </c>
      <c r="CB51">
        <f>IF(CA51=BO51,BP51,IF(CA51=BS51,BT51,IF(CA51=BW51,BX51,0)))</f>
        <v>2</v>
      </c>
      <c r="CC51">
        <f>IF(CA51=BO51,BQ51,IF(CA51=BS51,BU51,IF(CA51=BW51,BY51,0)))</f>
        <v>59.081760000000003</v>
      </c>
      <c r="CD51">
        <f t="shared" si="9"/>
        <v>0</v>
      </c>
      <c r="CE51">
        <f t="shared" si="10"/>
        <v>0.86238333333333295</v>
      </c>
      <c r="CF51">
        <f>IF(CE51=BO51,BP51,IF(CE51=BS51,BT51,IF(CE51=BW51,BX51,IF(CE51=CA51,CB51,0))))</f>
        <v>2</v>
      </c>
      <c r="CG51">
        <f>IF(CE51=BO51,BQ51,IF(CE51=BS51,BU51,IF(CE51=BW51,BY51,IF(CE51=CA51,CC51,0))))</f>
        <v>59.081760000000003</v>
      </c>
      <c r="CH51">
        <f t="shared" si="11"/>
        <v>0</v>
      </c>
      <c r="CI51">
        <f t="shared" si="12"/>
        <v>0.86238333333333295</v>
      </c>
      <c r="CJ51">
        <f>IF(CI51=BO51,BP51,IF(CI51=BS51,BT51,IF(CI51=BW51,BX51,IF(CI51=CA51,CB51,IF(CI51=CE51,CF51,0)))))</f>
        <v>2</v>
      </c>
      <c r="CK51">
        <f>IF(CI51=BO51,BQ51,IF(CI51=BS51,BU51,IF(CI51=BW51,BY51,IF(CI51=CA51,CC51,IF(CI51=CE51,CG51,0)))))</f>
        <v>59.081760000000003</v>
      </c>
      <c r="CL51">
        <f t="shared" si="13"/>
        <v>0</v>
      </c>
      <c r="CM51">
        <f t="shared" si="14"/>
        <v>0.86238333333333295</v>
      </c>
      <c r="CN51">
        <f>IF(CM51=BO51,BP51,IF(CM51=BS51,BT51,IF(CM51=BW51,BX51,IF(CM51=CA51,CB51,IF(CM51=CE51,CF51,IF(CM51=CI51,CJ51,0))))))</f>
        <v>2</v>
      </c>
      <c r="CO51">
        <f>IF(CM51=BO51,BQ51,IF(CM51=BS51,BU51,IF(CM51=BW51,BY51,IF(CM51=CA51,CC51,IF(CM51=CE51,CG51,IF(CM51=CI51,CK51,0))))))</f>
        <v>59.081760000000003</v>
      </c>
      <c r="CP51">
        <f t="shared" si="15"/>
        <v>0</v>
      </c>
      <c r="CQ51">
        <f t="shared" si="16"/>
        <v>0.86238333333333295</v>
      </c>
      <c r="CR51">
        <f>IF(CQ51=BO51,BP51,IF(CQ51=BS51,BT51,IF(CQ51=BW51,BX51,IF(CQ51=CA51,CB51,IF(CQ51=CE51,CF51,IF(CQ51=CI51,CJ51,IF(CQ51=CM51,CN51,0)))))))</f>
        <v>2</v>
      </c>
      <c r="CS51">
        <f>IF(CQ51=BO51,BQ51,IF(CQ51=BS51,BU51,IF(CQ51=BW51,BY51,IF(CQ51=CA51,CC51,IF(CQ51=CE51,CG51,IF(CQ51=CI51,CK51,IF(CQ51=CM51,CO51,0)))))))</f>
        <v>59.081760000000003</v>
      </c>
      <c r="CT51">
        <f t="shared" si="17"/>
        <v>0</v>
      </c>
      <c r="CU51">
        <f t="shared" si="18"/>
        <v>0.86238333333333295</v>
      </c>
      <c r="CV51">
        <f>IF(CU51=BO51,BP51,IF(CU51=BS51,BT51,IF(CU51=BW51,BX51,IF(CU51=CA51,CB51,IF(CU51=CE51,CF51,IF(CU51=CI51,CJ51,IF(CU51=CM51,CN51,IF(CU51=CQ51,CR51,0))))))))</f>
        <v>2</v>
      </c>
      <c r="CW51">
        <f>IF(CU51=BO51,BQ51,IF(CU51=BS51,BU51,IF(CU51=BW51,BY51,IF(CU51=CA51,CC51,IF(CU51=CE51,CG51,IF(CU51=CI51,CK51,IF(CU51=CM51,CO51,IF(CU51=CQ51,CS51,0))))))))</f>
        <v>59.081760000000003</v>
      </c>
      <c r="CX51">
        <f t="shared" si="19"/>
        <v>0</v>
      </c>
      <c r="CY51">
        <f t="shared" si="20"/>
        <v>0.86238333333333295</v>
      </c>
      <c r="CZ51">
        <f>IF(CY51=BO51,BP51,IF(CY51=BS51,BT51,IF(CY51=BW51,BX51,IF(CY51=CA51,CB51,IF(CY51=CE51,CF51,IF(CY51=CI51,CJ51,IF(CY51=CM51,CN51,IF(CY51=CQ51,CR51,IF(CY51=CU51,CV51,0)))))))))</f>
        <v>2</v>
      </c>
      <c r="DA51">
        <f>IF(CY51=BO51,BQ51,IF(CY51=BS51,BU51,IF(CY51=BW51,BY51,IF(CY51=CA51,CC51,IF(CY51=CE51,CG51,IF(CY51=CI51,CK51,IF(CY51=CM51,CO51,IF(CY51=CQ51,CS51,IF(CY51=CU51,CW51,0)))))))))</f>
        <v>59.081760000000003</v>
      </c>
      <c r="DB51">
        <f t="shared" si="21"/>
        <v>0</v>
      </c>
      <c r="DC51">
        <f t="shared" si="22"/>
        <v>0.86238333333333295</v>
      </c>
      <c r="DD51">
        <f>IF(DC51=BO51,BP51,IF(DC51=BS51,BT51,IF(DC51=BW51,BX51,IF(DC51=CA51,CB51,IF(DC51=CE51,CF51,IF(DC51=CI51,CJ51,IF(DC51=CM51,CN51,IF(DC51=CQ51,CR51,IF(DC51=CU51,CV51,IF(DC51=CY51,CZ51,0))))))))))</f>
        <v>2</v>
      </c>
      <c r="DE51">
        <f>IF(DC51=BO51,BQ51,IF(DC51=BS51,BU51,IF(DC51=BW51,BY51,IF(DC51=CA51,CC51,IF(DC51=CE51,CG51,IF(DC51=CI51,CK51,IF(DC51=CM51,CO51,IF(DC51=CQ51,CS51,IF(DC51=CU51,CW51,IF(DC51=CY51,DA51,0))))))))))</f>
        <v>59.081760000000003</v>
      </c>
      <c r="DF51">
        <f t="shared" si="23"/>
        <v>0</v>
      </c>
      <c r="DG51">
        <f t="shared" si="24"/>
        <v>0.86238333333333295</v>
      </c>
      <c r="DH51">
        <f>IF(DG51=BO51,BP51,IF(DG51=BS51,BT51,IF(DG51=BW51,BX51,IF(DG51=CA51,CB51,IF(DG51=CE51,CF51,IF(DG51=CI51,CJ51,IF(DG51=CM51,CN51,IF(DG51=CQ51,CR51,IF(DG51=CU51,CV51,IF(DG51=CY51,CZ51,IF(DG51=DC51,DD51,0)))))))))))</f>
        <v>2</v>
      </c>
      <c r="DI51">
        <f>IF(DG51=BO51,BQ51,IF(DG51=BS51,BU51,IF(DG51=BW51,BY51,IF(DG51=CA51,CC51,IF(DG51=CE51,CG51,IF(DG51=CI51,CK51,IF(DG51=CM51,CO51,IF(DG51=CQ51,CS51,IF(DG51=CU51,CW51,IF(DG51=CY51,DA51,IF(DG51=DC51,DE51,0)))))))))))</f>
        <v>59.081760000000003</v>
      </c>
      <c r="DJ51">
        <f t="shared" si="25"/>
        <v>0</v>
      </c>
      <c r="DK51">
        <f t="shared" si="26"/>
        <v>0.86238333333333295</v>
      </c>
      <c r="DL51">
        <f>IF(DK51=BO51,BP51,IF(DK51=BS51,BT51,IF(DK51=BW51,BX51,IF(DK51=CA51,CB51,IF(DK51=CE51,CF51,IF(DK51=CI51,CJ51,IF(DK51=CM51,CN51,IF(DK51=CQ51,CR51,IF(DK51=CU51,CV51,IF(DK51=CY51,CZ51,IF(DK51=DC51,DD51,IF(DK51=DG51,DH51,0))))))))))))</f>
        <v>2</v>
      </c>
      <c r="DM51">
        <f>IF(DK51=BO51,BQ51,IF(DK51=BS51,BU51,IF(DK51=BW51,BY51,IF(DK51=CA51,CC51,IF(DK51=CE51,CG51,IF(DK51=CI51,CK51,IF(DK51=CM51,CO51,IF(DK51=CQ51,CS51,IF(DK51=CU51,CW51,IF(DK51=CY51,DA51,IF(DK51=DC51,DE51,IF(DK51=DG51,DI51,0))))))))))))</f>
        <v>59.081760000000003</v>
      </c>
      <c r="DN51">
        <f t="shared" si="27"/>
        <v>0</v>
      </c>
      <c r="DO51">
        <f t="shared" si="28"/>
        <v>0.86238333333333295</v>
      </c>
      <c r="DP51">
        <f>IF(DO51=BO51,BP51,IF(DO51=BS51,BT51,IF(DO51=BW51,BX51,IF(DO51=CA51,CB51,IF(DO51=CE51,CF51,IF(DO51=CI51,CJ51,IF(DO51=CM51,CN51,IF(DO51=CQ51,CR51,IF(DO51=CU51,CV51,IF(DO51=CY51,CZ51,IF(DO51=DC51,DD51,IF(DO51=DG51,DH51,IF(DO51=DK51,DL51,0)))))))))))))</f>
        <v>2</v>
      </c>
      <c r="DQ51">
        <f>IF(DO51=BO51,BQ51,IF(DO51=BS51,BU51,IF(DO51=BW51,BY51,IF(DO51=CA51,CC51,IF(DO51=CE51,CG51,IF(DO51=CI51,CK51,IF(DO51=CM51,CO51,IF(DO51=CQ51,CS51,IF(DO51=CU51,CW51,IF(DO51=CY51,DA51,IF(DO51=DC51,DE51,IF(DO51=DG51,DI51,IF(DO51=DK51,DM51,0)))))))))))))</f>
        <v>59.081760000000003</v>
      </c>
      <c r="DR51">
        <f t="shared" si="29"/>
        <v>0</v>
      </c>
      <c r="DS51">
        <f t="shared" si="30"/>
        <v>0.86238333333333295</v>
      </c>
      <c r="DT51">
        <f>IF(DS51=BO51,BP51,IF(DS51=BS51,BT51,IF(DS51=BW51,BX51,IF(DS51=CA51,CB51,IF(DS51=CE51,CF51,IF(DS51=CI51,CJ51,IF(DS51=CM51,CN51,IF(DS51=CQ51,CR51,IF(DS51=CU51,CV51,IF(DS51=CY51,CZ51,IF(DS51=DC51,DD51,IF(DS51=DG51,DH51,IF(DS51=DK51,DL51,IF(DS51=DO51,DP51,0))))))))))))))</f>
        <v>2</v>
      </c>
      <c r="DU51">
        <f>IF(DS51=BO51,BQ51,IF(DS51=BS51,BU51,IF(DS51=BW51,BY51,IF(DS51=CA51,CC51,IF(DS51=CE51,CG51,IF(DS51=CI51,CK51,IF(DS51=CM51,CO51,IF(DS51=CQ51,CS51,IF(DS51=CU51,CW51,IF(DS51=CY51,DA51,IF(DS51=DC51,DE51,IF(DS51=DG51,DI51,IF(DS51=DK51,DM51,IF(DS51=DO51,DQ51,0))))))))))))))</f>
        <v>59.081760000000003</v>
      </c>
      <c r="DV51">
        <f t="shared" si="31"/>
        <v>0</v>
      </c>
      <c r="DW51">
        <v>31226.480769230799</v>
      </c>
      <c r="DX51">
        <v>6</v>
      </c>
      <c r="DY51">
        <v>20</v>
      </c>
      <c r="DZ51">
        <v>0</v>
      </c>
      <c r="EA51">
        <v>6</v>
      </c>
      <c r="EB51">
        <v>14.0364762223093</v>
      </c>
      <c r="EC51">
        <v>1</v>
      </c>
      <c r="ED51">
        <v>0</v>
      </c>
      <c r="EE51">
        <v>0.86238333333333295</v>
      </c>
      <c r="EF51">
        <v>59.081760000000003</v>
      </c>
      <c r="EG51">
        <v>31.278238819990399</v>
      </c>
      <c r="EH51">
        <v>2</v>
      </c>
      <c r="EI51">
        <v>0</v>
      </c>
      <c r="EJ51">
        <v>0</v>
      </c>
      <c r="EK51">
        <v>0</v>
      </c>
      <c r="EL51">
        <v>0</v>
      </c>
      <c r="EM51">
        <v>33</v>
      </c>
      <c r="EN51">
        <v>1</v>
      </c>
      <c r="EO51">
        <v>3</v>
      </c>
      <c r="EP51">
        <v>6</v>
      </c>
      <c r="EQ51">
        <v>1</v>
      </c>
      <c r="ER51">
        <v>14.1987814663817</v>
      </c>
      <c r="ES51">
        <v>30.628349265370598</v>
      </c>
      <c r="ET51">
        <v>30.628349265370598</v>
      </c>
      <c r="EU51">
        <v>24.4895849804996</v>
      </c>
      <c r="EV51">
        <v>24.4895849804996</v>
      </c>
      <c r="EW51">
        <v>0</v>
      </c>
      <c r="EX51">
        <v>28.780141211162999</v>
      </c>
      <c r="EY51">
        <v>28.780141211162999</v>
      </c>
      <c r="EZ51">
        <v>0</v>
      </c>
      <c r="FA51">
        <v>24.4895849804996</v>
      </c>
      <c r="FB51">
        <v>24.4895849804996</v>
      </c>
      <c r="FC51">
        <v>0</v>
      </c>
      <c r="FD51">
        <v>25.9430669099415</v>
      </c>
      <c r="FE51">
        <v>25.9430669099415</v>
      </c>
      <c r="FF51">
        <v>0</v>
      </c>
      <c r="FG51">
        <v>24.4895849804996</v>
      </c>
      <c r="FH51">
        <v>24.4895849804996</v>
      </c>
    </row>
    <row r="52" spans="1:164" x14ac:dyDescent="0.2">
      <c r="A52">
        <v>51</v>
      </c>
      <c r="B52">
        <v>61</v>
      </c>
      <c r="C52">
        <v>107</v>
      </c>
      <c r="D52">
        <v>3</v>
      </c>
      <c r="E52">
        <v>12</v>
      </c>
      <c r="F52" t="s">
        <v>218</v>
      </c>
      <c r="G52" t="s">
        <v>122</v>
      </c>
      <c r="H52">
        <v>3</v>
      </c>
      <c r="I52">
        <v>7</v>
      </c>
      <c r="J52" t="s">
        <v>219</v>
      </c>
      <c r="K52" t="s">
        <v>220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6</v>
      </c>
      <c r="AE52">
        <v>8</v>
      </c>
      <c r="AF52">
        <v>4</v>
      </c>
      <c r="AG52">
        <v>14</v>
      </c>
      <c r="AH52">
        <v>5</v>
      </c>
      <c r="AI52">
        <v>0.15404166666666699</v>
      </c>
      <c r="AJ52">
        <v>5.4118199999999996</v>
      </c>
      <c r="AK52">
        <v>0.37381111111111098</v>
      </c>
      <c r="AL52">
        <v>20.388739999999999</v>
      </c>
      <c r="AM52">
        <v>0.26792222222222201</v>
      </c>
      <c r="AN52">
        <v>17.918600000000001</v>
      </c>
      <c r="AO52">
        <v>0.26406388888888899</v>
      </c>
      <c r="AP52">
        <v>15.5451</v>
      </c>
      <c r="AQ52">
        <v>0.28736388888888897</v>
      </c>
      <c r="AR52">
        <v>15.872999999999999</v>
      </c>
      <c r="AS52">
        <v>0.25255</v>
      </c>
      <c r="AT52">
        <v>12.37313</v>
      </c>
      <c r="AU52">
        <v>0.14968888888888901</v>
      </c>
      <c r="AV52">
        <v>6.6999599999999999</v>
      </c>
      <c r="AW52">
        <v>0.114469444444444</v>
      </c>
      <c r="AX52">
        <v>3.58779</v>
      </c>
      <c r="AY52">
        <v>1.47388888888889E-2</v>
      </c>
      <c r="AZ52">
        <v>0.44144</v>
      </c>
      <c r="BA52">
        <v>3.0536111111111101E-2</v>
      </c>
      <c r="BB52">
        <v>0.97511000000000003</v>
      </c>
      <c r="BC52">
        <v>0.134163888888889</v>
      </c>
      <c r="BD52">
        <v>3.3732099999999998</v>
      </c>
      <c r="BE52">
        <v>0.21928611111111099</v>
      </c>
      <c r="BF52">
        <v>11.962580000000001</v>
      </c>
      <c r="BG52">
        <v>0.28315833333333301</v>
      </c>
      <c r="BH52">
        <v>15.36543</v>
      </c>
      <c r="BI52">
        <v>0.32698611111111098</v>
      </c>
      <c r="BJ52">
        <v>17.33935</v>
      </c>
      <c r="BK52">
        <v>0.395125</v>
      </c>
      <c r="BL52">
        <v>24.155000000000001</v>
      </c>
      <c r="BM52">
        <v>0.43663055555555602</v>
      </c>
      <c r="BN52">
        <v>26.147680000000001</v>
      </c>
      <c r="BO52">
        <f t="shared" si="0"/>
        <v>1.47388888888889E-2</v>
      </c>
      <c r="BP52">
        <v>8</v>
      </c>
      <c r="BQ52">
        <v>0.44144</v>
      </c>
      <c r="BR52">
        <f t="shared" si="1"/>
        <v>0</v>
      </c>
      <c r="BS52">
        <f t="shared" si="2"/>
        <v>1.47388888888889E-2</v>
      </c>
      <c r="BT52">
        <f t="shared" si="3"/>
        <v>8</v>
      </c>
      <c r="BU52">
        <f t="shared" si="4"/>
        <v>0.44144</v>
      </c>
      <c r="BV52">
        <f t="shared" si="5"/>
        <v>0</v>
      </c>
      <c r="BW52">
        <f t="shared" si="6"/>
        <v>1.47388888888889E-2</v>
      </c>
      <c r="BX52">
        <f t="shared" si="32"/>
        <v>8</v>
      </c>
      <c r="BY52">
        <f t="shared" si="33"/>
        <v>0.44144</v>
      </c>
      <c r="BZ52">
        <f t="shared" si="7"/>
        <v>0</v>
      </c>
      <c r="CA52">
        <f t="shared" si="8"/>
        <v>1.47388888888889E-2</v>
      </c>
      <c r="CB52">
        <f>IF(CA52=BO52,BP52,IF(CA52=BS52,BT52,IF(CA52=BW52,BX52,0)))</f>
        <v>8</v>
      </c>
      <c r="CC52">
        <f>IF(CA52=BO52,BQ52,IF(CA52=BS52,BU52,IF(CA52=BW52,BY52,0)))</f>
        <v>0.44144</v>
      </c>
      <c r="CD52">
        <f t="shared" si="9"/>
        <v>0</v>
      </c>
      <c r="CE52">
        <f t="shared" si="10"/>
        <v>1.47388888888889E-2</v>
      </c>
      <c r="CF52">
        <f>IF(CE52=BO52,BP52,IF(CE52=BS52,BT52,IF(CE52=BW52,BX52,IF(CE52=CA52,CB52,0))))</f>
        <v>8</v>
      </c>
      <c r="CG52">
        <f>IF(CE52=BO52,BQ52,IF(CE52=BS52,BU52,IF(CE52=BW52,BY52,IF(CE52=CA52,CC52,0))))</f>
        <v>0.44144</v>
      </c>
      <c r="CH52">
        <f t="shared" si="11"/>
        <v>0</v>
      </c>
      <c r="CI52">
        <f t="shared" si="12"/>
        <v>1.47388888888889E-2</v>
      </c>
      <c r="CJ52">
        <f>IF(CI52=BO52,BP52,IF(CI52=BS52,BT52,IF(CI52=BW52,BX52,IF(CI52=CA52,CB52,IF(CI52=CE52,CF52,0)))))</f>
        <v>8</v>
      </c>
      <c r="CK52">
        <f>IF(CI52=BO52,BQ52,IF(CI52=BS52,BU52,IF(CI52=BW52,BY52,IF(CI52=CA52,CC52,IF(CI52=CE52,CG52,0)))))</f>
        <v>0.44144</v>
      </c>
      <c r="CL52">
        <f t="shared" si="13"/>
        <v>0</v>
      </c>
      <c r="CM52">
        <f t="shared" si="14"/>
        <v>1.47388888888889E-2</v>
      </c>
      <c r="CN52">
        <f>IF(CM52=BO52,BP52,IF(CM52=BS52,BT52,IF(CM52=BW52,BX52,IF(CM52=CA52,CB52,IF(CM52=CE52,CF52,IF(CM52=CI52,CJ52,0))))))</f>
        <v>8</v>
      </c>
      <c r="CO52">
        <f>IF(CM52=BO52,BQ52,IF(CM52=BS52,BU52,IF(CM52=BW52,BY52,IF(CM52=CA52,CC52,IF(CM52=CE52,CG52,IF(CM52=CI52,CK52,0))))))</f>
        <v>0.44144</v>
      </c>
      <c r="CP52">
        <f t="shared" si="15"/>
        <v>0</v>
      </c>
      <c r="CQ52">
        <f t="shared" si="16"/>
        <v>3.0536111111111101E-2</v>
      </c>
      <c r="CR52">
        <v>9</v>
      </c>
      <c r="CS52">
        <v>0.97511000000000003</v>
      </c>
      <c r="CT52">
        <f t="shared" si="17"/>
        <v>0</v>
      </c>
      <c r="CU52">
        <f t="shared" si="18"/>
        <v>1.47388888888889E-2</v>
      </c>
      <c r="CV52">
        <f>IF(CU52=BO52,BP52,IF(CU52=BS52,BT52,IF(CU52=BW52,BX52,IF(CU52=CA52,CB52,IF(CU52=CE52,CF52,IF(CU52=CI52,CJ52,IF(CU52=CM52,CN52,IF(CU52=CQ52,CR52,0))))))))</f>
        <v>8</v>
      </c>
      <c r="CW52">
        <f>IF(CU52=BO52,BQ52,IF(CU52=BS52,BU52,IF(CU52=BW52,BY52,IF(CU52=CA52,CC52,IF(CU52=CE52,CG52,IF(CU52=CI52,CK52,IF(CU52=CM52,CO52,IF(CU52=CQ52,CS52,0))))))))</f>
        <v>0.44144</v>
      </c>
      <c r="CX52">
        <f t="shared" si="19"/>
        <v>0</v>
      </c>
      <c r="CY52">
        <f t="shared" si="20"/>
        <v>1.47388888888889E-2</v>
      </c>
      <c r="CZ52">
        <f>IF(CY52=BO52,BP52,IF(CY52=BS52,BT52,IF(CY52=BW52,BX52,IF(CY52=CA52,CB52,IF(CY52=CE52,CF52,IF(CY52=CI52,CJ52,IF(CY52=CM52,CN52,IF(CY52=CQ52,CR52,IF(CY52=CU52,CV52,0)))))))))</f>
        <v>8</v>
      </c>
      <c r="DA52">
        <f>IF(CY52=BO52,BQ52,IF(CY52=BS52,BU52,IF(CY52=BW52,BY52,IF(CY52=CA52,CC52,IF(CY52=CE52,CG52,IF(CY52=CI52,CK52,IF(CY52=CM52,CO52,IF(CY52=CQ52,CS52,IF(CY52=CU52,CW52,0)))))))))</f>
        <v>0.44144</v>
      </c>
      <c r="DB52">
        <f t="shared" si="21"/>
        <v>0</v>
      </c>
      <c r="DC52">
        <f t="shared" si="22"/>
        <v>1.47388888888889E-2</v>
      </c>
      <c r="DD52">
        <f>IF(DC52=BO52,BP52,IF(DC52=BS52,BT52,IF(DC52=BW52,BX52,IF(DC52=CA52,CB52,IF(DC52=CE52,CF52,IF(DC52=CI52,CJ52,IF(DC52=CM52,CN52,IF(DC52=CQ52,CR52,IF(DC52=CU52,CV52,IF(DC52=CY52,CZ52,0))))))))))</f>
        <v>8</v>
      </c>
      <c r="DE52">
        <f>IF(DC52=BO52,BQ52,IF(DC52=BS52,BU52,IF(DC52=BW52,BY52,IF(DC52=CA52,CC52,IF(DC52=CE52,CG52,IF(DC52=CI52,CK52,IF(DC52=CM52,CO52,IF(DC52=CQ52,CS52,IF(DC52=CU52,CW52,IF(DC52=CY52,DA52,0))))))))))</f>
        <v>0.44144</v>
      </c>
      <c r="DF52">
        <f t="shared" si="23"/>
        <v>0</v>
      </c>
      <c r="DG52">
        <f t="shared" si="24"/>
        <v>1.47388888888889E-2</v>
      </c>
      <c r="DH52">
        <f>IF(DG52=BO52,BP52,IF(DG52=BS52,BT52,IF(DG52=BW52,BX52,IF(DG52=CA52,CB52,IF(DG52=CE52,CF52,IF(DG52=CI52,CJ52,IF(DG52=CM52,CN52,IF(DG52=CQ52,CR52,IF(DG52=CU52,CV52,IF(DG52=CY52,CZ52,IF(DG52=DC52,DD52,0)))))))))))</f>
        <v>8</v>
      </c>
      <c r="DI52">
        <f>IF(DG52=BO52,BQ52,IF(DG52=BS52,BU52,IF(DG52=BW52,BY52,IF(DG52=CA52,CC52,IF(DG52=CE52,CG52,IF(DG52=CI52,CK52,IF(DG52=CM52,CO52,IF(DG52=CQ52,CS52,IF(DG52=CU52,CW52,IF(DG52=CY52,DA52,IF(DG52=DC52,DE52,0)))))))))))</f>
        <v>0.44144</v>
      </c>
      <c r="DJ52">
        <f t="shared" si="25"/>
        <v>0</v>
      </c>
      <c r="DK52">
        <f t="shared" si="26"/>
        <v>1.47388888888889E-2</v>
      </c>
      <c r="DL52">
        <f>IF(DK52=BO52,BP52,IF(DK52=BS52,BT52,IF(DK52=BW52,BX52,IF(DK52=CA52,CB52,IF(DK52=CE52,CF52,IF(DK52=CI52,CJ52,IF(DK52=CM52,CN52,IF(DK52=CQ52,CR52,IF(DK52=CU52,CV52,IF(DK52=CY52,CZ52,IF(DK52=DC52,DD52,IF(DK52=DG52,DH52,0))))))))))))</f>
        <v>8</v>
      </c>
      <c r="DM52">
        <f>IF(DK52=BO52,BQ52,IF(DK52=BS52,BU52,IF(DK52=BW52,BY52,IF(DK52=CA52,CC52,IF(DK52=CE52,CG52,IF(DK52=CI52,CK52,IF(DK52=CM52,CO52,IF(DK52=CQ52,CS52,IF(DK52=CU52,CW52,IF(DK52=CY52,DA52,IF(DK52=DC52,DE52,IF(DK52=DG52,DI52,0))))))))))))</f>
        <v>0.44144</v>
      </c>
      <c r="DN52">
        <f t="shared" si="27"/>
        <v>0</v>
      </c>
      <c r="DO52">
        <f t="shared" si="28"/>
        <v>1.47388888888889E-2</v>
      </c>
      <c r="DP52">
        <f>IF(DO52=BO52,BP52,IF(DO52=BS52,BT52,IF(DO52=BW52,BX52,IF(DO52=CA52,CB52,IF(DO52=CE52,CF52,IF(DO52=CI52,CJ52,IF(DO52=CM52,CN52,IF(DO52=CQ52,CR52,IF(DO52=CU52,CV52,IF(DO52=CY52,CZ52,IF(DO52=DC52,DD52,IF(DO52=DG52,DH52,IF(DO52=DK52,DL52,0)))))))))))))</f>
        <v>8</v>
      </c>
      <c r="DQ52">
        <f>IF(DO52=BO52,BQ52,IF(DO52=BS52,BU52,IF(DO52=BW52,BY52,IF(DO52=CA52,CC52,IF(DO52=CE52,CG52,IF(DO52=CI52,CK52,IF(DO52=CM52,CO52,IF(DO52=CQ52,CS52,IF(DO52=CU52,CW52,IF(DO52=CY52,DA52,IF(DO52=DC52,DE52,IF(DO52=DG52,DI52,IF(DO52=DK52,DM52,0)))))))))))))</f>
        <v>0.44144</v>
      </c>
      <c r="DR52">
        <f t="shared" si="29"/>
        <v>0</v>
      </c>
      <c r="DS52">
        <f t="shared" si="30"/>
        <v>1.47388888888889E-2</v>
      </c>
      <c r="DT52">
        <f>IF(DS52=BO52,BP52,IF(DS52=BS52,BT52,IF(DS52=BW52,BX52,IF(DS52=CA52,CB52,IF(DS52=CE52,CF52,IF(DS52=CI52,CJ52,IF(DS52=CM52,CN52,IF(DS52=CQ52,CR52,IF(DS52=CU52,CV52,IF(DS52=CY52,CZ52,IF(DS52=DC52,DD52,IF(DS52=DG52,DH52,IF(DS52=DK52,DL52,IF(DS52=DO52,DP52,0))))))))))))))</f>
        <v>8</v>
      </c>
      <c r="DU52">
        <f>IF(DS52=BO52,BQ52,IF(DS52=BS52,BU52,IF(DS52=BW52,BY52,IF(DS52=CA52,CC52,IF(DS52=CE52,CG52,IF(DS52=CI52,CK52,IF(DS52=CM52,CO52,IF(DS52=CQ52,CS52,IF(DS52=CU52,CW52,IF(DS52=CY52,DA52,IF(DS52=DC52,DE52,IF(DS52=DG52,DI52,IF(DS52=DK52,DM52,IF(DS52=DO52,DQ52,0))))))))))))))</f>
        <v>0.44144</v>
      </c>
      <c r="DV52">
        <f t="shared" si="31"/>
        <v>0</v>
      </c>
      <c r="DW52">
        <v>22500.5</v>
      </c>
      <c r="DX52">
        <v>3</v>
      </c>
      <c r="DY52">
        <v>0</v>
      </c>
      <c r="DZ52">
        <v>4</v>
      </c>
      <c r="EA52">
        <v>6</v>
      </c>
      <c r="EB52">
        <v>10.114099490560401</v>
      </c>
      <c r="EC52">
        <v>2</v>
      </c>
      <c r="ED52">
        <v>2.9380487999999998</v>
      </c>
      <c r="EE52">
        <v>1.47388888888889E-2</v>
      </c>
      <c r="EF52">
        <v>0.44144</v>
      </c>
      <c r="EG52">
        <v>5.4882892958093201</v>
      </c>
      <c r="EH52">
        <v>8</v>
      </c>
      <c r="EI52">
        <v>0</v>
      </c>
      <c r="EJ52">
        <v>7.6516266666666694E-2</v>
      </c>
      <c r="EK52">
        <v>1</v>
      </c>
      <c r="EL52">
        <v>0</v>
      </c>
      <c r="EM52">
        <v>42</v>
      </c>
      <c r="EN52">
        <v>0</v>
      </c>
      <c r="EO52">
        <v>3</v>
      </c>
      <c r="EP52">
        <v>5</v>
      </c>
      <c r="EQ52">
        <v>4</v>
      </c>
      <c r="ER52">
        <v>14.1987814663817</v>
      </c>
      <c r="ES52">
        <v>4.37440792343443</v>
      </c>
      <c r="ET52">
        <v>7.3124567234344298</v>
      </c>
      <c r="EU52">
        <v>0.418548524781229</v>
      </c>
      <c r="EV52">
        <v>0.495064791447896</v>
      </c>
      <c r="EW52">
        <v>7.6516266666666694E-2</v>
      </c>
      <c r="EX52">
        <v>0.418548524781229</v>
      </c>
      <c r="EY52">
        <v>0.495064791447896</v>
      </c>
      <c r="EZ52">
        <v>0.16901906666666699</v>
      </c>
      <c r="FA52">
        <v>0.86715113699963198</v>
      </c>
      <c r="FB52">
        <v>1.0361702036663001</v>
      </c>
      <c r="FC52">
        <v>2.6944840000000001</v>
      </c>
      <c r="FD52">
        <v>7.4987709029924599</v>
      </c>
      <c r="FE52">
        <v>10.1932549029925</v>
      </c>
      <c r="FF52">
        <v>7.6516266666666694E-2</v>
      </c>
      <c r="FG52">
        <v>0.418548524781229</v>
      </c>
      <c r="FH52">
        <v>0.495064791447896</v>
      </c>
    </row>
    <row r="53" spans="1:164" x14ac:dyDescent="0.2">
      <c r="A53">
        <v>52</v>
      </c>
      <c r="B53">
        <v>62</v>
      </c>
      <c r="C53">
        <v>108</v>
      </c>
      <c r="D53">
        <v>1</v>
      </c>
      <c r="E53">
        <v>11</v>
      </c>
      <c r="F53" t="s">
        <v>221</v>
      </c>
      <c r="G53" t="s">
        <v>122</v>
      </c>
      <c r="H53">
        <v>3</v>
      </c>
      <c r="I53">
        <v>3</v>
      </c>
      <c r="K53" t="s">
        <v>220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2</v>
      </c>
      <c r="AC53">
        <v>0</v>
      </c>
      <c r="AD53">
        <v>4</v>
      </c>
      <c r="AE53">
        <v>8</v>
      </c>
      <c r="AF53">
        <v>4</v>
      </c>
      <c r="AG53">
        <v>7</v>
      </c>
      <c r="AH53">
        <v>7</v>
      </c>
      <c r="AI53">
        <v>0.15404166666666699</v>
      </c>
      <c r="AJ53">
        <v>5.4118199999999996</v>
      </c>
      <c r="AK53">
        <v>0.37381111111111098</v>
      </c>
      <c r="AL53">
        <v>20.388739999999999</v>
      </c>
      <c r="AM53">
        <v>0.26792222222222201</v>
      </c>
      <c r="AN53">
        <v>17.918600000000001</v>
      </c>
      <c r="AO53">
        <v>0.26406388888888899</v>
      </c>
      <c r="AP53">
        <v>15.5451</v>
      </c>
      <c r="AQ53">
        <v>0.28736388888888897</v>
      </c>
      <c r="AR53">
        <v>15.872999999999999</v>
      </c>
      <c r="AS53">
        <v>0.25255</v>
      </c>
      <c r="AT53">
        <v>12.37313</v>
      </c>
      <c r="AU53">
        <v>0.14968888888888901</v>
      </c>
      <c r="AV53">
        <v>6.6999599999999999</v>
      </c>
      <c r="AW53">
        <v>0.114469444444444</v>
      </c>
      <c r="AX53">
        <v>3.58779</v>
      </c>
      <c r="AY53">
        <v>1.47388888888889E-2</v>
      </c>
      <c r="AZ53">
        <v>0.44144</v>
      </c>
      <c r="BA53">
        <v>3.0536111111111101E-2</v>
      </c>
      <c r="BB53">
        <v>0.97511000000000003</v>
      </c>
      <c r="BC53">
        <v>0.134163888888889</v>
      </c>
      <c r="BD53">
        <v>3.3732099999999998</v>
      </c>
      <c r="BE53">
        <v>0.21928611111111099</v>
      </c>
      <c r="BF53">
        <v>11.962580000000001</v>
      </c>
      <c r="BG53">
        <v>0.28315833333333301</v>
      </c>
      <c r="BH53">
        <v>15.36543</v>
      </c>
      <c r="BI53">
        <v>0.32698611111111098</v>
      </c>
      <c r="BJ53">
        <v>17.33935</v>
      </c>
      <c r="BK53">
        <v>0.395125</v>
      </c>
      <c r="BL53">
        <v>24.155000000000001</v>
      </c>
      <c r="BM53">
        <v>0.43663055555555602</v>
      </c>
      <c r="BN53">
        <v>26.147680000000001</v>
      </c>
      <c r="BO53">
        <f t="shared" si="0"/>
        <v>1.47388888888889E-2</v>
      </c>
      <c r="BP53">
        <v>8</v>
      </c>
      <c r="BQ53">
        <v>0.44144</v>
      </c>
      <c r="BR53">
        <f t="shared" si="1"/>
        <v>0</v>
      </c>
      <c r="BS53">
        <f t="shared" si="2"/>
        <v>1.47388888888889E-2</v>
      </c>
      <c r="BT53">
        <f t="shared" si="3"/>
        <v>8</v>
      </c>
      <c r="BU53">
        <f t="shared" si="4"/>
        <v>0.44144</v>
      </c>
      <c r="BV53">
        <f t="shared" si="5"/>
        <v>0</v>
      </c>
      <c r="BW53">
        <f t="shared" si="6"/>
        <v>1.47388888888889E-2</v>
      </c>
      <c r="BX53">
        <f t="shared" si="32"/>
        <v>8</v>
      </c>
      <c r="BY53">
        <f t="shared" si="33"/>
        <v>0.44144</v>
      </c>
      <c r="BZ53">
        <f t="shared" si="7"/>
        <v>0</v>
      </c>
      <c r="CA53">
        <f t="shared" si="8"/>
        <v>1.47388888888889E-2</v>
      </c>
      <c r="CB53">
        <f>IF(CA53=BO53,BP53,IF(CA53=BS53,BT53,IF(CA53=BW53,BX53,0)))</f>
        <v>8</v>
      </c>
      <c r="CC53">
        <f>IF(CA53=BO53,BQ53,IF(CA53=BS53,BU53,IF(CA53=BW53,BY53,0)))</f>
        <v>0.44144</v>
      </c>
      <c r="CD53">
        <f t="shared" si="9"/>
        <v>0</v>
      </c>
      <c r="CE53">
        <f t="shared" si="10"/>
        <v>1.47388888888889E-2</v>
      </c>
      <c r="CF53">
        <f>IF(CE53=BO53,BP53,IF(CE53=BS53,BT53,IF(CE53=BW53,BX53,IF(CE53=CA53,CB53,0))))</f>
        <v>8</v>
      </c>
      <c r="CG53">
        <f>IF(CE53=BO53,BQ53,IF(CE53=BS53,BU53,IF(CE53=BW53,BY53,IF(CE53=CA53,CC53,0))))</f>
        <v>0.44144</v>
      </c>
      <c r="CH53">
        <f t="shared" si="11"/>
        <v>0</v>
      </c>
      <c r="CI53">
        <f t="shared" si="12"/>
        <v>1.47388888888889E-2</v>
      </c>
      <c r="CJ53">
        <f>IF(CI53=BO53,BP53,IF(CI53=BS53,BT53,IF(CI53=BW53,BX53,IF(CI53=CA53,CB53,IF(CI53=CE53,CF53,0)))))</f>
        <v>8</v>
      </c>
      <c r="CK53">
        <f>IF(CI53=BO53,BQ53,IF(CI53=BS53,BU53,IF(CI53=BW53,BY53,IF(CI53=CA53,CC53,IF(CI53=CE53,CG53,0)))))</f>
        <v>0.44144</v>
      </c>
      <c r="CL53">
        <f t="shared" si="13"/>
        <v>0</v>
      </c>
      <c r="CM53">
        <f t="shared" si="14"/>
        <v>1.47388888888889E-2</v>
      </c>
      <c r="CN53">
        <f>IF(CM53=BO53,BP53,IF(CM53=BS53,BT53,IF(CM53=BW53,BX53,IF(CM53=CA53,CB53,IF(CM53=CE53,CF53,IF(CM53=CI53,CJ53,0))))))</f>
        <v>8</v>
      </c>
      <c r="CO53">
        <f>IF(CM53=BO53,BQ53,IF(CM53=BS53,BU53,IF(CM53=BW53,BY53,IF(CM53=CA53,CC53,IF(CM53=CE53,CG53,IF(CM53=CI53,CK53,0))))))</f>
        <v>0.44144</v>
      </c>
      <c r="CP53">
        <f t="shared" si="15"/>
        <v>0</v>
      </c>
      <c r="CQ53">
        <f t="shared" si="16"/>
        <v>3.0536111111111101E-2</v>
      </c>
      <c r="CR53">
        <v>9</v>
      </c>
      <c r="CS53">
        <v>0.97511000000000003</v>
      </c>
      <c r="CT53">
        <f t="shared" si="17"/>
        <v>0</v>
      </c>
      <c r="CU53">
        <f t="shared" si="18"/>
        <v>1.47388888888889E-2</v>
      </c>
      <c r="CV53">
        <f>IF(CU53=BO53,BP53,IF(CU53=BS53,BT53,IF(CU53=BW53,BX53,IF(CU53=CA53,CB53,IF(CU53=CE53,CF53,IF(CU53=CI53,CJ53,IF(CU53=CM53,CN53,IF(CU53=CQ53,CR53,0))))))))</f>
        <v>8</v>
      </c>
      <c r="CW53">
        <f>IF(CU53=BO53,BQ53,IF(CU53=BS53,BU53,IF(CU53=BW53,BY53,IF(CU53=CA53,CC53,IF(CU53=CE53,CG53,IF(CU53=CI53,CK53,IF(CU53=CM53,CO53,IF(CU53=CQ53,CS53,0))))))))</f>
        <v>0.44144</v>
      </c>
      <c r="CX53">
        <f t="shared" si="19"/>
        <v>0</v>
      </c>
      <c r="CY53">
        <f t="shared" si="20"/>
        <v>1.47388888888889E-2</v>
      </c>
      <c r="CZ53">
        <f>IF(CY53=BO53,BP53,IF(CY53=BS53,BT53,IF(CY53=BW53,BX53,IF(CY53=CA53,CB53,IF(CY53=CE53,CF53,IF(CY53=CI53,CJ53,IF(CY53=CM53,CN53,IF(CY53=CQ53,CR53,IF(CY53=CU53,CV53,0)))))))))</f>
        <v>8</v>
      </c>
      <c r="DA53">
        <f>IF(CY53=BO53,BQ53,IF(CY53=BS53,BU53,IF(CY53=BW53,BY53,IF(CY53=CA53,CC53,IF(CY53=CE53,CG53,IF(CY53=CI53,CK53,IF(CY53=CM53,CO53,IF(CY53=CQ53,CS53,IF(CY53=CU53,CW53,0)))))))))</f>
        <v>0.44144</v>
      </c>
      <c r="DB53">
        <f t="shared" si="21"/>
        <v>0</v>
      </c>
      <c r="DC53">
        <f t="shared" si="22"/>
        <v>1.47388888888889E-2</v>
      </c>
      <c r="DD53">
        <f>IF(DC53=BO53,BP53,IF(DC53=BS53,BT53,IF(DC53=BW53,BX53,IF(DC53=CA53,CB53,IF(DC53=CE53,CF53,IF(DC53=CI53,CJ53,IF(DC53=CM53,CN53,IF(DC53=CQ53,CR53,IF(DC53=CU53,CV53,IF(DC53=CY53,CZ53,0))))))))))</f>
        <v>8</v>
      </c>
      <c r="DE53">
        <f>IF(DC53=BO53,BQ53,IF(DC53=BS53,BU53,IF(DC53=BW53,BY53,IF(DC53=CA53,CC53,IF(DC53=CE53,CG53,IF(DC53=CI53,CK53,IF(DC53=CM53,CO53,IF(DC53=CQ53,CS53,IF(DC53=CU53,CW53,IF(DC53=CY53,DA53,0))))))))))</f>
        <v>0.44144</v>
      </c>
      <c r="DF53">
        <f t="shared" si="23"/>
        <v>0</v>
      </c>
      <c r="DG53">
        <f t="shared" si="24"/>
        <v>1.47388888888889E-2</v>
      </c>
      <c r="DH53">
        <f>IF(DG53=BO53,BP53,IF(DG53=BS53,BT53,IF(DG53=BW53,BX53,IF(DG53=CA53,CB53,IF(DG53=CE53,CF53,IF(DG53=CI53,CJ53,IF(DG53=CM53,CN53,IF(DG53=CQ53,CR53,IF(DG53=CU53,CV53,IF(DG53=CY53,CZ53,IF(DG53=DC53,DD53,0)))))))))))</f>
        <v>8</v>
      </c>
      <c r="DI53">
        <f>IF(DG53=BO53,BQ53,IF(DG53=BS53,BU53,IF(DG53=BW53,BY53,IF(DG53=CA53,CC53,IF(DG53=CE53,CG53,IF(DG53=CI53,CK53,IF(DG53=CM53,CO53,IF(DG53=CQ53,CS53,IF(DG53=CU53,CW53,IF(DG53=CY53,DA53,IF(DG53=DC53,DE53,0)))))))))))</f>
        <v>0.44144</v>
      </c>
      <c r="DJ53">
        <f t="shared" si="25"/>
        <v>0</v>
      </c>
      <c r="DK53">
        <f t="shared" si="26"/>
        <v>1.47388888888889E-2</v>
      </c>
      <c r="DL53">
        <f>IF(DK53=BO53,BP53,IF(DK53=BS53,BT53,IF(DK53=BW53,BX53,IF(DK53=CA53,CB53,IF(DK53=CE53,CF53,IF(DK53=CI53,CJ53,IF(DK53=CM53,CN53,IF(DK53=CQ53,CR53,IF(DK53=CU53,CV53,IF(DK53=CY53,CZ53,IF(DK53=DC53,DD53,IF(DK53=DG53,DH53,0))))))))))))</f>
        <v>8</v>
      </c>
      <c r="DM53">
        <f>IF(DK53=BO53,BQ53,IF(DK53=BS53,BU53,IF(DK53=BW53,BY53,IF(DK53=CA53,CC53,IF(DK53=CE53,CG53,IF(DK53=CI53,CK53,IF(DK53=CM53,CO53,IF(DK53=CQ53,CS53,IF(DK53=CU53,CW53,IF(DK53=CY53,DA53,IF(DK53=DC53,DE53,IF(DK53=DG53,DI53,0))))))))))))</f>
        <v>0.44144</v>
      </c>
      <c r="DN53">
        <f t="shared" si="27"/>
        <v>0</v>
      </c>
      <c r="DO53">
        <f t="shared" si="28"/>
        <v>1.47388888888889E-2</v>
      </c>
      <c r="DP53">
        <f>IF(DO53=BO53,BP53,IF(DO53=BS53,BT53,IF(DO53=BW53,BX53,IF(DO53=CA53,CB53,IF(DO53=CE53,CF53,IF(DO53=CI53,CJ53,IF(DO53=CM53,CN53,IF(DO53=CQ53,CR53,IF(DO53=CU53,CV53,IF(DO53=CY53,CZ53,IF(DO53=DC53,DD53,IF(DO53=DG53,DH53,IF(DO53=DK53,DL53,0)))))))))))))</f>
        <v>8</v>
      </c>
      <c r="DQ53">
        <f>IF(DO53=BO53,BQ53,IF(DO53=BS53,BU53,IF(DO53=BW53,BY53,IF(DO53=CA53,CC53,IF(DO53=CE53,CG53,IF(DO53=CI53,CK53,IF(DO53=CM53,CO53,IF(DO53=CQ53,CS53,IF(DO53=CU53,CW53,IF(DO53=CY53,DA53,IF(DO53=DC53,DE53,IF(DO53=DG53,DI53,IF(DO53=DK53,DM53,0)))))))))))))</f>
        <v>0.44144</v>
      </c>
      <c r="DR53">
        <f t="shared" si="29"/>
        <v>0</v>
      </c>
      <c r="DS53">
        <f t="shared" si="30"/>
        <v>1.47388888888889E-2</v>
      </c>
      <c r="DT53">
        <f>IF(DS53=BO53,BP53,IF(DS53=BS53,BT53,IF(DS53=BW53,BX53,IF(DS53=CA53,CB53,IF(DS53=CE53,CF53,IF(DS53=CI53,CJ53,IF(DS53=CM53,CN53,IF(DS53=CQ53,CR53,IF(DS53=CU53,CV53,IF(DS53=CY53,CZ53,IF(DS53=DC53,DD53,IF(DS53=DG53,DH53,IF(DS53=DK53,DL53,IF(DS53=DO53,DP53,0))))))))))))))</f>
        <v>8</v>
      </c>
      <c r="DU53">
        <f>IF(DS53=BO53,BQ53,IF(DS53=BS53,BU53,IF(DS53=BW53,BY53,IF(DS53=CA53,CC53,IF(DS53=CE53,CG53,IF(DS53=CI53,CK53,IF(DS53=CM53,CO53,IF(DS53=CQ53,CS53,IF(DS53=CU53,CW53,IF(DS53=CY53,DA53,IF(DS53=DC53,DE53,IF(DS53=DG53,DI53,IF(DS53=DK53,DM53,IF(DS53=DO53,DQ53,0))))))))))))))</f>
        <v>0.44144</v>
      </c>
      <c r="DV53">
        <f t="shared" si="31"/>
        <v>0</v>
      </c>
      <c r="DW53">
        <v>31226.480769230799</v>
      </c>
      <c r="DX53">
        <v>3</v>
      </c>
      <c r="DY53">
        <v>35</v>
      </c>
      <c r="DZ53">
        <v>6</v>
      </c>
      <c r="EA53">
        <v>6</v>
      </c>
      <c r="EB53">
        <v>14.0364762223093</v>
      </c>
      <c r="EC53">
        <v>2</v>
      </c>
      <c r="ED53">
        <v>2.9380487999999998</v>
      </c>
      <c r="EE53">
        <v>1.47388888888889E-2</v>
      </c>
      <c r="EF53">
        <v>0.44144</v>
      </c>
      <c r="EG53">
        <v>6.6967081939156401</v>
      </c>
      <c r="EH53">
        <v>8</v>
      </c>
      <c r="EI53">
        <v>0</v>
      </c>
      <c r="EJ53">
        <v>7.6516266666666694E-2</v>
      </c>
      <c r="EK53">
        <v>1</v>
      </c>
      <c r="EL53">
        <v>0</v>
      </c>
      <c r="EM53">
        <v>65</v>
      </c>
      <c r="EN53">
        <v>1</v>
      </c>
      <c r="EO53">
        <v>4</v>
      </c>
      <c r="EP53">
        <v>7</v>
      </c>
      <c r="EQ53">
        <v>4</v>
      </c>
      <c r="ER53">
        <v>14.1987814663817</v>
      </c>
      <c r="ES53">
        <v>4.37440792343443</v>
      </c>
      <c r="ET53">
        <v>7.3124567234344298</v>
      </c>
      <c r="EU53">
        <v>0.418548524781229</v>
      </c>
      <c r="EV53">
        <v>0.495064791447896</v>
      </c>
      <c r="EW53">
        <v>7.6516266666666694E-2</v>
      </c>
      <c r="EX53">
        <v>0.418548524781229</v>
      </c>
      <c r="EY53">
        <v>0.495064791447896</v>
      </c>
      <c r="EZ53">
        <v>0.16901906666666699</v>
      </c>
      <c r="FA53">
        <v>0.86715113699963198</v>
      </c>
      <c r="FB53">
        <v>1.0361702036663001</v>
      </c>
      <c r="FC53">
        <v>2.6944840000000001</v>
      </c>
      <c r="FD53">
        <v>7.4987709029924599</v>
      </c>
      <c r="FE53">
        <v>10.1932549029925</v>
      </c>
      <c r="FF53">
        <v>7.6516266666666694E-2</v>
      </c>
      <c r="FG53">
        <v>0.418548524781229</v>
      </c>
      <c r="FH53">
        <v>0.495064791447896</v>
      </c>
    </row>
    <row r="54" spans="1:164" x14ac:dyDescent="0.2">
      <c r="A54">
        <v>53</v>
      </c>
      <c r="B54">
        <v>63</v>
      </c>
      <c r="C54">
        <v>109</v>
      </c>
      <c r="D54">
        <v>3</v>
      </c>
      <c r="E54">
        <v>12</v>
      </c>
      <c r="F54" t="s">
        <v>222</v>
      </c>
      <c r="G54" t="s">
        <v>118</v>
      </c>
      <c r="H54">
        <v>3</v>
      </c>
      <c r="I54">
        <v>5</v>
      </c>
      <c r="K54" t="s">
        <v>220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3</v>
      </c>
      <c r="AC54">
        <v>2</v>
      </c>
      <c r="AD54">
        <v>49</v>
      </c>
      <c r="AE54">
        <v>56</v>
      </c>
      <c r="AF54">
        <v>28</v>
      </c>
      <c r="AG54">
        <v>78</v>
      </c>
      <c r="AH54">
        <v>6</v>
      </c>
      <c r="AI54">
        <v>0.15404166666666699</v>
      </c>
      <c r="AJ54">
        <v>5.4118199999999996</v>
      </c>
      <c r="AK54">
        <v>0.37381111111111098</v>
      </c>
      <c r="AL54">
        <v>20.388739999999999</v>
      </c>
      <c r="AM54">
        <v>0.26792222222222201</v>
      </c>
      <c r="AN54">
        <v>17.918600000000001</v>
      </c>
      <c r="AO54">
        <v>0.26406388888888899</v>
      </c>
      <c r="AP54">
        <v>15.5451</v>
      </c>
      <c r="AQ54">
        <v>0.28736388888888897</v>
      </c>
      <c r="AR54">
        <v>15.872999999999999</v>
      </c>
      <c r="AS54">
        <v>0.25255</v>
      </c>
      <c r="AT54">
        <v>12.37313</v>
      </c>
      <c r="AU54">
        <v>0.14968888888888901</v>
      </c>
      <c r="AV54">
        <v>6.6999599999999999</v>
      </c>
      <c r="AW54">
        <v>0.114469444444444</v>
      </c>
      <c r="AX54">
        <v>3.58779</v>
      </c>
      <c r="AY54">
        <v>1.47388888888889E-2</v>
      </c>
      <c r="AZ54">
        <v>0.44144</v>
      </c>
      <c r="BA54">
        <v>3.0536111111111101E-2</v>
      </c>
      <c r="BB54">
        <v>0.97511000000000003</v>
      </c>
      <c r="BC54">
        <v>0.134163888888889</v>
      </c>
      <c r="BD54">
        <v>3.3732099999999998</v>
      </c>
      <c r="BE54">
        <v>0.21928611111111099</v>
      </c>
      <c r="BF54">
        <v>11.962580000000001</v>
      </c>
      <c r="BG54">
        <v>0.28315833333333301</v>
      </c>
      <c r="BH54">
        <v>15.36543</v>
      </c>
      <c r="BI54">
        <v>0.32698611111111098</v>
      </c>
      <c r="BJ54">
        <v>17.33935</v>
      </c>
      <c r="BK54">
        <v>0.395125</v>
      </c>
      <c r="BL54">
        <v>24.155000000000001</v>
      </c>
      <c r="BM54">
        <v>0.43663055555555602</v>
      </c>
      <c r="BN54">
        <v>26.147680000000001</v>
      </c>
      <c r="BO54">
        <f t="shared" si="0"/>
        <v>1.47388888888889E-2</v>
      </c>
      <c r="BP54">
        <v>8</v>
      </c>
      <c r="BQ54">
        <v>0.44144</v>
      </c>
      <c r="BR54">
        <f t="shared" si="1"/>
        <v>0</v>
      </c>
      <c r="BS54">
        <f t="shared" si="2"/>
        <v>1.47388888888889E-2</v>
      </c>
      <c r="BT54">
        <f t="shared" si="3"/>
        <v>8</v>
      </c>
      <c r="BU54">
        <f t="shared" si="4"/>
        <v>0.44144</v>
      </c>
      <c r="BV54">
        <f t="shared" si="5"/>
        <v>0</v>
      </c>
      <c r="BW54">
        <f t="shared" si="6"/>
        <v>1.47388888888889E-2</v>
      </c>
      <c r="BX54">
        <f t="shared" si="32"/>
        <v>8</v>
      </c>
      <c r="BY54">
        <f t="shared" si="33"/>
        <v>0.44144</v>
      </c>
      <c r="BZ54">
        <f t="shared" si="7"/>
        <v>0</v>
      </c>
      <c r="CA54">
        <f t="shared" si="8"/>
        <v>1.47388888888889E-2</v>
      </c>
      <c r="CB54">
        <f>IF(CA54=BO54,BP54,IF(CA54=BS54,BT54,IF(CA54=BW54,BX54,0)))</f>
        <v>8</v>
      </c>
      <c r="CC54">
        <f>IF(CA54=BO54,BQ54,IF(CA54=BS54,BU54,IF(CA54=BW54,BY54,0)))</f>
        <v>0.44144</v>
      </c>
      <c r="CD54">
        <f t="shared" si="9"/>
        <v>0</v>
      </c>
      <c r="CE54">
        <f t="shared" si="10"/>
        <v>1.47388888888889E-2</v>
      </c>
      <c r="CF54">
        <f>IF(CE54=BO54,BP54,IF(CE54=BS54,BT54,IF(CE54=BW54,BX54,IF(CE54=CA54,CB54,0))))</f>
        <v>8</v>
      </c>
      <c r="CG54">
        <f>IF(CE54=BO54,BQ54,IF(CE54=BS54,BU54,IF(CE54=BW54,BY54,IF(CE54=CA54,CC54,0))))</f>
        <v>0.44144</v>
      </c>
      <c r="CH54">
        <f t="shared" si="11"/>
        <v>0</v>
      </c>
      <c r="CI54">
        <f t="shared" si="12"/>
        <v>1.47388888888889E-2</v>
      </c>
      <c r="CJ54">
        <f>IF(CI54=BO54,BP54,IF(CI54=BS54,BT54,IF(CI54=BW54,BX54,IF(CI54=CA54,CB54,IF(CI54=CE54,CF54,0)))))</f>
        <v>8</v>
      </c>
      <c r="CK54">
        <f>IF(CI54=BO54,BQ54,IF(CI54=BS54,BU54,IF(CI54=BW54,BY54,IF(CI54=CA54,CC54,IF(CI54=CE54,CG54,0)))))</f>
        <v>0.44144</v>
      </c>
      <c r="CL54">
        <f t="shared" si="13"/>
        <v>0</v>
      </c>
      <c r="CM54">
        <f t="shared" si="14"/>
        <v>1.47388888888889E-2</v>
      </c>
      <c r="CN54">
        <f>IF(CM54=BO54,BP54,IF(CM54=BS54,BT54,IF(CM54=BW54,BX54,IF(CM54=CA54,CB54,IF(CM54=CE54,CF54,IF(CM54=CI54,CJ54,0))))))</f>
        <v>8</v>
      </c>
      <c r="CO54">
        <f>IF(CM54=BO54,BQ54,IF(CM54=BS54,BU54,IF(CM54=BW54,BY54,IF(CM54=CA54,CC54,IF(CM54=CE54,CG54,IF(CM54=CI54,CK54,0))))))</f>
        <v>0.44144</v>
      </c>
      <c r="CP54">
        <f t="shared" si="15"/>
        <v>0</v>
      </c>
      <c r="CQ54">
        <f t="shared" si="16"/>
        <v>3.0536111111111101E-2</v>
      </c>
      <c r="CR54">
        <v>9</v>
      </c>
      <c r="CS54">
        <v>0.97511000000000003</v>
      </c>
      <c r="CT54">
        <f t="shared" si="17"/>
        <v>0</v>
      </c>
      <c r="CU54">
        <f t="shared" si="18"/>
        <v>1.47388888888889E-2</v>
      </c>
      <c r="CV54">
        <f>IF(CU54=BO54,BP54,IF(CU54=BS54,BT54,IF(CU54=BW54,BX54,IF(CU54=CA54,CB54,IF(CU54=CE54,CF54,IF(CU54=CI54,CJ54,IF(CU54=CM54,CN54,IF(CU54=CQ54,CR54,0))))))))</f>
        <v>8</v>
      </c>
      <c r="CW54">
        <f>IF(CU54=BO54,BQ54,IF(CU54=BS54,BU54,IF(CU54=BW54,BY54,IF(CU54=CA54,CC54,IF(CU54=CE54,CG54,IF(CU54=CI54,CK54,IF(CU54=CM54,CO54,IF(CU54=CQ54,CS54,0))))))))</f>
        <v>0.44144</v>
      </c>
      <c r="CX54">
        <f t="shared" si="19"/>
        <v>0</v>
      </c>
      <c r="CY54">
        <f t="shared" si="20"/>
        <v>1.47388888888889E-2</v>
      </c>
      <c r="CZ54">
        <f>IF(CY54=BO54,BP54,IF(CY54=BS54,BT54,IF(CY54=BW54,BX54,IF(CY54=CA54,CB54,IF(CY54=CE54,CF54,IF(CY54=CI54,CJ54,IF(CY54=CM54,CN54,IF(CY54=CQ54,CR54,IF(CY54=CU54,CV54,0)))))))))</f>
        <v>8</v>
      </c>
      <c r="DA54">
        <f>IF(CY54=BO54,BQ54,IF(CY54=BS54,BU54,IF(CY54=BW54,BY54,IF(CY54=CA54,CC54,IF(CY54=CE54,CG54,IF(CY54=CI54,CK54,IF(CY54=CM54,CO54,IF(CY54=CQ54,CS54,IF(CY54=CU54,CW54,0)))))))))</f>
        <v>0.44144</v>
      </c>
      <c r="DB54">
        <f t="shared" si="21"/>
        <v>0</v>
      </c>
      <c r="DC54">
        <f t="shared" si="22"/>
        <v>1.47388888888889E-2</v>
      </c>
      <c r="DD54">
        <f>IF(DC54=BO54,BP54,IF(DC54=BS54,BT54,IF(DC54=BW54,BX54,IF(DC54=CA54,CB54,IF(DC54=CE54,CF54,IF(DC54=CI54,CJ54,IF(DC54=CM54,CN54,IF(DC54=CQ54,CR54,IF(DC54=CU54,CV54,IF(DC54=CY54,CZ54,0))))))))))</f>
        <v>8</v>
      </c>
      <c r="DE54">
        <f>IF(DC54=BO54,BQ54,IF(DC54=BS54,BU54,IF(DC54=BW54,BY54,IF(DC54=CA54,CC54,IF(DC54=CE54,CG54,IF(DC54=CI54,CK54,IF(DC54=CM54,CO54,IF(DC54=CQ54,CS54,IF(DC54=CU54,CW54,IF(DC54=CY54,DA54,0))))))))))</f>
        <v>0.44144</v>
      </c>
      <c r="DF54">
        <f t="shared" si="23"/>
        <v>0</v>
      </c>
      <c r="DG54">
        <f t="shared" si="24"/>
        <v>1.47388888888889E-2</v>
      </c>
      <c r="DH54">
        <f>IF(DG54=BO54,BP54,IF(DG54=BS54,BT54,IF(DG54=BW54,BX54,IF(DG54=CA54,CB54,IF(DG54=CE54,CF54,IF(DG54=CI54,CJ54,IF(DG54=CM54,CN54,IF(DG54=CQ54,CR54,IF(DG54=CU54,CV54,IF(DG54=CY54,CZ54,IF(DG54=DC54,DD54,0)))))))))))</f>
        <v>8</v>
      </c>
      <c r="DI54">
        <f>IF(DG54=BO54,BQ54,IF(DG54=BS54,BU54,IF(DG54=BW54,BY54,IF(DG54=CA54,CC54,IF(DG54=CE54,CG54,IF(DG54=CI54,CK54,IF(DG54=CM54,CO54,IF(DG54=CQ54,CS54,IF(DG54=CU54,CW54,IF(DG54=CY54,DA54,IF(DG54=DC54,DE54,0)))))))))))</f>
        <v>0.44144</v>
      </c>
      <c r="DJ54">
        <f t="shared" si="25"/>
        <v>0</v>
      </c>
      <c r="DK54">
        <f t="shared" si="26"/>
        <v>1.47388888888889E-2</v>
      </c>
      <c r="DL54">
        <f>IF(DK54=BO54,BP54,IF(DK54=BS54,BT54,IF(DK54=BW54,BX54,IF(DK54=CA54,CB54,IF(DK54=CE54,CF54,IF(DK54=CI54,CJ54,IF(DK54=CM54,CN54,IF(DK54=CQ54,CR54,IF(DK54=CU54,CV54,IF(DK54=CY54,CZ54,IF(DK54=DC54,DD54,IF(DK54=DG54,DH54,0))))))))))))</f>
        <v>8</v>
      </c>
      <c r="DM54">
        <f>IF(DK54=BO54,BQ54,IF(DK54=BS54,BU54,IF(DK54=BW54,BY54,IF(DK54=CA54,CC54,IF(DK54=CE54,CG54,IF(DK54=CI54,CK54,IF(DK54=CM54,CO54,IF(DK54=CQ54,CS54,IF(DK54=CU54,CW54,IF(DK54=CY54,DA54,IF(DK54=DC54,DE54,IF(DK54=DG54,DI54,0))))))))))))</f>
        <v>0.44144</v>
      </c>
      <c r="DN54">
        <f t="shared" si="27"/>
        <v>0</v>
      </c>
      <c r="DO54">
        <f t="shared" si="28"/>
        <v>1.47388888888889E-2</v>
      </c>
      <c r="DP54">
        <f>IF(DO54=BO54,BP54,IF(DO54=BS54,BT54,IF(DO54=BW54,BX54,IF(DO54=CA54,CB54,IF(DO54=CE54,CF54,IF(DO54=CI54,CJ54,IF(DO54=CM54,CN54,IF(DO54=CQ54,CR54,IF(DO54=CU54,CV54,IF(DO54=CY54,CZ54,IF(DO54=DC54,DD54,IF(DO54=DG54,DH54,IF(DO54=DK54,DL54,0)))))))))))))</f>
        <v>8</v>
      </c>
      <c r="DQ54">
        <f>IF(DO54=BO54,BQ54,IF(DO54=BS54,BU54,IF(DO54=BW54,BY54,IF(DO54=CA54,CC54,IF(DO54=CE54,CG54,IF(DO54=CI54,CK54,IF(DO54=CM54,CO54,IF(DO54=CQ54,CS54,IF(DO54=CU54,CW54,IF(DO54=CY54,DA54,IF(DO54=DC54,DE54,IF(DO54=DG54,DI54,IF(DO54=DK54,DM54,0)))))))))))))</f>
        <v>0.44144</v>
      </c>
      <c r="DR54">
        <f t="shared" si="29"/>
        <v>0</v>
      </c>
      <c r="DS54">
        <f t="shared" si="30"/>
        <v>1.47388888888889E-2</v>
      </c>
      <c r="DT54">
        <f>IF(DS54=BO54,BP54,IF(DS54=BS54,BT54,IF(DS54=BW54,BX54,IF(DS54=CA54,CB54,IF(DS54=CE54,CF54,IF(DS54=CI54,CJ54,IF(DS54=CM54,CN54,IF(DS54=CQ54,CR54,IF(DS54=CU54,CV54,IF(DS54=CY54,CZ54,IF(DS54=DC54,DD54,IF(DS54=DG54,DH54,IF(DS54=DK54,DL54,IF(DS54=DO54,DP54,0))))))))))))))</f>
        <v>8</v>
      </c>
      <c r="DU54">
        <f>IF(DS54=BO54,BQ54,IF(DS54=BS54,BU54,IF(DS54=BW54,BY54,IF(DS54=CA54,CC54,IF(DS54=CE54,CG54,IF(DS54=CI54,CK54,IF(DS54=CM54,CO54,IF(DS54=CQ54,CS54,IF(DS54=CU54,CW54,IF(DS54=CY54,DA54,IF(DS54=DC54,DE54,IF(DS54=DG54,DI54,IF(DS54=DK54,DM54,IF(DS54=DO54,DQ54,0))))))))))))))</f>
        <v>0.44144</v>
      </c>
      <c r="DV54">
        <f t="shared" si="31"/>
        <v>0</v>
      </c>
      <c r="DW54">
        <v>31226.480769230799</v>
      </c>
      <c r="DX54">
        <v>5</v>
      </c>
      <c r="DY54">
        <v>0</v>
      </c>
      <c r="DZ54">
        <v>0</v>
      </c>
      <c r="EA54">
        <v>0</v>
      </c>
      <c r="EB54">
        <v>14.0364762223093</v>
      </c>
      <c r="EC54">
        <v>0</v>
      </c>
      <c r="ED54">
        <v>0</v>
      </c>
      <c r="EE54">
        <v>1.47388888888889E-2</v>
      </c>
      <c r="EF54">
        <v>0.44144</v>
      </c>
      <c r="EG54">
        <v>4.3244043828231398</v>
      </c>
      <c r="EH54">
        <v>8</v>
      </c>
      <c r="EI54">
        <v>0</v>
      </c>
      <c r="EJ54">
        <v>0</v>
      </c>
      <c r="EK54">
        <v>0</v>
      </c>
      <c r="EL54">
        <v>0</v>
      </c>
      <c r="EM54">
        <v>45</v>
      </c>
      <c r="EN54">
        <v>0</v>
      </c>
      <c r="EO54">
        <v>4</v>
      </c>
      <c r="EP54">
        <v>6</v>
      </c>
      <c r="EQ54">
        <v>28</v>
      </c>
      <c r="ER54">
        <v>14.1987814663817</v>
      </c>
      <c r="ES54">
        <v>4.37440792343443</v>
      </c>
      <c r="ET54">
        <v>4.37440792343443</v>
      </c>
      <c r="EU54">
        <v>0.418548524781229</v>
      </c>
      <c r="EV54">
        <v>0.418548524781229</v>
      </c>
      <c r="EW54">
        <v>0</v>
      </c>
      <c r="EX54">
        <v>0.418548524781229</v>
      </c>
      <c r="EY54">
        <v>0.418548524781229</v>
      </c>
      <c r="EZ54">
        <v>0</v>
      </c>
      <c r="FA54">
        <v>0.86715113699963198</v>
      </c>
      <c r="FB54">
        <v>0.86715113699963198</v>
      </c>
      <c r="FC54">
        <v>0</v>
      </c>
      <c r="FD54">
        <v>7.4987709029924599</v>
      </c>
      <c r="FE54">
        <v>7.4987709029924599</v>
      </c>
      <c r="FF54">
        <v>0</v>
      </c>
      <c r="FG54">
        <v>0.418548524781229</v>
      </c>
      <c r="FH54">
        <v>0.418548524781229</v>
      </c>
    </row>
    <row r="55" spans="1:164" x14ac:dyDescent="0.2">
      <c r="A55">
        <v>54</v>
      </c>
      <c r="B55">
        <v>64</v>
      </c>
      <c r="C55">
        <v>110</v>
      </c>
      <c r="D55">
        <v>1</v>
      </c>
      <c r="E55">
        <v>11</v>
      </c>
      <c r="F55" t="s">
        <v>223</v>
      </c>
      <c r="G55" t="s">
        <v>224</v>
      </c>
      <c r="H55">
        <v>3</v>
      </c>
      <c r="I55">
        <v>3</v>
      </c>
      <c r="K55" t="s">
        <v>225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0</v>
      </c>
      <c r="AD55">
        <v>6</v>
      </c>
      <c r="AE55">
        <v>8</v>
      </c>
      <c r="AF55">
        <v>4</v>
      </c>
      <c r="AG55">
        <v>7</v>
      </c>
      <c r="AH55">
        <v>5</v>
      </c>
      <c r="AI55">
        <v>0.60515277777777798</v>
      </c>
      <c r="AJ55">
        <v>33.764090000000003</v>
      </c>
      <c r="AK55">
        <v>0.549027777777778</v>
      </c>
      <c r="AL55">
        <v>22.016089999999998</v>
      </c>
      <c r="AM55">
        <v>0.45217777777777801</v>
      </c>
      <c r="AN55">
        <v>21.217939999999999</v>
      </c>
      <c r="AO55">
        <v>0.437466666666667</v>
      </c>
      <c r="AP55">
        <v>19.75712</v>
      </c>
      <c r="AQ55">
        <v>0.50039444444444403</v>
      </c>
      <c r="AR55">
        <v>21.82901</v>
      </c>
      <c r="AS55">
        <v>0.51383055555555601</v>
      </c>
      <c r="AT55">
        <v>22.23217</v>
      </c>
      <c r="AU55">
        <v>0.50850555555555599</v>
      </c>
      <c r="AV55">
        <v>24.638580000000001</v>
      </c>
      <c r="AW55">
        <v>0.53008333333333302</v>
      </c>
      <c r="AX55">
        <v>29.014119999999998</v>
      </c>
      <c r="AY55">
        <v>0.54006666666666703</v>
      </c>
      <c r="AZ55">
        <v>30.252849999999999</v>
      </c>
      <c r="BA55">
        <v>0.55341944444444402</v>
      </c>
      <c r="BB55">
        <v>31.57357</v>
      </c>
      <c r="BC55">
        <v>0.61424722222222194</v>
      </c>
      <c r="BD55">
        <v>32.898260000000001</v>
      </c>
      <c r="BE55">
        <v>0.62526666666666697</v>
      </c>
      <c r="BF55">
        <v>39.275230000000001</v>
      </c>
      <c r="BG55">
        <v>0.68914166666666699</v>
      </c>
      <c r="BH55">
        <v>42.678069999999998</v>
      </c>
      <c r="BI55">
        <v>0.73296666666666699</v>
      </c>
      <c r="BJ55">
        <v>44.651989999999998</v>
      </c>
      <c r="BK55">
        <v>0.80110833333333298</v>
      </c>
      <c r="BL55">
        <v>51.467640000000003</v>
      </c>
      <c r="BM55">
        <v>0.84261111111111098</v>
      </c>
      <c r="BN55">
        <v>53.460320000000003</v>
      </c>
      <c r="BO55">
        <f t="shared" si="0"/>
        <v>0.437466666666667</v>
      </c>
      <c r="BP55">
        <v>3</v>
      </c>
      <c r="BQ55">
        <v>19.75712</v>
      </c>
      <c r="BR55">
        <f t="shared" si="1"/>
        <v>0</v>
      </c>
      <c r="BS55">
        <f t="shared" si="2"/>
        <v>0.437466666666667</v>
      </c>
      <c r="BT55">
        <f t="shared" si="3"/>
        <v>3</v>
      </c>
      <c r="BU55">
        <f t="shared" si="4"/>
        <v>19.75712</v>
      </c>
      <c r="BV55">
        <f t="shared" si="5"/>
        <v>0</v>
      </c>
      <c r="BW55">
        <f t="shared" si="6"/>
        <v>0.45217777777777801</v>
      </c>
      <c r="BX55">
        <v>2</v>
      </c>
      <c r="BY55">
        <v>21.217939999999999</v>
      </c>
      <c r="BZ55">
        <f t="shared" si="7"/>
        <v>0</v>
      </c>
      <c r="CA55">
        <f t="shared" si="8"/>
        <v>0.437466666666667</v>
      </c>
      <c r="CB55">
        <f>IF(CA55=BO55,BP55,IF(CA55=BS55,BT55,IF(CA55=BW55,BX55,0)))</f>
        <v>3</v>
      </c>
      <c r="CC55">
        <f>IF(CA55=BO55,BQ55,IF(CA55=BS55,BU55,IF(CA55=BW55,BY55,0)))</f>
        <v>19.75712</v>
      </c>
      <c r="CD55">
        <f t="shared" si="9"/>
        <v>0</v>
      </c>
      <c r="CE55">
        <f t="shared" si="10"/>
        <v>0.437466666666667</v>
      </c>
      <c r="CF55">
        <f>IF(CE55=BO55,BP55,IF(CE55=BS55,BT55,IF(CE55=BW55,BX55,IF(CE55=CA55,CB55,0))))</f>
        <v>3</v>
      </c>
      <c r="CG55">
        <f>IF(CE55=BO55,BQ55,IF(CE55=BS55,BU55,IF(CE55=BW55,BY55,IF(CE55=CA55,CC55,0))))</f>
        <v>19.75712</v>
      </c>
      <c r="CH55">
        <f t="shared" si="11"/>
        <v>0</v>
      </c>
      <c r="CI55">
        <f t="shared" si="12"/>
        <v>0.437466666666667</v>
      </c>
      <c r="CJ55">
        <f>IF(CI55=BO55,BP55,IF(CI55=BS55,BT55,IF(CI55=BW55,BX55,IF(CI55=CA55,CB55,IF(CI55=CE55,CF55,0)))))</f>
        <v>3</v>
      </c>
      <c r="CK55">
        <f>IF(CI55=BO55,BQ55,IF(CI55=BS55,BU55,IF(CI55=BW55,BY55,IF(CI55=CA55,CC55,IF(CI55=CE55,CG55,0)))))</f>
        <v>19.75712</v>
      </c>
      <c r="CL55">
        <f t="shared" si="13"/>
        <v>0</v>
      </c>
      <c r="CM55">
        <f t="shared" si="14"/>
        <v>0.437466666666667</v>
      </c>
      <c r="CN55">
        <f>IF(CM55=BO55,BP55,IF(CM55=BS55,BT55,IF(CM55=BW55,BX55,IF(CM55=CA55,CB55,IF(CM55=CE55,CF55,IF(CM55=CI55,CJ55,0))))))</f>
        <v>3</v>
      </c>
      <c r="CO55">
        <f>IF(CM55=BO55,BQ55,IF(CM55=BS55,BU55,IF(CM55=BW55,BY55,IF(CM55=CA55,CC55,IF(CM55=CE55,CG55,IF(CM55=CI55,CK55,0))))))</f>
        <v>19.75712</v>
      </c>
      <c r="CP55">
        <f t="shared" si="15"/>
        <v>0</v>
      </c>
      <c r="CQ55">
        <f t="shared" si="16"/>
        <v>0.437466666666667</v>
      </c>
      <c r="CR55">
        <f>IF(CQ55=BO55,BP55,IF(CQ55=BS55,BT55,IF(CQ55=BW55,BX55,IF(CQ55=CA55,CB55,IF(CQ55=CE55,CF55,IF(CQ55=CI55,CJ55,IF(CQ55=CM55,CN55,0)))))))</f>
        <v>3</v>
      </c>
      <c r="CS55">
        <f>IF(CQ55=BO55,BQ55,IF(CQ55=BS55,BU55,IF(CQ55=BW55,BY55,IF(CQ55=CA55,CC55,IF(CQ55=CE55,CG55,IF(CQ55=CI55,CK55,IF(CQ55=CM55,CO55,0)))))))</f>
        <v>19.75712</v>
      </c>
      <c r="CT55">
        <f t="shared" si="17"/>
        <v>0</v>
      </c>
      <c r="CU55">
        <f t="shared" si="18"/>
        <v>0.437466666666667</v>
      </c>
      <c r="CV55">
        <f>IF(CU55=BO55,BP55,IF(CU55=BS55,BT55,IF(CU55=BW55,BX55,IF(CU55=CA55,CB55,IF(CU55=CE55,CF55,IF(CU55=CI55,CJ55,IF(CU55=CM55,CN55,IF(CU55=CQ55,CR55,0))))))))</f>
        <v>3</v>
      </c>
      <c r="CW55">
        <f>IF(CU55=BO55,BQ55,IF(CU55=BS55,BU55,IF(CU55=BW55,BY55,IF(CU55=CA55,CC55,IF(CU55=CE55,CG55,IF(CU55=CI55,CK55,IF(CU55=CM55,CO55,IF(CU55=CQ55,CS55,0))))))))</f>
        <v>19.75712</v>
      </c>
      <c r="CX55">
        <f t="shared" si="19"/>
        <v>0</v>
      </c>
      <c r="CY55">
        <f t="shared" si="20"/>
        <v>0.437466666666667</v>
      </c>
      <c r="CZ55">
        <f>IF(CY55=BO55,BP55,IF(CY55=BS55,BT55,IF(CY55=BW55,BX55,IF(CY55=CA55,CB55,IF(CY55=CE55,CF55,IF(CY55=CI55,CJ55,IF(CY55=CM55,CN55,IF(CY55=CQ55,CR55,IF(CY55=CU55,CV55,0)))))))))</f>
        <v>3</v>
      </c>
      <c r="DA55">
        <f>IF(CY55=BO55,BQ55,IF(CY55=BS55,BU55,IF(CY55=BW55,BY55,IF(CY55=CA55,CC55,IF(CY55=CE55,CG55,IF(CY55=CI55,CK55,IF(CY55=CM55,CO55,IF(CY55=CQ55,CS55,IF(CY55=CU55,CW55,0)))))))))</f>
        <v>19.75712</v>
      </c>
      <c r="DB55">
        <f t="shared" si="21"/>
        <v>0</v>
      </c>
      <c r="DC55">
        <f t="shared" si="22"/>
        <v>0.437466666666667</v>
      </c>
      <c r="DD55">
        <f>IF(DC55=BO55,BP55,IF(DC55=BS55,BT55,IF(DC55=BW55,BX55,IF(DC55=CA55,CB55,IF(DC55=CE55,CF55,IF(DC55=CI55,CJ55,IF(DC55=CM55,CN55,IF(DC55=CQ55,CR55,IF(DC55=CU55,CV55,IF(DC55=CY55,CZ55,0))))))))))</f>
        <v>3</v>
      </c>
      <c r="DE55">
        <f>IF(DC55=BO55,BQ55,IF(DC55=BS55,BU55,IF(DC55=BW55,BY55,IF(DC55=CA55,CC55,IF(DC55=CE55,CG55,IF(DC55=CI55,CK55,IF(DC55=CM55,CO55,IF(DC55=CQ55,CS55,IF(DC55=CU55,CW55,IF(DC55=CY55,DA55,0))))))))))</f>
        <v>19.75712</v>
      </c>
      <c r="DF55">
        <f t="shared" si="23"/>
        <v>0</v>
      </c>
      <c r="DG55">
        <f t="shared" si="24"/>
        <v>0.437466666666667</v>
      </c>
      <c r="DH55">
        <f>IF(DG55=BO55,BP55,IF(DG55=BS55,BT55,IF(DG55=BW55,BX55,IF(DG55=CA55,CB55,IF(DG55=CE55,CF55,IF(DG55=CI55,CJ55,IF(DG55=CM55,CN55,IF(DG55=CQ55,CR55,IF(DG55=CU55,CV55,IF(DG55=CY55,CZ55,IF(DG55=DC55,DD55,0)))))))))))</f>
        <v>3</v>
      </c>
      <c r="DI55">
        <f>IF(DG55=BO55,BQ55,IF(DG55=BS55,BU55,IF(DG55=BW55,BY55,IF(DG55=CA55,CC55,IF(DG55=CE55,CG55,IF(DG55=CI55,CK55,IF(DG55=CM55,CO55,IF(DG55=CQ55,CS55,IF(DG55=CU55,CW55,IF(DG55=CY55,DA55,IF(DG55=DC55,DE55,0)))))))))))</f>
        <v>19.75712</v>
      </c>
      <c r="DJ55">
        <f t="shared" si="25"/>
        <v>0</v>
      </c>
      <c r="DK55">
        <f t="shared" si="26"/>
        <v>0.437466666666667</v>
      </c>
      <c r="DL55">
        <f>IF(DK55=BO55,BP55,IF(DK55=BS55,BT55,IF(DK55=BW55,BX55,IF(DK55=CA55,CB55,IF(DK55=CE55,CF55,IF(DK55=CI55,CJ55,IF(DK55=CM55,CN55,IF(DK55=CQ55,CR55,IF(DK55=CU55,CV55,IF(DK55=CY55,CZ55,IF(DK55=DC55,DD55,IF(DK55=DG55,DH55,0))))))))))))</f>
        <v>3</v>
      </c>
      <c r="DM55">
        <f>IF(DK55=BO55,BQ55,IF(DK55=BS55,BU55,IF(DK55=BW55,BY55,IF(DK55=CA55,CC55,IF(DK55=CE55,CG55,IF(DK55=CI55,CK55,IF(DK55=CM55,CO55,IF(DK55=CQ55,CS55,IF(DK55=CU55,CW55,IF(DK55=CY55,DA55,IF(DK55=DC55,DE55,IF(DK55=DG55,DI55,0))))))))))))</f>
        <v>19.75712</v>
      </c>
      <c r="DN55">
        <f t="shared" si="27"/>
        <v>0</v>
      </c>
      <c r="DO55">
        <f t="shared" si="28"/>
        <v>0.437466666666667</v>
      </c>
      <c r="DP55">
        <f>IF(DO55=BO55,BP55,IF(DO55=BS55,BT55,IF(DO55=BW55,BX55,IF(DO55=CA55,CB55,IF(DO55=CE55,CF55,IF(DO55=CI55,CJ55,IF(DO55=CM55,CN55,IF(DO55=CQ55,CR55,IF(DO55=CU55,CV55,IF(DO55=CY55,CZ55,IF(DO55=DC55,DD55,IF(DO55=DG55,DH55,IF(DO55=DK55,DL55,0)))))))))))))</f>
        <v>3</v>
      </c>
      <c r="DQ55">
        <f>IF(DO55=BO55,BQ55,IF(DO55=BS55,BU55,IF(DO55=BW55,BY55,IF(DO55=CA55,CC55,IF(DO55=CE55,CG55,IF(DO55=CI55,CK55,IF(DO55=CM55,CO55,IF(DO55=CQ55,CS55,IF(DO55=CU55,CW55,IF(DO55=CY55,DA55,IF(DO55=DC55,DE55,IF(DO55=DG55,DI55,IF(DO55=DK55,DM55,0)))))))))))))</f>
        <v>19.75712</v>
      </c>
      <c r="DR55">
        <f t="shared" si="29"/>
        <v>0</v>
      </c>
      <c r="DS55">
        <f t="shared" si="30"/>
        <v>0.437466666666667</v>
      </c>
      <c r="DT55">
        <f>IF(DS55=BO55,BP55,IF(DS55=BS55,BT55,IF(DS55=BW55,BX55,IF(DS55=CA55,CB55,IF(DS55=CE55,CF55,IF(DS55=CI55,CJ55,IF(DS55=CM55,CN55,IF(DS55=CQ55,CR55,IF(DS55=CU55,CV55,IF(DS55=CY55,CZ55,IF(DS55=DC55,DD55,IF(DS55=DG55,DH55,IF(DS55=DK55,DL55,IF(DS55=DO55,DP55,0))))))))))))))</f>
        <v>3</v>
      </c>
      <c r="DU55">
        <f>IF(DS55=BO55,BQ55,IF(DS55=BS55,BU55,IF(DS55=BW55,BY55,IF(DS55=CA55,CC55,IF(DS55=CE55,CG55,IF(DS55=CI55,CK55,IF(DS55=CM55,CO55,IF(DS55=CQ55,CS55,IF(DS55=CU55,CW55,IF(DS55=CY55,DA55,IF(DS55=DC55,DE55,IF(DS55=DG55,DI55,IF(DS55=DK55,DM55,IF(DS55=DO55,DQ55,0))))))))))))))</f>
        <v>19.75712</v>
      </c>
      <c r="DV55">
        <f t="shared" si="31"/>
        <v>0</v>
      </c>
      <c r="DW55">
        <v>52500.5</v>
      </c>
      <c r="DX55">
        <v>6</v>
      </c>
      <c r="DY55">
        <v>20</v>
      </c>
      <c r="DZ55">
        <v>6</v>
      </c>
      <c r="EA55">
        <v>6</v>
      </c>
      <c r="EB55">
        <v>23.599265807611602</v>
      </c>
      <c r="EC55">
        <v>1</v>
      </c>
      <c r="ED55">
        <v>3.9262211333333301</v>
      </c>
      <c r="EE55">
        <v>0.437466666666667</v>
      </c>
      <c r="EF55">
        <v>19.75712</v>
      </c>
      <c r="EG55">
        <v>30.7237154820684</v>
      </c>
      <c r="EH55">
        <v>3</v>
      </c>
      <c r="EI55">
        <v>0</v>
      </c>
      <c r="EJ55">
        <v>1.7122837333333301</v>
      </c>
      <c r="EK55">
        <v>1</v>
      </c>
      <c r="EL55">
        <v>0</v>
      </c>
      <c r="EM55">
        <v>31</v>
      </c>
      <c r="EN55">
        <v>1</v>
      </c>
      <c r="EO55">
        <v>4</v>
      </c>
      <c r="EP55">
        <v>5</v>
      </c>
      <c r="EQ55">
        <v>4</v>
      </c>
      <c r="ER55">
        <v>14.1987814663817</v>
      </c>
      <c r="ES55">
        <v>17.184864090881</v>
      </c>
      <c r="ET55">
        <v>21.1110852242143</v>
      </c>
      <c r="EU55">
        <v>12.422987197652899</v>
      </c>
      <c r="EV55">
        <v>14.1352709309862</v>
      </c>
      <c r="EW55">
        <v>2.62191366666667</v>
      </c>
      <c r="EX55">
        <v>15.3365771545544</v>
      </c>
      <c r="EY55">
        <v>17.958490821221101</v>
      </c>
      <c r="EZ55">
        <v>1.7122837333333301</v>
      </c>
      <c r="FA55">
        <v>12.422987197652899</v>
      </c>
      <c r="FB55">
        <v>14.1352709309862</v>
      </c>
      <c r="FC55">
        <v>1.7122837333333301</v>
      </c>
      <c r="FD55">
        <v>12.422987197652899</v>
      </c>
      <c r="FE55">
        <v>14.1352709309862</v>
      </c>
      <c r="FF55">
        <v>1.83888813333333</v>
      </c>
      <c r="FG55">
        <v>12.8407469012415</v>
      </c>
      <c r="FH55">
        <v>14.6796350345749</v>
      </c>
    </row>
    <row r="56" spans="1:164" x14ac:dyDescent="0.2">
      <c r="A56">
        <v>55</v>
      </c>
      <c r="B56">
        <v>65</v>
      </c>
      <c r="C56">
        <v>111</v>
      </c>
      <c r="D56">
        <v>1</v>
      </c>
      <c r="E56">
        <v>11</v>
      </c>
      <c r="F56" t="s">
        <v>226</v>
      </c>
      <c r="G56" t="s">
        <v>226</v>
      </c>
      <c r="H56">
        <v>3</v>
      </c>
      <c r="I56">
        <v>3</v>
      </c>
      <c r="K56" t="s">
        <v>227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2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5</v>
      </c>
      <c r="AE56">
        <v>8</v>
      </c>
      <c r="AF56">
        <v>4</v>
      </c>
      <c r="AG56">
        <v>7</v>
      </c>
      <c r="AH56">
        <v>5</v>
      </c>
      <c r="AI56">
        <v>0.60515277777777798</v>
      </c>
      <c r="AJ56">
        <v>33.764090000000003</v>
      </c>
      <c r="AK56">
        <v>0.549027777777778</v>
      </c>
      <c r="AL56">
        <v>22.016089999999998</v>
      </c>
      <c r="AM56">
        <v>0.45217777777777801</v>
      </c>
      <c r="AN56">
        <v>21.217939999999999</v>
      </c>
      <c r="AO56">
        <v>0.437466666666667</v>
      </c>
      <c r="AP56">
        <v>19.75712</v>
      </c>
      <c r="AQ56">
        <v>0.50039444444444403</v>
      </c>
      <c r="AR56">
        <v>21.82901</v>
      </c>
      <c r="AS56">
        <v>0.51383055555555601</v>
      </c>
      <c r="AT56">
        <v>22.23217</v>
      </c>
      <c r="AU56">
        <v>0.50850555555555599</v>
      </c>
      <c r="AV56">
        <v>24.638580000000001</v>
      </c>
      <c r="AW56">
        <v>0.53008333333333302</v>
      </c>
      <c r="AX56">
        <v>29.014119999999998</v>
      </c>
      <c r="AY56">
        <v>0.54006666666666703</v>
      </c>
      <c r="AZ56">
        <v>30.252849999999999</v>
      </c>
      <c r="BA56">
        <v>0.55341944444444402</v>
      </c>
      <c r="BB56">
        <v>31.57357</v>
      </c>
      <c r="BC56">
        <v>0.61424722222222194</v>
      </c>
      <c r="BD56">
        <v>32.898260000000001</v>
      </c>
      <c r="BE56">
        <v>0.62526666666666697</v>
      </c>
      <c r="BF56">
        <v>39.275230000000001</v>
      </c>
      <c r="BG56">
        <v>0.68914166666666699</v>
      </c>
      <c r="BH56">
        <v>42.678069999999998</v>
      </c>
      <c r="BI56">
        <v>0.73296666666666699</v>
      </c>
      <c r="BJ56">
        <v>44.651989999999998</v>
      </c>
      <c r="BK56">
        <v>0.80110833333333298</v>
      </c>
      <c r="BL56">
        <v>51.467640000000003</v>
      </c>
      <c r="BM56">
        <v>0.84261111111111098</v>
      </c>
      <c r="BN56">
        <v>53.460320000000003</v>
      </c>
      <c r="BO56">
        <f t="shared" si="0"/>
        <v>0.437466666666667</v>
      </c>
      <c r="BP56">
        <v>3</v>
      </c>
      <c r="BQ56">
        <v>19.75712</v>
      </c>
      <c r="BR56">
        <f t="shared" si="1"/>
        <v>0</v>
      </c>
      <c r="BS56">
        <f t="shared" si="2"/>
        <v>0.437466666666667</v>
      </c>
      <c r="BT56">
        <f t="shared" si="3"/>
        <v>3</v>
      </c>
      <c r="BU56">
        <f t="shared" si="4"/>
        <v>19.75712</v>
      </c>
      <c r="BV56">
        <f t="shared" si="5"/>
        <v>0</v>
      </c>
      <c r="BW56">
        <f t="shared" si="6"/>
        <v>0.45217777777777801</v>
      </c>
      <c r="BX56">
        <v>2</v>
      </c>
      <c r="BY56">
        <v>21.217939999999999</v>
      </c>
      <c r="BZ56">
        <f t="shared" si="7"/>
        <v>0</v>
      </c>
      <c r="CA56">
        <f t="shared" si="8"/>
        <v>0.437466666666667</v>
      </c>
      <c r="CB56">
        <f>IF(CA56=BO56,BP56,IF(CA56=BS56,BT56,IF(CA56=BW56,BX56,0)))</f>
        <v>3</v>
      </c>
      <c r="CC56">
        <f>IF(CA56=BO56,BQ56,IF(CA56=BS56,BU56,IF(CA56=BW56,BY56,0)))</f>
        <v>19.75712</v>
      </c>
      <c r="CD56">
        <f t="shared" si="9"/>
        <v>0</v>
      </c>
      <c r="CE56">
        <f t="shared" si="10"/>
        <v>0.437466666666667</v>
      </c>
      <c r="CF56">
        <f>IF(CE56=BO56,BP56,IF(CE56=BS56,BT56,IF(CE56=BW56,BX56,IF(CE56=CA56,CB56,0))))</f>
        <v>3</v>
      </c>
      <c r="CG56">
        <f>IF(CE56=BO56,BQ56,IF(CE56=BS56,BU56,IF(CE56=BW56,BY56,IF(CE56=CA56,CC56,0))))</f>
        <v>19.75712</v>
      </c>
      <c r="CH56">
        <f t="shared" si="11"/>
        <v>0</v>
      </c>
      <c r="CI56">
        <f t="shared" si="12"/>
        <v>0.437466666666667</v>
      </c>
      <c r="CJ56">
        <f>IF(CI56=BO56,BP56,IF(CI56=BS56,BT56,IF(CI56=BW56,BX56,IF(CI56=CA56,CB56,IF(CI56=CE56,CF56,0)))))</f>
        <v>3</v>
      </c>
      <c r="CK56">
        <f>IF(CI56=BO56,BQ56,IF(CI56=BS56,BU56,IF(CI56=BW56,BY56,IF(CI56=CA56,CC56,IF(CI56=CE56,CG56,0)))))</f>
        <v>19.75712</v>
      </c>
      <c r="CL56">
        <f t="shared" si="13"/>
        <v>0</v>
      </c>
      <c r="CM56">
        <f t="shared" si="14"/>
        <v>0.437466666666667</v>
      </c>
      <c r="CN56">
        <f>IF(CM56=BO56,BP56,IF(CM56=BS56,BT56,IF(CM56=BW56,BX56,IF(CM56=CA56,CB56,IF(CM56=CE56,CF56,IF(CM56=CI56,CJ56,0))))))</f>
        <v>3</v>
      </c>
      <c r="CO56">
        <f>IF(CM56=BO56,BQ56,IF(CM56=BS56,BU56,IF(CM56=BW56,BY56,IF(CM56=CA56,CC56,IF(CM56=CE56,CG56,IF(CM56=CI56,CK56,0))))))</f>
        <v>19.75712</v>
      </c>
      <c r="CP56">
        <f t="shared" si="15"/>
        <v>0</v>
      </c>
      <c r="CQ56">
        <f t="shared" si="16"/>
        <v>0.437466666666667</v>
      </c>
      <c r="CR56">
        <f>IF(CQ56=BO56,BP56,IF(CQ56=BS56,BT56,IF(CQ56=BW56,BX56,IF(CQ56=CA56,CB56,IF(CQ56=CE56,CF56,IF(CQ56=CI56,CJ56,IF(CQ56=CM56,CN56,0)))))))</f>
        <v>3</v>
      </c>
      <c r="CS56">
        <f>IF(CQ56=BO56,BQ56,IF(CQ56=BS56,BU56,IF(CQ56=BW56,BY56,IF(CQ56=CA56,CC56,IF(CQ56=CE56,CG56,IF(CQ56=CI56,CK56,IF(CQ56=CM56,CO56,0)))))))</f>
        <v>19.75712</v>
      </c>
      <c r="CT56">
        <f t="shared" si="17"/>
        <v>0</v>
      </c>
      <c r="CU56">
        <f t="shared" si="18"/>
        <v>0.437466666666667</v>
      </c>
      <c r="CV56">
        <f>IF(CU56=BO56,BP56,IF(CU56=BS56,BT56,IF(CU56=BW56,BX56,IF(CU56=CA56,CB56,IF(CU56=CE56,CF56,IF(CU56=CI56,CJ56,IF(CU56=CM56,CN56,IF(CU56=CQ56,CR56,0))))))))</f>
        <v>3</v>
      </c>
      <c r="CW56">
        <f>IF(CU56=BO56,BQ56,IF(CU56=BS56,BU56,IF(CU56=BW56,BY56,IF(CU56=CA56,CC56,IF(CU56=CE56,CG56,IF(CU56=CI56,CK56,IF(CU56=CM56,CO56,IF(CU56=CQ56,CS56,0))))))))</f>
        <v>19.75712</v>
      </c>
      <c r="CX56">
        <f t="shared" si="19"/>
        <v>0</v>
      </c>
      <c r="CY56">
        <f t="shared" si="20"/>
        <v>0.437466666666667</v>
      </c>
      <c r="CZ56">
        <f>IF(CY56=BO56,BP56,IF(CY56=BS56,BT56,IF(CY56=BW56,BX56,IF(CY56=CA56,CB56,IF(CY56=CE56,CF56,IF(CY56=CI56,CJ56,IF(CY56=CM56,CN56,IF(CY56=CQ56,CR56,IF(CY56=CU56,CV56,0)))))))))</f>
        <v>3</v>
      </c>
      <c r="DA56">
        <f>IF(CY56=BO56,BQ56,IF(CY56=BS56,BU56,IF(CY56=BW56,BY56,IF(CY56=CA56,CC56,IF(CY56=CE56,CG56,IF(CY56=CI56,CK56,IF(CY56=CM56,CO56,IF(CY56=CQ56,CS56,IF(CY56=CU56,CW56,0)))))))))</f>
        <v>19.75712</v>
      </c>
      <c r="DB56">
        <f t="shared" si="21"/>
        <v>0</v>
      </c>
      <c r="DC56">
        <f t="shared" si="22"/>
        <v>0.437466666666667</v>
      </c>
      <c r="DD56">
        <f>IF(DC56=BO56,BP56,IF(DC56=BS56,BT56,IF(DC56=BW56,BX56,IF(DC56=CA56,CB56,IF(DC56=CE56,CF56,IF(DC56=CI56,CJ56,IF(DC56=CM56,CN56,IF(DC56=CQ56,CR56,IF(DC56=CU56,CV56,IF(DC56=CY56,CZ56,0))))))))))</f>
        <v>3</v>
      </c>
      <c r="DE56">
        <f>IF(DC56=BO56,BQ56,IF(DC56=BS56,BU56,IF(DC56=BW56,BY56,IF(DC56=CA56,CC56,IF(DC56=CE56,CG56,IF(DC56=CI56,CK56,IF(DC56=CM56,CO56,IF(DC56=CQ56,CS56,IF(DC56=CU56,CW56,IF(DC56=CY56,DA56,0))))))))))</f>
        <v>19.75712</v>
      </c>
      <c r="DF56">
        <f t="shared" si="23"/>
        <v>0</v>
      </c>
      <c r="DG56">
        <f t="shared" si="24"/>
        <v>0.437466666666667</v>
      </c>
      <c r="DH56">
        <f>IF(DG56=BO56,BP56,IF(DG56=BS56,BT56,IF(DG56=BW56,BX56,IF(DG56=CA56,CB56,IF(DG56=CE56,CF56,IF(DG56=CI56,CJ56,IF(DG56=CM56,CN56,IF(DG56=CQ56,CR56,IF(DG56=CU56,CV56,IF(DG56=CY56,CZ56,IF(DG56=DC56,DD56,0)))))))))))</f>
        <v>3</v>
      </c>
      <c r="DI56">
        <f>IF(DG56=BO56,BQ56,IF(DG56=BS56,BU56,IF(DG56=BW56,BY56,IF(DG56=CA56,CC56,IF(DG56=CE56,CG56,IF(DG56=CI56,CK56,IF(DG56=CM56,CO56,IF(DG56=CQ56,CS56,IF(DG56=CU56,CW56,IF(DG56=CY56,DA56,IF(DG56=DC56,DE56,0)))))))))))</f>
        <v>19.75712</v>
      </c>
      <c r="DJ56">
        <f t="shared" si="25"/>
        <v>0</v>
      </c>
      <c r="DK56">
        <f t="shared" si="26"/>
        <v>0.437466666666667</v>
      </c>
      <c r="DL56">
        <f>IF(DK56=BO56,BP56,IF(DK56=BS56,BT56,IF(DK56=BW56,BX56,IF(DK56=CA56,CB56,IF(DK56=CE56,CF56,IF(DK56=CI56,CJ56,IF(DK56=CM56,CN56,IF(DK56=CQ56,CR56,IF(DK56=CU56,CV56,IF(DK56=CY56,CZ56,IF(DK56=DC56,DD56,IF(DK56=DG56,DH56,0))))))))))))</f>
        <v>3</v>
      </c>
      <c r="DM56">
        <f>IF(DK56=BO56,BQ56,IF(DK56=BS56,BU56,IF(DK56=BW56,BY56,IF(DK56=CA56,CC56,IF(DK56=CE56,CG56,IF(DK56=CI56,CK56,IF(DK56=CM56,CO56,IF(DK56=CQ56,CS56,IF(DK56=CU56,CW56,IF(DK56=CY56,DA56,IF(DK56=DC56,DE56,IF(DK56=DG56,DI56,0))))))))))))</f>
        <v>19.75712</v>
      </c>
      <c r="DN56">
        <f t="shared" si="27"/>
        <v>0</v>
      </c>
      <c r="DO56">
        <f t="shared" si="28"/>
        <v>0.437466666666667</v>
      </c>
      <c r="DP56">
        <f>IF(DO56=BO56,BP56,IF(DO56=BS56,BT56,IF(DO56=BW56,BX56,IF(DO56=CA56,CB56,IF(DO56=CE56,CF56,IF(DO56=CI56,CJ56,IF(DO56=CM56,CN56,IF(DO56=CQ56,CR56,IF(DO56=CU56,CV56,IF(DO56=CY56,CZ56,IF(DO56=DC56,DD56,IF(DO56=DG56,DH56,IF(DO56=DK56,DL56,0)))))))))))))</f>
        <v>3</v>
      </c>
      <c r="DQ56">
        <f>IF(DO56=BO56,BQ56,IF(DO56=BS56,BU56,IF(DO56=BW56,BY56,IF(DO56=CA56,CC56,IF(DO56=CE56,CG56,IF(DO56=CI56,CK56,IF(DO56=CM56,CO56,IF(DO56=CQ56,CS56,IF(DO56=CU56,CW56,IF(DO56=CY56,DA56,IF(DO56=DC56,DE56,IF(DO56=DG56,DI56,IF(DO56=DK56,DM56,0)))))))))))))</f>
        <v>19.75712</v>
      </c>
      <c r="DR56">
        <f t="shared" si="29"/>
        <v>0</v>
      </c>
      <c r="DS56">
        <f t="shared" si="30"/>
        <v>0.437466666666667</v>
      </c>
      <c r="DT56">
        <f>IF(DS56=BO56,BP56,IF(DS56=BS56,BT56,IF(DS56=BW56,BX56,IF(DS56=CA56,CB56,IF(DS56=CE56,CF56,IF(DS56=CI56,CJ56,IF(DS56=CM56,CN56,IF(DS56=CQ56,CR56,IF(DS56=CU56,CV56,IF(DS56=CY56,CZ56,IF(DS56=DC56,DD56,IF(DS56=DG56,DH56,IF(DS56=DK56,DL56,IF(DS56=DO56,DP56,0))))))))))))))</f>
        <v>3</v>
      </c>
      <c r="DU56">
        <f>IF(DS56=BO56,BQ56,IF(DS56=BS56,BU56,IF(DS56=BW56,BY56,IF(DS56=CA56,CC56,IF(DS56=CE56,CG56,IF(DS56=CI56,CK56,IF(DS56=CM56,CO56,IF(DS56=CQ56,CS56,IF(DS56=CU56,CW56,IF(DS56=CY56,DA56,IF(DS56=DC56,DE56,IF(DS56=DG56,DI56,IF(DS56=DK56,DM56,IF(DS56=DO56,DQ56,0))))))))))))))</f>
        <v>19.75712</v>
      </c>
      <c r="DV56">
        <f t="shared" si="31"/>
        <v>0</v>
      </c>
      <c r="DW56">
        <v>52500.5</v>
      </c>
      <c r="DX56">
        <v>6</v>
      </c>
      <c r="DY56">
        <v>18</v>
      </c>
      <c r="DZ56">
        <v>4</v>
      </c>
      <c r="EA56">
        <v>4</v>
      </c>
      <c r="EB56">
        <v>23.599265807611602</v>
      </c>
      <c r="EC56">
        <v>0.66666666666666696</v>
      </c>
      <c r="ED56">
        <v>3.5928878000000002</v>
      </c>
      <c r="EE56">
        <v>0.437466666666667</v>
      </c>
      <c r="EF56">
        <v>19.75712</v>
      </c>
      <c r="EG56">
        <v>30.3903821487351</v>
      </c>
      <c r="EH56">
        <v>3</v>
      </c>
      <c r="EI56">
        <v>0</v>
      </c>
      <c r="EJ56">
        <v>1.7122837333333301</v>
      </c>
      <c r="EK56">
        <v>1</v>
      </c>
      <c r="EL56">
        <v>1</v>
      </c>
      <c r="EM56">
        <v>31</v>
      </c>
      <c r="EN56">
        <v>0</v>
      </c>
      <c r="EO56">
        <v>4</v>
      </c>
      <c r="EP56">
        <v>5</v>
      </c>
      <c r="EQ56">
        <v>4</v>
      </c>
      <c r="ER56">
        <v>14.1987814663817</v>
      </c>
      <c r="ES56">
        <v>17.184864090881</v>
      </c>
      <c r="ET56">
        <v>20.777751890880999</v>
      </c>
      <c r="EU56">
        <v>12.422987197652899</v>
      </c>
      <c r="EV56">
        <v>14.1352709309862</v>
      </c>
      <c r="EW56">
        <v>2.62191366666667</v>
      </c>
      <c r="EX56">
        <v>15.3365771545544</v>
      </c>
      <c r="EY56">
        <v>17.958490821221101</v>
      </c>
      <c r="EZ56">
        <v>1.7122837333333301</v>
      </c>
      <c r="FA56">
        <v>12.422987197652899</v>
      </c>
      <c r="FB56">
        <v>14.1352709309862</v>
      </c>
      <c r="FC56">
        <v>1.7122837333333301</v>
      </c>
      <c r="FD56">
        <v>12.422987197652899</v>
      </c>
      <c r="FE56">
        <v>14.1352709309862</v>
      </c>
      <c r="FF56">
        <v>1.83888813333333</v>
      </c>
      <c r="FG56">
        <v>12.8407469012415</v>
      </c>
      <c r="FH56">
        <v>14.6796350345749</v>
      </c>
    </row>
    <row r="57" spans="1:164" x14ac:dyDescent="0.2">
      <c r="A57">
        <v>56</v>
      </c>
      <c r="B57">
        <v>66</v>
      </c>
      <c r="C57">
        <v>112</v>
      </c>
      <c r="D57">
        <v>3</v>
      </c>
      <c r="E57">
        <v>12</v>
      </c>
      <c r="F57" t="s">
        <v>228</v>
      </c>
      <c r="G57" t="s">
        <v>229</v>
      </c>
      <c r="H57">
        <v>3</v>
      </c>
      <c r="I57">
        <v>3</v>
      </c>
      <c r="K57" t="s">
        <v>230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</v>
      </c>
      <c r="AE57">
        <v>4</v>
      </c>
      <c r="AF57">
        <v>2</v>
      </c>
      <c r="AG57">
        <v>7</v>
      </c>
      <c r="AH57">
        <v>6</v>
      </c>
      <c r="AI57">
        <v>0.528911111111111</v>
      </c>
      <c r="AJ57">
        <v>22.843969999999999</v>
      </c>
      <c r="AK57">
        <v>0.57854444444444497</v>
      </c>
      <c r="AL57">
        <v>21.7822</v>
      </c>
      <c r="AM57">
        <v>0.48169166666666702</v>
      </c>
      <c r="AN57">
        <v>20.98405</v>
      </c>
      <c r="AO57">
        <v>0.46698333333333297</v>
      </c>
      <c r="AP57">
        <v>19.523230000000002</v>
      </c>
      <c r="AQ57">
        <v>0.52129444444444495</v>
      </c>
      <c r="AR57">
        <v>22.032260000000001</v>
      </c>
      <c r="AS57">
        <v>0.50775277777777805</v>
      </c>
      <c r="AT57">
        <v>20.667179999999998</v>
      </c>
      <c r="AU57">
        <v>0.50108055555555597</v>
      </c>
      <c r="AV57">
        <v>19.822340000000001</v>
      </c>
      <c r="AW57">
        <v>0.51726111111111095</v>
      </c>
      <c r="AX57">
        <v>21.198889999999999</v>
      </c>
      <c r="AY57">
        <v>0.508219444444444</v>
      </c>
      <c r="AZ57">
        <v>21.390440000000002</v>
      </c>
      <c r="BA57">
        <v>0.49321111111111099</v>
      </c>
      <c r="BB57">
        <v>20.807459999999999</v>
      </c>
      <c r="BC57">
        <v>0.54149166666666704</v>
      </c>
      <c r="BD57">
        <v>23.35501</v>
      </c>
      <c r="BE57">
        <v>0.57077500000000003</v>
      </c>
      <c r="BF57">
        <v>28.741320000000002</v>
      </c>
      <c r="BG57">
        <v>0.62812500000000004</v>
      </c>
      <c r="BH57">
        <v>29.764109999999999</v>
      </c>
      <c r="BI57">
        <v>0.67195277777777795</v>
      </c>
      <c r="BJ57">
        <v>31.738029999999998</v>
      </c>
      <c r="BK57">
        <v>0.74661388888888902</v>
      </c>
      <c r="BL57">
        <v>40.93374</v>
      </c>
      <c r="BM57">
        <v>0.78320000000000001</v>
      </c>
      <c r="BN57">
        <v>36.261879999999998</v>
      </c>
      <c r="BO57">
        <f t="shared" si="0"/>
        <v>0.46698333333333297</v>
      </c>
      <c r="BP57">
        <v>3</v>
      </c>
      <c r="BQ57">
        <v>19.523230000000002</v>
      </c>
      <c r="BR57">
        <f t="shared" si="1"/>
        <v>0</v>
      </c>
      <c r="BS57">
        <f t="shared" si="2"/>
        <v>0.46698333333333297</v>
      </c>
      <c r="BT57">
        <f t="shared" si="3"/>
        <v>3</v>
      </c>
      <c r="BU57">
        <f t="shared" si="4"/>
        <v>19.523230000000002</v>
      </c>
      <c r="BV57">
        <f t="shared" si="5"/>
        <v>0</v>
      </c>
      <c r="BW57">
        <f t="shared" si="6"/>
        <v>0.48169166666666702</v>
      </c>
      <c r="BX57">
        <v>2</v>
      </c>
      <c r="BY57">
        <v>20.98405</v>
      </c>
      <c r="BZ57">
        <f t="shared" si="7"/>
        <v>0</v>
      </c>
      <c r="CA57">
        <f t="shared" si="8"/>
        <v>0.46698333333333297</v>
      </c>
      <c r="CB57">
        <f>IF(CA57=BO57,BP57,IF(CA57=BS57,BT57,IF(CA57=BW57,BX57,0)))</f>
        <v>3</v>
      </c>
      <c r="CC57">
        <f>IF(CA57=BO57,BQ57,IF(CA57=BS57,BU57,IF(CA57=BW57,BY57,0)))</f>
        <v>19.523230000000002</v>
      </c>
      <c r="CD57">
        <f t="shared" si="9"/>
        <v>0</v>
      </c>
      <c r="CE57">
        <f t="shared" si="10"/>
        <v>0.46698333333333297</v>
      </c>
      <c r="CF57">
        <f>IF(CE57=BO57,BP57,IF(CE57=BS57,BT57,IF(CE57=BW57,BX57,IF(CE57=CA57,CB57,0))))</f>
        <v>3</v>
      </c>
      <c r="CG57">
        <f>IF(CE57=BO57,BQ57,IF(CE57=BS57,BU57,IF(CE57=BW57,BY57,IF(CE57=CA57,CC57,0))))</f>
        <v>19.523230000000002</v>
      </c>
      <c r="CH57">
        <f t="shared" si="11"/>
        <v>0</v>
      </c>
      <c r="CI57">
        <f t="shared" si="12"/>
        <v>0.46698333333333297</v>
      </c>
      <c r="CJ57">
        <f>IF(CI57=BO57,BP57,IF(CI57=BS57,BT57,IF(CI57=BW57,BX57,IF(CI57=CA57,CB57,IF(CI57=CE57,CF57,0)))))</f>
        <v>3</v>
      </c>
      <c r="CK57">
        <f>IF(CI57=BO57,BQ57,IF(CI57=BS57,BU57,IF(CI57=BW57,BY57,IF(CI57=CA57,CC57,IF(CI57=CE57,CG57,0)))))</f>
        <v>19.523230000000002</v>
      </c>
      <c r="CL57">
        <f t="shared" si="13"/>
        <v>0</v>
      </c>
      <c r="CM57">
        <f t="shared" si="14"/>
        <v>0.46698333333333297</v>
      </c>
      <c r="CN57">
        <f>IF(CM57=BO57,BP57,IF(CM57=BS57,BT57,IF(CM57=BW57,BX57,IF(CM57=CA57,CB57,IF(CM57=CE57,CF57,IF(CM57=CI57,CJ57,0))))))</f>
        <v>3</v>
      </c>
      <c r="CO57">
        <f>IF(CM57=BO57,BQ57,IF(CM57=BS57,BU57,IF(CM57=BW57,BY57,IF(CM57=CA57,CC57,IF(CM57=CE57,CG57,IF(CM57=CI57,CK57,0))))))</f>
        <v>19.523230000000002</v>
      </c>
      <c r="CP57">
        <f t="shared" si="15"/>
        <v>0</v>
      </c>
      <c r="CQ57">
        <f t="shared" si="16"/>
        <v>0.46698333333333297</v>
      </c>
      <c r="CR57">
        <f>IF(CQ57=BO57,BP57,IF(CQ57=BS57,BT57,IF(CQ57=BW57,BX57,IF(CQ57=CA57,CB57,IF(CQ57=CE57,CF57,IF(CQ57=CI57,CJ57,IF(CQ57=CM57,CN57,0)))))))</f>
        <v>3</v>
      </c>
      <c r="CS57">
        <f>IF(CQ57=BO57,BQ57,IF(CQ57=BS57,BU57,IF(CQ57=BW57,BY57,IF(CQ57=CA57,CC57,IF(CQ57=CE57,CG57,IF(CQ57=CI57,CK57,IF(CQ57=CM57,CO57,0)))))))</f>
        <v>19.523230000000002</v>
      </c>
      <c r="CT57">
        <f t="shared" si="17"/>
        <v>0</v>
      </c>
      <c r="CU57">
        <f t="shared" si="18"/>
        <v>0.46698333333333297</v>
      </c>
      <c r="CV57">
        <f>IF(CU57=BO57,BP57,IF(CU57=BS57,BT57,IF(CU57=BW57,BX57,IF(CU57=CA57,CB57,IF(CU57=CE57,CF57,IF(CU57=CI57,CJ57,IF(CU57=CM57,CN57,IF(CU57=CQ57,CR57,0))))))))</f>
        <v>3</v>
      </c>
      <c r="CW57">
        <f>IF(CU57=BO57,BQ57,IF(CU57=BS57,BU57,IF(CU57=BW57,BY57,IF(CU57=CA57,CC57,IF(CU57=CE57,CG57,IF(CU57=CI57,CK57,IF(CU57=CM57,CO57,IF(CU57=CQ57,CS57,0))))))))</f>
        <v>19.523230000000002</v>
      </c>
      <c r="CX57">
        <f t="shared" si="19"/>
        <v>0</v>
      </c>
      <c r="CY57">
        <f t="shared" si="20"/>
        <v>0.46698333333333297</v>
      </c>
      <c r="CZ57">
        <f>IF(CY57=BO57,BP57,IF(CY57=BS57,BT57,IF(CY57=BW57,BX57,IF(CY57=CA57,CB57,IF(CY57=CE57,CF57,IF(CY57=CI57,CJ57,IF(CY57=CM57,CN57,IF(CY57=CQ57,CR57,IF(CY57=CU57,CV57,0)))))))))</f>
        <v>3</v>
      </c>
      <c r="DA57">
        <f>IF(CY57=BO57,BQ57,IF(CY57=BS57,BU57,IF(CY57=BW57,BY57,IF(CY57=CA57,CC57,IF(CY57=CE57,CG57,IF(CY57=CI57,CK57,IF(CY57=CM57,CO57,IF(CY57=CQ57,CS57,IF(CY57=CU57,CW57,0)))))))))</f>
        <v>19.523230000000002</v>
      </c>
      <c r="DB57">
        <f t="shared" si="21"/>
        <v>0</v>
      </c>
      <c r="DC57">
        <f t="shared" si="22"/>
        <v>0.46698333333333297</v>
      </c>
      <c r="DD57">
        <f>IF(DC57=BO57,BP57,IF(DC57=BS57,BT57,IF(DC57=BW57,BX57,IF(DC57=CA57,CB57,IF(DC57=CE57,CF57,IF(DC57=CI57,CJ57,IF(DC57=CM57,CN57,IF(DC57=CQ57,CR57,IF(DC57=CU57,CV57,IF(DC57=CY57,CZ57,0))))))))))</f>
        <v>3</v>
      </c>
      <c r="DE57">
        <f>IF(DC57=BO57,BQ57,IF(DC57=BS57,BU57,IF(DC57=BW57,BY57,IF(DC57=CA57,CC57,IF(DC57=CE57,CG57,IF(DC57=CI57,CK57,IF(DC57=CM57,CO57,IF(DC57=CQ57,CS57,IF(DC57=CU57,CW57,IF(DC57=CY57,DA57,0))))))))))</f>
        <v>19.523230000000002</v>
      </c>
      <c r="DF57">
        <f t="shared" si="23"/>
        <v>0</v>
      </c>
      <c r="DG57">
        <f t="shared" si="24"/>
        <v>0.46698333333333297</v>
      </c>
      <c r="DH57">
        <f>IF(DG57=BO57,BP57,IF(DG57=BS57,BT57,IF(DG57=BW57,BX57,IF(DG57=CA57,CB57,IF(DG57=CE57,CF57,IF(DG57=CI57,CJ57,IF(DG57=CM57,CN57,IF(DG57=CQ57,CR57,IF(DG57=CU57,CV57,IF(DG57=CY57,CZ57,IF(DG57=DC57,DD57,0)))))))))))</f>
        <v>3</v>
      </c>
      <c r="DI57">
        <f>IF(DG57=BO57,BQ57,IF(DG57=BS57,BU57,IF(DG57=BW57,BY57,IF(DG57=CA57,CC57,IF(DG57=CE57,CG57,IF(DG57=CI57,CK57,IF(DG57=CM57,CO57,IF(DG57=CQ57,CS57,IF(DG57=CU57,CW57,IF(DG57=CY57,DA57,IF(DG57=DC57,DE57,0)))))))))))</f>
        <v>19.523230000000002</v>
      </c>
      <c r="DJ57">
        <f t="shared" si="25"/>
        <v>0</v>
      </c>
      <c r="DK57">
        <f t="shared" si="26"/>
        <v>0.46698333333333297</v>
      </c>
      <c r="DL57">
        <f>IF(DK57=BO57,BP57,IF(DK57=BS57,BT57,IF(DK57=BW57,BX57,IF(DK57=CA57,CB57,IF(DK57=CE57,CF57,IF(DK57=CI57,CJ57,IF(DK57=CM57,CN57,IF(DK57=CQ57,CR57,IF(DK57=CU57,CV57,IF(DK57=CY57,CZ57,IF(DK57=DC57,DD57,IF(DK57=DG57,DH57,0))))))))))))</f>
        <v>3</v>
      </c>
      <c r="DM57">
        <f>IF(DK57=BO57,BQ57,IF(DK57=BS57,BU57,IF(DK57=BW57,BY57,IF(DK57=CA57,CC57,IF(DK57=CE57,CG57,IF(DK57=CI57,CK57,IF(DK57=CM57,CO57,IF(DK57=CQ57,CS57,IF(DK57=CU57,CW57,IF(DK57=CY57,DA57,IF(DK57=DC57,DE57,IF(DK57=DG57,DI57,0))))))))))))</f>
        <v>19.523230000000002</v>
      </c>
      <c r="DN57">
        <f t="shared" si="27"/>
        <v>0</v>
      </c>
      <c r="DO57">
        <f t="shared" si="28"/>
        <v>0.46698333333333297</v>
      </c>
      <c r="DP57">
        <f>IF(DO57=BO57,BP57,IF(DO57=BS57,BT57,IF(DO57=BW57,BX57,IF(DO57=CA57,CB57,IF(DO57=CE57,CF57,IF(DO57=CI57,CJ57,IF(DO57=CM57,CN57,IF(DO57=CQ57,CR57,IF(DO57=CU57,CV57,IF(DO57=CY57,CZ57,IF(DO57=DC57,DD57,IF(DO57=DG57,DH57,IF(DO57=DK57,DL57,0)))))))))))))</f>
        <v>3</v>
      </c>
      <c r="DQ57">
        <f>IF(DO57=BO57,BQ57,IF(DO57=BS57,BU57,IF(DO57=BW57,BY57,IF(DO57=CA57,CC57,IF(DO57=CE57,CG57,IF(DO57=CI57,CK57,IF(DO57=CM57,CO57,IF(DO57=CQ57,CS57,IF(DO57=CU57,CW57,IF(DO57=CY57,DA57,IF(DO57=DC57,DE57,IF(DO57=DG57,DI57,IF(DO57=DK57,DM57,0)))))))))))))</f>
        <v>19.523230000000002</v>
      </c>
      <c r="DR57">
        <f t="shared" si="29"/>
        <v>0</v>
      </c>
      <c r="DS57">
        <f t="shared" si="30"/>
        <v>0.46698333333333297</v>
      </c>
      <c r="DT57">
        <f>IF(DS57=BO57,BP57,IF(DS57=BS57,BT57,IF(DS57=BW57,BX57,IF(DS57=CA57,CB57,IF(DS57=CE57,CF57,IF(DS57=CI57,CJ57,IF(DS57=CM57,CN57,IF(DS57=CQ57,CR57,IF(DS57=CU57,CV57,IF(DS57=CY57,CZ57,IF(DS57=DC57,DD57,IF(DS57=DG57,DH57,IF(DS57=DK57,DL57,IF(DS57=DO57,DP57,0))))))))))))))</f>
        <v>3</v>
      </c>
      <c r="DU57">
        <f>IF(DS57=BO57,BQ57,IF(DS57=BS57,BU57,IF(DS57=BW57,BY57,IF(DS57=CA57,CC57,IF(DS57=CE57,CG57,IF(DS57=CI57,CK57,IF(DS57=CM57,CO57,IF(DS57=CQ57,CS57,IF(DS57=CU57,CW57,IF(DS57=CY57,DA57,IF(DS57=DC57,DE57,IF(DS57=DG57,DI57,IF(DS57=DK57,DM57,IF(DS57=DO57,DQ57,0))))))))))))))</f>
        <v>19.523230000000002</v>
      </c>
      <c r="DV57">
        <f t="shared" si="31"/>
        <v>0</v>
      </c>
      <c r="DW57">
        <v>22500.5</v>
      </c>
      <c r="DX57">
        <v>4</v>
      </c>
      <c r="DY57">
        <v>0</v>
      </c>
      <c r="DZ57">
        <v>6</v>
      </c>
      <c r="EA57">
        <v>6</v>
      </c>
      <c r="EB57">
        <v>10.114099490560401</v>
      </c>
      <c r="EC57">
        <v>1.5</v>
      </c>
      <c r="ED57">
        <v>4.4697161000000003</v>
      </c>
      <c r="EE57">
        <v>0.46698333333333297</v>
      </c>
      <c r="EF57">
        <v>19.523230000000002</v>
      </c>
      <c r="EG57">
        <v>13.3775749595333</v>
      </c>
      <c r="EH57">
        <v>3</v>
      </c>
      <c r="EI57">
        <v>0</v>
      </c>
      <c r="EJ57">
        <v>2.5380199000000001</v>
      </c>
      <c r="EK57">
        <v>1</v>
      </c>
      <c r="EL57">
        <v>0</v>
      </c>
      <c r="EM57">
        <v>42</v>
      </c>
      <c r="EN57">
        <v>0</v>
      </c>
      <c r="EO57">
        <v>4</v>
      </c>
      <c r="EP57">
        <v>6</v>
      </c>
      <c r="EQ57">
        <v>2</v>
      </c>
      <c r="ER57">
        <v>14.1987814663817</v>
      </c>
      <c r="ES57">
        <v>15.0197865636156</v>
      </c>
      <c r="ET57">
        <v>19.4895026636156</v>
      </c>
      <c r="EU57">
        <v>13.261188596884899</v>
      </c>
      <c r="EV57">
        <v>15.7992084968849</v>
      </c>
      <c r="EW57">
        <v>2.7807572</v>
      </c>
      <c r="EX57">
        <v>14.432193657265101</v>
      </c>
      <c r="EY57">
        <v>17.212950857265099</v>
      </c>
      <c r="EZ57">
        <v>2.5380199000000001</v>
      </c>
      <c r="FA57">
        <v>13.261188596884899</v>
      </c>
      <c r="FB57">
        <v>15.7992084968849</v>
      </c>
      <c r="FC57">
        <v>2.5380199000000001</v>
      </c>
      <c r="FD57">
        <v>13.261188596884899</v>
      </c>
      <c r="FE57">
        <v>15.7992084968849</v>
      </c>
      <c r="FF57">
        <v>2.7279265000000001</v>
      </c>
      <c r="FG57">
        <v>13.678869418354299</v>
      </c>
      <c r="FH57">
        <v>16.406795918354302</v>
      </c>
    </row>
    <row r="58" spans="1:164" x14ac:dyDescent="0.2">
      <c r="A58">
        <v>57</v>
      </c>
      <c r="B58">
        <v>67</v>
      </c>
      <c r="C58">
        <v>116</v>
      </c>
      <c r="D58">
        <v>1</v>
      </c>
      <c r="E58">
        <v>11</v>
      </c>
      <c r="F58" t="s">
        <v>101</v>
      </c>
      <c r="G58" t="s">
        <v>122</v>
      </c>
      <c r="H58">
        <v>3</v>
      </c>
      <c r="I58">
        <v>1</v>
      </c>
      <c r="K58" t="s">
        <v>175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10</v>
      </c>
      <c r="V58">
        <v>25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5</v>
      </c>
      <c r="AE58">
        <v>40</v>
      </c>
      <c r="AF58">
        <v>20</v>
      </c>
      <c r="AG58">
        <v>20</v>
      </c>
      <c r="AH58">
        <v>5</v>
      </c>
      <c r="AI58">
        <v>0.100186111111111</v>
      </c>
      <c r="AJ58">
        <v>1.81796</v>
      </c>
      <c r="AK58">
        <v>0.39201111111111098</v>
      </c>
      <c r="AL58">
        <v>23.15277</v>
      </c>
      <c r="AM58">
        <v>0.286122222222222</v>
      </c>
      <c r="AN58">
        <v>20.68262</v>
      </c>
      <c r="AO58">
        <v>0.28226388888888898</v>
      </c>
      <c r="AP58">
        <v>18.30913</v>
      </c>
      <c r="AQ58">
        <v>0.30556388888888902</v>
      </c>
      <c r="AR58">
        <v>18.63702</v>
      </c>
      <c r="AS58">
        <v>0.27074999999999999</v>
      </c>
      <c r="AT58">
        <v>15.13716</v>
      </c>
      <c r="AU58">
        <v>0.17009444444444399</v>
      </c>
      <c r="AV58">
        <v>9.6016200000000005</v>
      </c>
      <c r="AW58">
        <v>0.14537222222222199</v>
      </c>
      <c r="AX58">
        <v>7.5754400000000004</v>
      </c>
      <c r="AY58">
        <v>0.115452777777778</v>
      </c>
      <c r="AZ58">
        <v>4.3986200000000002</v>
      </c>
      <c r="BA58">
        <v>0.100444444444444</v>
      </c>
      <c r="BB58">
        <v>3.8156400000000001</v>
      </c>
      <c r="BC58">
        <v>3.9919444444444403E-2</v>
      </c>
      <c r="BD58">
        <v>0.60690999999999995</v>
      </c>
      <c r="BE58">
        <v>0.17330833333333301</v>
      </c>
      <c r="BF58">
        <v>8.8085000000000004</v>
      </c>
      <c r="BG58">
        <v>0.237183333333333</v>
      </c>
      <c r="BH58">
        <v>12.211349999999999</v>
      </c>
      <c r="BI58">
        <v>0.28100833333333303</v>
      </c>
      <c r="BJ58">
        <v>14.185269999999999</v>
      </c>
      <c r="BK58">
        <v>0.34915000000000002</v>
      </c>
      <c r="BL58">
        <v>21.000920000000001</v>
      </c>
      <c r="BM58">
        <v>0.39065277777777802</v>
      </c>
      <c r="BN58">
        <v>22.993600000000001</v>
      </c>
      <c r="BO58">
        <f t="shared" si="0"/>
        <v>3.9919444444444403E-2</v>
      </c>
      <c r="BP58">
        <v>10</v>
      </c>
      <c r="BQ58">
        <v>0.60690999999999995</v>
      </c>
      <c r="BR58">
        <f t="shared" si="1"/>
        <v>0</v>
      </c>
      <c r="BS58">
        <f t="shared" si="2"/>
        <v>3.9919444444444403E-2</v>
      </c>
      <c r="BT58">
        <f t="shared" si="3"/>
        <v>10</v>
      </c>
      <c r="BU58">
        <f t="shared" si="4"/>
        <v>0.60690999999999995</v>
      </c>
      <c r="BV58">
        <f t="shared" si="5"/>
        <v>0</v>
      </c>
      <c r="BW58">
        <f t="shared" si="6"/>
        <v>3.9919444444444403E-2</v>
      </c>
      <c r="BX58">
        <f t="shared" si="32"/>
        <v>10</v>
      </c>
      <c r="BY58">
        <f t="shared" si="33"/>
        <v>0.60690999999999995</v>
      </c>
      <c r="BZ58">
        <f t="shared" si="7"/>
        <v>0</v>
      </c>
      <c r="CA58">
        <f t="shared" si="8"/>
        <v>3.9919444444444403E-2</v>
      </c>
      <c r="CB58">
        <f>IF(CA58=BO58,BP58,IF(CA58=BS58,BT58,IF(CA58=BW58,BX58,0)))</f>
        <v>10</v>
      </c>
      <c r="CC58">
        <f>IF(CA58=BO58,BQ58,IF(CA58=BS58,BU58,IF(CA58=BW58,BY58,0)))</f>
        <v>0.60690999999999995</v>
      </c>
      <c r="CD58">
        <f t="shared" si="9"/>
        <v>0</v>
      </c>
      <c r="CE58">
        <f t="shared" si="10"/>
        <v>3.9919444444444403E-2</v>
      </c>
      <c r="CF58">
        <f>IF(CE58=BO58,BP58,IF(CE58=BS58,BT58,IF(CE58=BW58,BX58,IF(CE58=CA58,CB58,0))))</f>
        <v>10</v>
      </c>
      <c r="CG58">
        <f>IF(CE58=BO58,BQ58,IF(CE58=BS58,BU58,IF(CE58=BW58,BY58,IF(CE58=CA58,CC58,0))))</f>
        <v>0.60690999999999995</v>
      </c>
      <c r="CH58">
        <f t="shared" si="11"/>
        <v>0</v>
      </c>
      <c r="CI58">
        <f t="shared" si="12"/>
        <v>3.9919444444444403E-2</v>
      </c>
      <c r="CJ58">
        <f>IF(CI58=BO58,BP58,IF(CI58=BS58,BT58,IF(CI58=BW58,BX58,IF(CI58=CA58,CB58,IF(CI58=CE58,CF58,0)))))</f>
        <v>10</v>
      </c>
      <c r="CK58">
        <f>IF(CI58=BO58,BQ58,IF(CI58=BS58,BU58,IF(CI58=BW58,BY58,IF(CI58=CA58,CC58,IF(CI58=CE58,CG58,0)))))</f>
        <v>0.60690999999999995</v>
      </c>
      <c r="CL58">
        <f t="shared" si="13"/>
        <v>0</v>
      </c>
      <c r="CM58">
        <f t="shared" si="14"/>
        <v>3.9919444444444403E-2</v>
      </c>
      <c r="CN58">
        <f>IF(CM58=BO58,BP58,IF(CM58=BS58,BT58,IF(CM58=BW58,BX58,IF(CM58=CA58,CB58,IF(CM58=CE58,CF58,IF(CM58=CI58,CJ58,0))))))</f>
        <v>10</v>
      </c>
      <c r="CO58">
        <f>IF(CM58=BO58,BQ58,IF(CM58=BS58,BU58,IF(CM58=BW58,BY58,IF(CM58=CA58,CC58,IF(CM58=CE58,CG58,IF(CM58=CI58,CK58,0))))))</f>
        <v>0.60690999999999995</v>
      </c>
      <c r="CP58">
        <f t="shared" si="15"/>
        <v>0</v>
      </c>
      <c r="CQ58">
        <f t="shared" si="16"/>
        <v>3.9919444444444403E-2</v>
      </c>
      <c r="CR58">
        <f>IF(CQ58=BO58,BP58,IF(CQ58=BS58,BT58,IF(CQ58=BW58,BX58,IF(CQ58=CA58,CB58,IF(CQ58=CE58,CF58,IF(CQ58=CI58,CJ58,IF(CQ58=CM58,CN58,0)))))))</f>
        <v>10</v>
      </c>
      <c r="CS58">
        <f>IF(CQ58=BO58,BQ58,IF(CQ58=BS58,BU58,IF(CQ58=BW58,BY58,IF(CQ58=CA58,CC58,IF(CQ58=CE58,CG58,IF(CQ58=CI58,CK58,IF(CQ58=CM58,CO58,0)))))))</f>
        <v>0.60690999999999995</v>
      </c>
      <c r="CT58">
        <f t="shared" si="17"/>
        <v>0</v>
      </c>
      <c r="CU58">
        <f t="shared" si="18"/>
        <v>3.9919444444444403E-2</v>
      </c>
      <c r="CV58">
        <f>IF(CU58=BO58,BP58,IF(CU58=BS58,BT58,IF(CU58=BW58,BX58,IF(CU58=CA58,CB58,IF(CU58=CE58,CF58,IF(CU58=CI58,CJ58,IF(CU58=CM58,CN58,IF(CU58=CQ58,CR58,0))))))))</f>
        <v>10</v>
      </c>
      <c r="CW58">
        <f>IF(CU58=BO58,BQ58,IF(CU58=BS58,BU58,IF(CU58=BW58,BY58,IF(CU58=CA58,CC58,IF(CU58=CE58,CG58,IF(CU58=CI58,CK58,IF(CU58=CM58,CO58,IF(CU58=CQ58,CS58,0))))))))</f>
        <v>0.60690999999999995</v>
      </c>
      <c r="CX58">
        <f t="shared" si="19"/>
        <v>0</v>
      </c>
      <c r="CY58">
        <f t="shared" si="20"/>
        <v>0.100186111111111</v>
      </c>
      <c r="CZ58" t="s">
        <v>407</v>
      </c>
      <c r="DA58">
        <v>1.81796</v>
      </c>
      <c r="DB58">
        <v>4</v>
      </c>
      <c r="DC58">
        <f t="shared" si="22"/>
        <v>3.9919444444444403E-2</v>
      </c>
      <c r="DD58">
        <f>IF(DC58=BO58,BP58,IF(DC58=BS58,BT58,IF(DC58=BW58,BX58,IF(DC58=CA58,CB58,IF(DC58=CE58,CF58,IF(DC58=CI58,CJ58,IF(DC58=CM58,CN58,IF(DC58=CQ58,CR58,IF(DC58=CU58,CV58,IF(DC58=CY58,CZ58,0))))))))))</f>
        <v>10</v>
      </c>
      <c r="DE58">
        <f>IF(DC58=BO58,BQ58,IF(DC58=BS58,BU58,IF(DC58=BW58,BY58,IF(DC58=CA58,CC58,IF(DC58=CE58,CG58,IF(DC58=CI58,CK58,IF(DC58=CM58,CO58,IF(DC58=CQ58,CS58,IF(DC58=CU58,CW58,IF(DC58=CY58,DA58,0))))))))))</f>
        <v>0.60690999999999995</v>
      </c>
      <c r="DF58">
        <f t="shared" si="23"/>
        <v>0</v>
      </c>
      <c r="DG58">
        <f t="shared" si="24"/>
        <v>3.9919444444444403E-2</v>
      </c>
      <c r="DH58">
        <f>IF(DG58=BO58,BP58,IF(DG58=BS58,BT58,IF(DG58=BW58,BX58,IF(DG58=CA58,CB58,IF(DG58=CE58,CF58,IF(DG58=CI58,CJ58,IF(DG58=CM58,CN58,IF(DG58=CQ58,CR58,IF(DG58=CU58,CV58,IF(DG58=CY58,CZ58,IF(DG58=DC58,DD58,0)))))))))))</f>
        <v>10</v>
      </c>
      <c r="DI58">
        <f>IF(DG58=BO58,BQ58,IF(DG58=BS58,BU58,IF(DG58=BW58,BY58,IF(DG58=CA58,CC58,IF(DG58=CE58,CG58,IF(DG58=CI58,CK58,IF(DG58=CM58,CO58,IF(DG58=CQ58,CS58,IF(DG58=CU58,CW58,IF(DG58=CY58,DA58,IF(DG58=DC58,DE58,0)))))))))))</f>
        <v>0.60690999999999995</v>
      </c>
      <c r="DJ58">
        <f t="shared" si="25"/>
        <v>0</v>
      </c>
      <c r="DK58">
        <f t="shared" si="26"/>
        <v>3.9919444444444403E-2</v>
      </c>
      <c r="DL58">
        <f>IF(DK58=BO58,BP58,IF(DK58=BS58,BT58,IF(DK58=BW58,BX58,IF(DK58=CA58,CB58,IF(DK58=CE58,CF58,IF(DK58=CI58,CJ58,IF(DK58=CM58,CN58,IF(DK58=CQ58,CR58,IF(DK58=CU58,CV58,IF(DK58=CY58,CZ58,IF(DK58=DC58,DD58,IF(DK58=DG58,DH58,0))))))))))))</f>
        <v>10</v>
      </c>
      <c r="DM58">
        <f>IF(DK58=BO58,BQ58,IF(DK58=BS58,BU58,IF(DK58=BW58,BY58,IF(DK58=CA58,CC58,IF(DK58=CE58,CG58,IF(DK58=CI58,CK58,IF(DK58=CM58,CO58,IF(DK58=CQ58,CS58,IF(DK58=CU58,CW58,IF(DK58=CY58,DA58,IF(DK58=DC58,DE58,IF(DK58=DG58,DI58,0))))))))))))</f>
        <v>0.60690999999999995</v>
      </c>
      <c r="DN58">
        <f t="shared" si="27"/>
        <v>0</v>
      </c>
      <c r="DO58">
        <f t="shared" si="28"/>
        <v>3.9919444444444403E-2</v>
      </c>
      <c r="DP58">
        <f>IF(DO58=BO58,BP58,IF(DO58=BS58,BT58,IF(DO58=BW58,BX58,IF(DO58=CA58,CB58,IF(DO58=CE58,CF58,IF(DO58=CI58,CJ58,IF(DO58=CM58,CN58,IF(DO58=CQ58,CR58,IF(DO58=CU58,CV58,IF(DO58=CY58,CZ58,IF(DO58=DC58,DD58,IF(DO58=DG58,DH58,IF(DO58=DK58,DL58,0)))))))))))))</f>
        <v>10</v>
      </c>
      <c r="DQ58">
        <f>IF(DO58=BO58,BQ58,IF(DO58=BS58,BU58,IF(DO58=BW58,BY58,IF(DO58=CA58,CC58,IF(DO58=CE58,CG58,IF(DO58=CI58,CK58,IF(DO58=CM58,CO58,IF(DO58=CQ58,CS58,IF(DO58=CU58,CW58,IF(DO58=CY58,DA58,IF(DO58=DC58,DE58,IF(DO58=DG58,DI58,IF(DO58=DK58,DM58,0)))))))))))))</f>
        <v>0.60690999999999995</v>
      </c>
      <c r="DR58">
        <f t="shared" si="29"/>
        <v>0</v>
      </c>
      <c r="DS58">
        <f t="shared" si="30"/>
        <v>3.9919444444444403E-2</v>
      </c>
      <c r="DT58">
        <f>IF(DS58=BO58,BP58,IF(DS58=BS58,BT58,IF(DS58=BW58,BX58,IF(DS58=CA58,CB58,IF(DS58=CE58,CF58,IF(DS58=CI58,CJ58,IF(DS58=CM58,CN58,IF(DS58=CQ58,CR58,IF(DS58=CU58,CV58,IF(DS58=CY58,CZ58,IF(DS58=DC58,DD58,IF(DS58=DG58,DH58,IF(DS58=DK58,DL58,IF(DS58=DO58,DP58,0))))))))))))))</f>
        <v>10</v>
      </c>
      <c r="DU58">
        <f>IF(DS58=BO58,BQ58,IF(DS58=BS58,BU58,IF(DS58=BW58,BY58,IF(DS58=CA58,CC58,IF(DS58=CE58,CG58,IF(DS58=CI58,CK58,IF(DS58=CM58,CO58,IF(DS58=CQ58,CS58,IF(DS58=CU58,CW58,IF(DS58=CY58,DA58,IF(DS58=DC58,DE58,IF(DS58=DG58,DI58,IF(DS58=DK58,DM58,IF(DS58=DO58,DQ58,0))))))))))))))</f>
        <v>0.60690999999999995</v>
      </c>
      <c r="DV58">
        <f t="shared" si="31"/>
        <v>0</v>
      </c>
      <c r="DW58">
        <v>31226.480769230799</v>
      </c>
      <c r="DX58">
        <v>3</v>
      </c>
      <c r="DY58">
        <v>25</v>
      </c>
      <c r="DZ58">
        <v>0</v>
      </c>
      <c r="EA58">
        <v>0</v>
      </c>
      <c r="EB58">
        <v>14.0364762223093</v>
      </c>
      <c r="EC58">
        <v>0</v>
      </c>
      <c r="ED58">
        <v>0.315113066666667</v>
      </c>
      <c r="EE58">
        <v>3.9919444444444403E-2</v>
      </c>
      <c r="EF58">
        <v>0.60690999999999995</v>
      </c>
      <c r="EG58">
        <v>2.9375857030205501</v>
      </c>
      <c r="EH58">
        <v>10</v>
      </c>
      <c r="EI58">
        <v>0</v>
      </c>
      <c r="EJ58">
        <v>0.105197733333333</v>
      </c>
      <c r="EK58">
        <v>1</v>
      </c>
      <c r="EL58">
        <v>24</v>
      </c>
      <c r="EM58">
        <v>44</v>
      </c>
      <c r="EN58">
        <v>1</v>
      </c>
      <c r="EO58">
        <v>4</v>
      </c>
      <c r="EP58">
        <v>5</v>
      </c>
      <c r="EQ58">
        <v>20</v>
      </c>
      <c r="ER58">
        <v>14.1987814663817</v>
      </c>
      <c r="ES58">
        <v>2.8450413952666</v>
      </c>
      <c r="ET58">
        <v>3.16015446193326</v>
      </c>
      <c r="EU58">
        <v>1.13361493585206</v>
      </c>
      <c r="EV58">
        <v>1.23881266918539</v>
      </c>
      <c r="EW58">
        <v>0.76242746666666705</v>
      </c>
      <c r="EX58">
        <v>3.2785775227067901</v>
      </c>
      <c r="EY58">
        <v>4.0410049893734596</v>
      </c>
      <c r="EZ58">
        <v>0.105197733333333</v>
      </c>
      <c r="FA58">
        <v>1.13361493585206</v>
      </c>
      <c r="FB58">
        <v>1.23881266918539</v>
      </c>
      <c r="FC58">
        <v>3.1735825333333301</v>
      </c>
      <c r="FD58">
        <v>8.0156065483687495</v>
      </c>
      <c r="FE58">
        <v>11.1891890817021</v>
      </c>
      <c r="FF58">
        <v>0.105197733333333</v>
      </c>
      <c r="FG58">
        <v>1.13361493585206</v>
      </c>
      <c r="FH58">
        <v>1.23881266918539</v>
      </c>
    </row>
    <row r="59" spans="1:164" x14ac:dyDescent="0.2">
      <c r="A59">
        <v>58</v>
      </c>
      <c r="B59">
        <v>68</v>
      </c>
      <c r="C59">
        <v>117</v>
      </c>
      <c r="D59">
        <v>1</v>
      </c>
      <c r="E59">
        <v>11</v>
      </c>
      <c r="F59" t="s">
        <v>146</v>
      </c>
      <c r="G59" t="s">
        <v>231</v>
      </c>
      <c r="H59">
        <v>3</v>
      </c>
      <c r="I59">
        <v>1</v>
      </c>
      <c r="K59" t="s">
        <v>175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4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3</v>
      </c>
      <c r="AE59">
        <v>8</v>
      </c>
      <c r="AF59">
        <v>4</v>
      </c>
      <c r="AG59">
        <v>7</v>
      </c>
      <c r="AH59">
        <v>4</v>
      </c>
      <c r="AI59">
        <v>0.100186111111111</v>
      </c>
      <c r="AJ59">
        <v>1.81796</v>
      </c>
      <c r="AK59">
        <v>0.39201111111111098</v>
      </c>
      <c r="AL59">
        <v>23.15277</v>
      </c>
      <c r="AM59">
        <v>0.286122222222222</v>
      </c>
      <c r="AN59">
        <v>20.68262</v>
      </c>
      <c r="AO59">
        <v>0.28226388888888898</v>
      </c>
      <c r="AP59">
        <v>18.30913</v>
      </c>
      <c r="AQ59">
        <v>0.30556388888888902</v>
      </c>
      <c r="AR59">
        <v>18.63702</v>
      </c>
      <c r="AS59">
        <v>0.27074999999999999</v>
      </c>
      <c r="AT59">
        <v>15.13716</v>
      </c>
      <c r="AU59">
        <v>0.17009444444444399</v>
      </c>
      <c r="AV59">
        <v>9.6016200000000005</v>
      </c>
      <c r="AW59">
        <v>0.14537222222222199</v>
      </c>
      <c r="AX59">
        <v>7.5754400000000004</v>
      </c>
      <c r="AY59">
        <v>0.115452777777778</v>
      </c>
      <c r="AZ59">
        <v>4.3986200000000002</v>
      </c>
      <c r="BA59">
        <v>0.100444444444444</v>
      </c>
      <c r="BB59">
        <v>3.8156400000000001</v>
      </c>
      <c r="BC59">
        <v>3.9919444444444403E-2</v>
      </c>
      <c r="BD59">
        <v>0.60690999999999995</v>
      </c>
      <c r="BE59">
        <v>0.17330833333333301</v>
      </c>
      <c r="BF59">
        <v>8.8085000000000004</v>
      </c>
      <c r="BG59">
        <v>0.237183333333333</v>
      </c>
      <c r="BH59">
        <v>12.211349999999999</v>
      </c>
      <c r="BI59">
        <v>0.28100833333333303</v>
      </c>
      <c r="BJ59">
        <v>14.185269999999999</v>
      </c>
      <c r="BK59">
        <v>0.34915000000000002</v>
      </c>
      <c r="BL59">
        <v>21.000920000000001</v>
      </c>
      <c r="BM59">
        <v>0.39065277777777802</v>
      </c>
      <c r="BN59">
        <v>22.993600000000001</v>
      </c>
      <c r="BO59">
        <f t="shared" si="0"/>
        <v>3.9919444444444403E-2</v>
      </c>
      <c r="BP59">
        <v>10</v>
      </c>
      <c r="BQ59">
        <v>0.60690999999999995</v>
      </c>
      <c r="BR59">
        <f t="shared" si="1"/>
        <v>0</v>
      </c>
      <c r="BS59">
        <f t="shared" si="2"/>
        <v>3.9919444444444403E-2</v>
      </c>
      <c r="BT59">
        <f t="shared" si="3"/>
        <v>10</v>
      </c>
      <c r="BU59">
        <f t="shared" si="4"/>
        <v>0.60690999999999995</v>
      </c>
      <c r="BV59">
        <f t="shared" si="5"/>
        <v>0</v>
      </c>
      <c r="BW59">
        <f t="shared" si="6"/>
        <v>3.9919444444444403E-2</v>
      </c>
      <c r="BX59">
        <f t="shared" si="32"/>
        <v>10</v>
      </c>
      <c r="BY59">
        <f t="shared" si="33"/>
        <v>0.60690999999999995</v>
      </c>
      <c r="BZ59">
        <f t="shared" si="7"/>
        <v>0</v>
      </c>
      <c r="CA59">
        <f t="shared" si="8"/>
        <v>3.9919444444444403E-2</v>
      </c>
      <c r="CB59">
        <f>IF(CA59=BO59,BP59,IF(CA59=BS59,BT59,IF(CA59=BW59,BX59,0)))</f>
        <v>10</v>
      </c>
      <c r="CC59">
        <f>IF(CA59=BO59,BQ59,IF(CA59=BS59,BU59,IF(CA59=BW59,BY59,0)))</f>
        <v>0.60690999999999995</v>
      </c>
      <c r="CD59">
        <f t="shared" si="9"/>
        <v>0</v>
      </c>
      <c r="CE59">
        <f t="shared" si="10"/>
        <v>3.9919444444444403E-2</v>
      </c>
      <c r="CF59">
        <f>IF(CE59=BO59,BP59,IF(CE59=BS59,BT59,IF(CE59=BW59,BX59,IF(CE59=CA59,CB59,0))))</f>
        <v>10</v>
      </c>
      <c r="CG59">
        <f>IF(CE59=BO59,BQ59,IF(CE59=BS59,BU59,IF(CE59=BW59,BY59,IF(CE59=CA59,CC59,0))))</f>
        <v>0.60690999999999995</v>
      </c>
      <c r="CH59">
        <f t="shared" si="11"/>
        <v>0</v>
      </c>
      <c r="CI59">
        <f t="shared" si="12"/>
        <v>3.9919444444444403E-2</v>
      </c>
      <c r="CJ59">
        <f>IF(CI59=BO59,BP59,IF(CI59=BS59,BT59,IF(CI59=BW59,BX59,IF(CI59=CA59,CB59,IF(CI59=CE59,CF59,0)))))</f>
        <v>10</v>
      </c>
      <c r="CK59">
        <f>IF(CI59=BO59,BQ59,IF(CI59=BS59,BU59,IF(CI59=BW59,BY59,IF(CI59=CA59,CC59,IF(CI59=CE59,CG59,0)))))</f>
        <v>0.60690999999999995</v>
      </c>
      <c r="CL59">
        <f t="shared" si="13"/>
        <v>0</v>
      </c>
      <c r="CM59">
        <f t="shared" si="14"/>
        <v>3.9919444444444403E-2</v>
      </c>
      <c r="CN59">
        <f>IF(CM59=BO59,BP59,IF(CM59=BS59,BT59,IF(CM59=BW59,BX59,IF(CM59=CA59,CB59,IF(CM59=CE59,CF59,IF(CM59=CI59,CJ59,0))))))</f>
        <v>10</v>
      </c>
      <c r="CO59">
        <f>IF(CM59=BO59,BQ59,IF(CM59=BS59,BU59,IF(CM59=BW59,BY59,IF(CM59=CA59,CC59,IF(CM59=CE59,CG59,IF(CM59=CI59,CK59,0))))))</f>
        <v>0.60690999999999995</v>
      </c>
      <c r="CP59">
        <f t="shared" si="15"/>
        <v>0</v>
      </c>
      <c r="CQ59">
        <f t="shared" si="16"/>
        <v>3.9919444444444403E-2</v>
      </c>
      <c r="CR59">
        <f>IF(CQ59=BO59,BP59,IF(CQ59=BS59,BT59,IF(CQ59=BW59,BX59,IF(CQ59=CA59,CB59,IF(CQ59=CE59,CF59,IF(CQ59=CI59,CJ59,IF(CQ59=CM59,CN59,0)))))))</f>
        <v>10</v>
      </c>
      <c r="CS59">
        <f>IF(CQ59=BO59,BQ59,IF(CQ59=BS59,BU59,IF(CQ59=BW59,BY59,IF(CQ59=CA59,CC59,IF(CQ59=CE59,CG59,IF(CQ59=CI59,CK59,IF(CQ59=CM59,CO59,0)))))))</f>
        <v>0.60690999999999995</v>
      </c>
      <c r="CT59">
        <f t="shared" si="17"/>
        <v>0</v>
      </c>
      <c r="CU59">
        <f t="shared" si="18"/>
        <v>3.9919444444444403E-2</v>
      </c>
      <c r="CV59">
        <f>IF(CU59=BO59,BP59,IF(CU59=BS59,BT59,IF(CU59=BW59,BX59,IF(CU59=CA59,CB59,IF(CU59=CE59,CF59,IF(CU59=CI59,CJ59,IF(CU59=CM59,CN59,IF(CU59=CQ59,CR59,0))))))))</f>
        <v>10</v>
      </c>
      <c r="CW59">
        <f>IF(CU59=BO59,BQ59,IF(CU59=BS59,BU59,IF(CU59=BW59,BY59,IF(CU59=CA59,CC59,IF(CU59=CE59,CG59,IF(CU59=CI59,CK59,IF(CU59=CM59,CO59,IF(CU59=CQ59,CS59,0))))))))</f>
        <v>0.60690999999999995</v>
      </c>
      <c r="CX59">
        <f t="shared" si="19"/>
        <v>0</v>
      </c>
      <c r="CY59">
        <f t="shared" si="20"/>
        <v>0.100186111111111</v>
      </c>
      <c r="CZ59" t="s">
        <v>407</v>
      </c>
      <c r="DA59">
        <v>1.81796</v>
      </c>
      <c r="DB59">
        <v>4</v>
      </c>
      <c r="DC59">
        <f t="shared" si="22"/>
        <v>3.9919444444444403E-2</v>
      </c>
      <c r="DD59">
        <f>IF(DC59=BO59,BP59,IF(DC59=BS59,BT59,IF(DC59=BW59,BX59,IF(DC59=CA59,CB59,IF(DC59=CE59,CF59,IF(DC59=CI59,CJ59,IF(DC59=CM59,CN59,IF(DC59=CQ59,CR59,IF(DC59=CU59,CV59,IF(DC59=CY59,CZ59,0))))))))))</f>
        <v>10</v>
      </c>
      <c r="DE59">
        <f>IF(DC59=BO59,BQ59,IF(DC59=BS59,BU59,IF(DC59=BW59,BY59,IF(DC59=CA59,CC59,IF(DC59=CE59,CG59,IF(DC59=CI59,CK59,IF(DC59=CM59,CO59,IF(DC59=CQ59,CS59,IF(DC59=CU59,CW59,IF(DC59=CY59,DA59,0))))))))))</f>
        <v>0.60690999999999995</v>
      </c>
      <c r="DF59">
        <f t="shared" si="23"/>
        <v>0</v>
      </c>
      <c r="DG59">
        <f t="shared" si="24"/>
        <v>3.9919444444444403E-2</v>
      </c>
      <c r="DH59">
        <f>IF(DG59=BO59,BP59,IF(DG59=BS59,BT59,IF(DG59=BW59,BX59,IF(DG59=CA59,CB59,IF(DG59=CE59,CF59,IF(DG59=CI59,CJ59,IF(DG59=CM59,CN59,IF(DG59=CQ59,CR59,IF(DG59=CU59,CV59,IF(DG59=CY59,CZ59,IF(DG59=DC59,DD59,0)))))))))))</f>
        <v>10</v>
      </c>
      <c r="DI59">
        <f>IF(DG59=BO59,BQ59,IF(DG59=BS59,BU59,IF(DG59=BW59,BY59,IF(DG59=CA59,CC59,IF(DG59=CE59,CG59,IF(DG59=CI59,CK59,IF(DG59=CM59,CO59,IF(DG59=CQ59,CS59,IF(DG59=CU59,CW59,IF(DG59=CY59,DA59,IF(DG59=DC59,DE59,0)))))))))))</f>
        <v>0.60690999999999995</v>
      </c>
      <c r="DJ59">
        <f t="shared" si="25"/>
        <v>0</v>
      </c>
      <c r="DK59">
        <f t="shared" si="26"/>
        <v>3.9919444444444403E-2</v>
      </c>
      <c r="DL59">
        <f>IF(DK59=BO59,BP59,IF(DK59=BS59,BT59,IF(DK59=BW59,BX59,IF(DK59=CA59,CB59,IF(DK59=CE59,CF59,IF(DK59=CI59,CJ59,IF(DK59=CM59,CN59,IF(DK59=CQ59,CR59,IF(DK59=CU59,CV59,IF(DK59=CY59,CZ59,IF(DK59=DC59,DD59,IF(DK59=DG59,DH59,0))))))))))))</f>
        <v>10</v>
      </c>
      <c r="DM59">
        <f>IF(DK59=BO59,BQ59,IF(DK59=BS59,BU59,IF(DK59=BW59,BY59,IF(DK59=CA59,CC59,IF(DK59=CE59,CG59,IF(DK59=CI59,CK59,IF(DK59=CM59,CO59,IF(DK59=CQ59,CS59,IF(DK59=CU59,CW59,IF(DK59=CY59,DA59,IF(DK59=DC59,DE59,IF(DK59=DG59,DI59,0))))))))))))</f>
        <v>0.60690999999999995</v>
      </c>
      <c r="DN59">
        <f t="shared" si="27"/>
        <v>0</v>
      </c>
      <c r="DO59">
        <f t="shared" si="28"/>
        <v>3.9919444444444403E-2</v>
      </c>
      <c r="DP59">
        <f>IF(DO59=BO59,BP59,IF(DO59=BS59,BT59,IF(DO59=BW59,BX59,IF(DO59=CA59,CB59,IF(DO59=CE59,CF59,IF(DO59=CI59,CJ59,IF(DO59=CM59,CN59,IF(DO59=CQ59,CR59,IF(DO59=CU59,CV59,IF(DO59=CY59,CZ59,IF(DO59=DC59,DD59,IF(DO59=DG59,DH59,IF(DO59=DK59,DL59,0)))))))))))))</f>
        <v>10</v>
      </c>
      <c r="DQ59">
        <f>IF(DO59=BO59,BQ59,IF(DO59=BS59,BU59,IF(DO59=BW59,BY59,IF(DO59=CA59,CC59,IF(DO59=CE59,CG59,IF(DO59=CI59,CK59,IF(DO59=CM59,CO59,IF(DO59=CQ59,CS59,IF(DO59=CU59,CW59,IF(DO59=CY59,DA59,IF(DO59=DC59,DE59,IF(DO59=DG59,DI59,IF(DO59=DK59,DM59,0)))))))))))))</f>
        <v>0.60690999999999995</v>
      </c>
      <c r="DR59">
        <f t="shared" si="29"/>
        <v>0</v>
      </c>
      <c r="DS59">
        <f t="shared" si="30"/>
        <v>3.9919444444444403E-2</v>
      </c>
      <c r="DT59">
        <f>IF(DS59=BO59,BP59,IF(DS59=BS59,BT59,IF(DS59=BW59,BX59,IF(DS59=CA59,CB59,IF(DS59=CE59,CF59,IF(DS59=CI59,CJ59,IF(DS59=CM59,CN59,IF(DS59=CQ59,CR59,IF(DS59=CU59,CV59,IF(DS59=CY59,CZ59,IF(DS59=DC59,DD59,IF(DS59=DG59,DH59,IF(DS59=DK59,DL59,IF(DS59=DO59,DP59,0))))))))))))))</f>
        <v>10</v>
      </c>
      <c r="DU59">
        <f>IF(DS59=BO59,BQ59,IF(DS59=BS59,BU59,IF(DS59=BW59,BY59,IF(DS59=CA59,CC59,IF(DS59=CE59,CG59,IF(DS59=CI59,CK59,IF(DS59=CM59,CO59,IF(DS59=CQ59,CS59,IF(DS59=CU59,CW59,IF(DS59=CY59,DA59,IF(DS59=DC59,DE59,IF(DS59=DG59,DI59,IF(DS59=DK59,DM59,IF(DS59=DO59,DQ59,0))))))))))))))</f>
        <v>0.60690999999999995</v>
      </c>
      <c r="DV59">
        <f t="shared" si="31"/>
        <v>0</v>
      </c>
      <c r="DW59">
        <v>31226.480769230799</v>
      </c>
      <c r="DX59">
        <v>3</v>
      </c>
      <c r="DY59">
        <v>25</v>
      </c>
      <c r="DZ59">
        <v>0</v>
      </c>
      <c r="EA59">
        <v>0</v>
      </c>
      <c r="EB59">
        <v>14.0364762223093</v>
      </c>
      <c r="EC59">
        <v>0</v>
      </c>
      <c r="ED59">
        <v>0.315113066666667</v>
      </c>
      <c r="EE59">
        <v>3.9919444444444403E-2</v>
      </c>
      <c r="EF59">
        <v>0.60690999999999995</v>
      </c>
      <c r="EG59">
        <v>2.9375857030205501</v>
      </c>
      <c r="EH59">
        <v>10</v>
      </c>
      <c r="EI59">
        <v>0</v>
      </c>
      <c r="EJ59">
        <v>0.105197733333333</v>
      </c>
      <c r="EK59">
        <v>1</v>
      </c>
      <c r="EL59">
        <v>0</v>
      </c>
      <c r="EM59">
        <v>39</v>
      </c>
      <c r="EN59">
        <v>1</v>
      </c>
      <c r="EO59">
        <v>4</v>
      </c>
      <c r="EP59">
        <v>4</v>
      </c>
      <c r="EQ59">
        <v>4</v>
      </c>
      <c r="ER59">
        <v>14.1987814663817</v>
      </c>
      <c r="ES59">
        <v>2.8450413952666</v>
      </c>
      <c r="ET59">
        <v>3.16015446193326</v>
      </c>
      <c r="EU59">
        <v>1.13361493585206</v>
      </c>
      <c r="EV59">
        <v>1.23881266918539</v>
      </c>
      <c r="EW59">
        <v>0.76242746666666705</v>
      </c>
      <c r="EX59">
        <v>3.2785775227067901</v>
      </c>
      <c r="EY59">
        <v>4.0410049893734596</v>
      </c>
      <c r="EZ59">
        <v>0.105197733333333</v>
      </c>
      <c r="FA59">
        <v>1.13361493585206</v>
      </c>
      <c r="FB59">
        <v>1.23881266918539</v>
      </c>
      <c r="FC59">
        <v>3.1735825333333301</v>
      </c>
      <c r="FD59">
        <v>8.0156065483687495</v>
      </c>
      <c r="FE59">
        <v>11.1891890817021</v>
      </c>
      <c r="FF59">
        <v>0.105197733333333</v>
      </c>
      <c r="FG59">
        <v>1.13361493585206</v>
      </c>
      <c r="FH59">
        <v>1.23881266918539</v>
      </c>
    </row>
    <row r="60" spans="1:164" x14ac:dyDescent="0.2">
      <c r="A60">
        <v>59</v>
      </c>
      <c r="B60">
        <v>69</v>
      </c>
      <c r="C60">
        <v>118</v>
      </c>
      <c r="D60">
        <v>1</v>
      </c>
      <c r="E60">
        <v>11</v>
      </c>
      <c r="F60" t="s">
        <v>232</v>
      </c>
      <c r="G60" t="s">
        <v>233</v>
      </c>
      <c r="H60">
        <v>3</v>
      </c>
      <c r="I60">
        <v>7</v>
      </c>
      <c r="J60" t="s">
        <v>127</v>
      </c>
      <c r="K60" t="s">
        <v>234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2</v>
      </c>
      <c r="AF60">
        <v>1</v>
      </c>
      <c r="AG60">
        <v>4</v>
      </c>
      <c r="AH60">
        <v>8</v>
      </c>
      <c r="AI60">
        <v>0.38901666666666701</v>
      </c>
      <c r="AJ60">
        <v>21.62388</v>
      </c>
      <c r="AK60">
        <v>0.338241666666667</v>
      </c>
      <c r="AL60">
        <v>10.02164</v>
      </c>
      <c r="AM60">
        <v>0.24036388888888899</v>
      </c>
      <c r="AN60">
        <v>9.1890400000000003</v>
      </c>
      <c r="AO60">
        <v>0.225655555555556</v>
      </c>
      <c r="AP60">
        <v>7.7282200000000003</v>
      </c>
      <c r="AQ60">
        <v>0.28858333333333303</v>
      </c>
      <c r="AR60">
        <v>9.8001100000000001</v>
      </c>
      <c r="AS60">
        <v>0.297697222222222</v>
      </c>
      <c r="AT60">
        <v>10.09196</v>
      </c>
      <c r="AU60">
        <v>0.29237222222222198</v>
      </c>
      <c r="AV60">
        <v>12.49837</v>
      </c>
      <c r="AW60">
        <v>0.31394722222222199</v>
      </c>
      <c r="AX60">
        <v>16.873909999999999</v>
      </c>
      <c r="AY60">
        <v>0.32393333333333302</v>
      </c>
      <c r="AZ60">
        <v>18.112649999999999</v>
      </c>
      <c r="BA60">
        <v>0.33728333333333299</v>
      </c>
      <c r="BB60">
        <v>19.43336</v>
      </c>
      <c r="BC60">
        <v>0.39811111111111103</v>
      </c>
      <c r="BD60">
        <v>20.758050000000001</v>
      </c>
      <c r="BE60">
        <v>0.40913333333333302</v>
      </c>
      <c r="BF60">
        <v>27.135020000000001</v>
      </c>
      <c r="BG60">
        <v>0.47300555555555601</v>
      </c>
      <c r="BH60">
        <v>30.537870000000002</v>
      </c>
      <c r="BI60">
        <v>0.51683333333333303</v>
      </c>
      <c r="BJ60">
        <v>32.511780000000002</v>
      </c>
      <c r="BK60">
        <v>0.584972222222222</v>
      </c>
      <c r="BL60">
        <v>39.32743</v>
      </c>
      <c r="BM60">
        <v>0.626475</v>
      </c>
      <c r="BN60">
        <v>41.32011</v>
      </c>
      <c r="BO60">
        <f t="shared" si="0"/>
        <v>0.225655555555556</v>
      </c>
      <c r="BP60">
        <v>3</v>
      </c>
      <c r="BQ60">
        <v>7.7282200000000003</v>
      </c>
      <c r="BR60">
        <f t="shared" si="1"/>
        <v>0</v>
      </c>
      <c r="BS60">
        <f t="shared" si="2"/>
        <v>0.225655555555556</v>
      </c>
      <c r="BT60">
        <f t="shared" si="3"/>
        <v>3</v>
      </c>
      <c r="BU60">
        <f t="shared" si="4"/>
        <v>7.7282200000000003</v>
      </c>
      <c r="BV60">
        <f t="shared" si="5"/>
        <v>0</v>
      </c>
      <c r="BW60">
        <f t="shared" si="6"/>
        <v>0.24036388888888899</v>
      </c>
      <c r="BX60">
        <v>2</v>
      </c>
      <c r="BY60">
        <v>9.1890400000000003</v>
      </c>
      <c r="BZ60">
        <f t="shared" si="7"/>
        <v>0</v>
      </c>
      <c r="CA60">
        <f t="shared" si="8"/>
        <v>0.225655555555556</v>
      </c>
      <c r="CB60">
        <f>IF(CA60=BO60,BP60,IF(CA60=BS60,BT60,IF(CA60=BW60,BX60,0)))</f>
        <v>3</v>
      </c>
      <c r="CC60">
        <f>IF(CA60=BO60,BQ60,IF(CA60=BS60,BU60,IF(CA60=BW60,BY60,0)))</f>
        <v>7.7282200000000003</v>
      </c>
      <c r="CD60">
        <f t="shared" si="9"/>
        <v>0</v>
      </c>
      <c r="CE60">
        <f t="shared" si="10"/>
        <v>0.225655555555556</v>
      </c>
      <c r="CF60">
        <f>IF(CE60=BO60,BP60,IF(CE60=BS60,BT60,IF(CE60=BW60,BX60,IF(CE60=CA60,CB60,0))))</f>
        <v>3</v>
      </c>
      <c r="CG60">
        <f>IF(CE60=BO60,BQ60,IF(CE60=BS60,BU60,IF(CE60=BW60,BY60,IF(CE60=CA60,CC60,0))))</f>
        <v>7.7282200000000003</v>
      </c>
      <c r="CH60">
        <f t="shared" si="11"/>
        <v>0</v>
      </c>
      <c r="CI60">
        <f t="shared" si="12"/>
        <v>0.225655555555556</v>
      </c>
      <c r="CJ60">
        <f>IF(CI60=BO60,BP60,IF(CI60=BS60,BT60,IF(CI60=BW60,BX60,IF(CI60=CA60,CB60,IF(CI60=CE60,CF60,0)))))</f>
        <v>3</v>
      </c>
      <c r="CK60">
        <f>IF(CI60=BO60,BQ60,IF(CI60=BS60,BU60,IF(CI60=BW60,BY60,IF(CI60=CA60,CC60,IF(CI60=CE60,CG60,0)))))</f>
        <v>7.7282200000000003</v>
      </c>
      <c r="CL60">
        <f t="shared" si="13"/>
        <v>0</v>
      </c>
      <c r="CM60">
        <f t="shared" si="14"/>
        <v>0.225655555555556</v>
      </c>
      <c r="CN60">
        <f>IF(CM60=BO60,BP60,IF(CM60=BS60,BT60,IF(CM60=BW60,BX60,IF(CM60=CA60,CB60,IF(CM60=CE60,CF60,IF(CM60=CI60,CJ60,0))))))</f>
        <v>3</v>
      </c>
      <c r="CO60">
        <f>IF(CM60=BO60,BQ60,IF(CM60=BS60,BU60,IF(CM60=BW60,BY60,IF(CM60=CA60,CC60,IF(CM60=CE60,CG60,IF(CM60=CI60,CK60,0))))))</f>
        <v>7.7282200000000003</v>
      </c>
      <c r="CP60">
        <f t="shared" si="15"/>
        <v>0</v>
      </c>
      <c r="CQ60">
        <f t="shared" si="16"/>
        <v>0.225655555555556</v>
      </c>
      <c r="CR60">
        <f>IF(CQ60=BO60,BP60,IF(CQ60=BS60,BT60,IF(CQ60=BW60,BX60,IF(CQ60=CA60,CB60,IF(CQ60=CE60,CF60,IF(CQ60=CI60,CJ60,IF(CQ60=CM60,CN60,0)))))))</f>
        <v>3</v>
      </c>
      <c r="CS60">
        <f>IF(CQ60=BO60,BQ60,IF(CQ60=BS60,BU60,IF(CQ60=BW60,BY60,IF(CQ60=CA60,CC60,IF(CQ60=CE60,CG60,IF(CQ60=CI60,CK60,IF(CQ60=CM60,CO60,0)))))))</f>
        <v>7.7282200000000003</v>
      </c>
      <c r="CT60">
        <f t="shared" si="17"/>
        <v>0</v>
      </c>
      <c r="CU60">
        <f t="shared" si="18"/>
        <v>0.225655555555556</v>
      </c>
      <c r="CV60">
        <f>IF(CU60=BO60,BP60,IF(CU60=BS60,BT60,IF(CU60=BW60,BX60,IF(CU60=CA60,CB60,IF(CU60=CE60,CF60,IF(CU60=CI60,CJ60,IF(CU60=CM60,CN60,IF(CU60=CQ60,CR60,0))))))))</f>
        <v>3</v>
      </c>
      <c r="CW60">
        <f>IF(CU60=BO60,BQ60,IF(CU60=BS60,BU60,IF(CU60=BW60,BY60,IF(CU60=CA60,CC60,IF(CU60=CE60,CG60,IF(CU60=CI60,CK60,IF(CU60=CM60,CO60,IF(CU60=CQ60,CS60,0))))))))</f>
        <v>7.7282200000000003</v>
      </c>
      <c r="CX60">
        <f t="shared" si="19"/>
        <v>0</v>
      </c>
      <c r="CY60">
        <f t="shared" si="20"/>
        <v>0.225655555555556</v>
      </c>
      <c r="CZ60">
        <f>IF(CY60=BO60,BP60,IF(CY60=BS60,BT60,IF(CY60=BW60,BX60,IF(CY60=CA60,CB60,IF(CY60=CE60,CF60,IF(CY60=CI60,CJ60,IF(CY60=CM60,CN60,IF(CY60=CQ60,CR60,IF(CY60=CU60,CV60,0)))))))))</f>
        <v>3</v>
      </c>
      <c r="DA60">
        <f>IF(CY60=BO60,BQ60,IF(CY60=BS60,BU60,IF(CY60=BW60,BY60,IF(CY60=CA60,CC60,IF(CY60=CE60,CG60,IF(CY60=CI60,CK60,IF(CY60=CM60,CO60,IF(CY60=CQ60,CS60,IF(CY60=CU60,CW60,0)))))))))</f>
        <v>7.7282200000000003</v>
      </c>
      <c r="DB60">
        <f t="shared" si="21"/>
        <v>0</v>
      </c>
      <c r="DC60">
        <f t="shared" si="22"/>
        <v>0.225655555555556</v>
      </c>
      <c r="DD60">
        <f>IF(DC60=BO60,BP60,IF(DC60=BS60,BT60,IF(DC60=BW60,BX60,IF(DC60=CA60,CB60,IF(DC60=CE60,CF60,IF(DC60=CI60,CJ60,IF(DC60=CM60,CN60,IF(DC60=CQ60,CR60,IF(DC60=CU60,CV60,IF(DC60=CY60,CZ60,0))))))))))</f>
        <v>3</v>
      </c>
      <c r="DE60">
        <f>IF(DC60=BO60,BQ60,IF(DC60=BS60,BU60,IF(DC60=BW60,BY60,IF(DC60=CA60,CC60,IF(DC60=CE60,CG60,IF(DC60=CI60,CK60,IF(DC60=CM60,CO60,IF(DC60=CQ60,CS60,IF(DC60=CU60,CW60,IF(DC60=CY60,DA60,0))))))))))</f>
        <v>7.7282200000000003</v>
      </c>
      <c r="DF60">
        <f t="shared" si="23"/>
        <v>0</v>
      </c>
      <c r="DG60">
        <f t="shared" si="24"/>
        <v>0.225655555555556</v>
      </c>
      <c r="DH60">
        <f>IF(DG60=BO60,BP60,IF(DG60=BS60,BT60,IF(DG60=BW60,BX60,IF(DG60=CA60,CB60,IF(DG60=CE60,CF60,IF(DG60=CI60,CJ60,IF(DG60=CM60,CN60,IF(DG60=CQ60,CR60,IF(DG60=CU60,CV60,IF(DG60=CY60,CZ60,IF(DG60=DC60,DD60,0)))))))))))</f>
        <v>3</v>
      </c>
      <c r="DI60">
        <f>IF(DG60=BO60,BQ60,IF(DG60=BS60,BU60,IF(DG60=BW60,BY60,IF(DG60=CA60,CC60,IF(DG60=CE60,CG60,IF(DG60=CI60,CK60,IF(DG60=CM60,CO60,IF(DG60=CQ60,CS60,IF(DG60=CU60,CW60,IF(DG60=CY60,DA60,IF(DG60=DC60,DE60,0)))))))))))</f>
        <v>7.7282200000000003</v>
      </c>
      <c r="DJ60">
        <f t="shared" si="25"/>
        <v>0</v>
      </c>
      <c r="DK60">
        <f t="shared" si="26"/>
        <v>0.225655555555556</v>
      </c>
      <c r="DL60">
        <f>IF(DK60=BO60,BP60,IF(DK60=BS60,BT60,IF(DK60=BW60,BX60,IF(DK60=CA60,CB60,IF(DK60=CE60,CF60,IF(DK60=CI60,CJ60,IF(DK60=CM60,CN60,IF(DK60=CQ60,CR60,IF(DK60=CU60,CV60,IF(DK60=CY60,CZ60,IF(DK60=DC60,DD60,IF(DK60=DG60,DH60,0))))))))))))</f>
        <v>3</v>
      </c>
      <c r="DM60">
        <f>IF(DK60=BO60,BQ60,IF(DK60=BS60,BU60,IF(DK60=BW60,BY60,IF(DK60=CA60,CC60,IF(DK60=CE60,CG60,IF(DK60=CI60,CK60,IF(DK60=CM60,CO60,IF(DK60=CQ60,CS60,IF(DK60=CU60,CW60,IF(DK60=CY60,DA60,IF(DK60=DC60,DE60,IF(DK60=DG60,DI60,0))))))))))))</f>
        <v>7.7282200000000003</v>
      </c>
      <c r="DN60">
        <f t="shared" si="27"/>
        <v>0</v>
      </c>
      <c r="DO60">
        <f t="shared" si="28"/>
        <v>0.225655555555556</v>
      </c>
      <c r="DP60">
        <f>IF(DO60=BO60,BP60,IF(DO60=BS60,BT60,IF(DO60=BW60,BX60,IF(DO60=CA60,CB60,IF(DO60=CE60,CF60,IF(DO60=CI60,CJ60,IF(DO60=CM60,CN60,IF(DO60=CQ60,CR60,IF(DO60=CU60,CV60,IF(DO60=CY60,CZ60,IF(DO60=DC60,DD60,IF(DO60=DG60,DH60,IF(DO60=DK60,DL60,0)))))))))))))</f>
        <v>3</v>
      </c>
      <c r="DQ60">
        <f>IF(DO60=BO60,BQ60,IF(DO60=BS60,BU60,IF(DO60=BW60,BY60,IF(DO60=CA60,CC60,IF(DO60=CE60,CG60,IF(DO60=CI60,CK60,IF(DO60=CM60,CO60,IF(DO60=CQ60,CS60,IF(DO60=CU60,CW60,IF(DO60=CY60,DA60,IF(DO60=DC60,DE60,IF(DO60=DG60,DI60,IF(DO60=DK60,DM60,0)))))))))))))</f>
        <v>7.7282200000000003</v>
      </c>
      <c r="DR60">
        <f t="shared" si="29"/>
        <v>0</v>
      </c>
      <c r="DS60">
        <f t="shared" si="30"/>
        <v>0.225655555555556</v>
      </c>
      <c r="DT60">
        <f>IF(DS60=BO60,BP60,IF(DS60=BS60,BT60,IF(DS60=BW60,BX60,IF(DS60=CA60,CB60,IF(DS60=CE60,CF60,IF(DS60=CI60,CJ60,IF(DS60=CM60,CN60,IF(DS60=CQ60,CR60,IF(DS60=CU60,CV60,IF(DS60=CY60,CZ60,IF(DS60=DC60,DD60,IF(DS60=DG60,DH60,IF(DS60=DK60,DL60,IF(DS60=DO60,DP60,0))))))))))))))</f>
        <v>3</v>
      </c>
      <c r="DU60">
        <f>IF(DS60=BO60,BQ60,IF(DS60=BS60,BU60,IF(DS60=BW60,BY60,IF(DS60=CA60,CC60,IF(DS60=CE60,CG60,IF(DS60=CI60,CK60,IF(DS60=CM60,CO60,IF(DS60=CQ60,CS60,IF(DS60=CU60,CW60,IF(DS60=CY60,DA60,IF(DS60=DC60,DE60,IF(DS60=DG60,DI60,IF(DS60=DK60,DM60,IF(DS60=DO60,DQ60,0))))))))))))))</f>
        <v>7.7282200000000003</v>
      </c>
      <c r="DV60">
        <f t="shared" si="31"/>
        <v>0</v>
      </c>
      <c r="DW60">
        <v>37501</v>
      </c>
      <c r="DX60">
        <v>2</v>
      </c>
      <c r="DY60">
        <v>35</v>
      </c>
      <c r="DZ60">
        <v>6</v>
      </c>
      <c r="EA60">
        <v>6</v>
      </c>
      <c r="EB60">
        <v>16.856907401857999</v>
      </c>
      <c r="EC60">
        <v>3</v>
      </c>
      <c r="ED60">
        <v>8.6222087999999992</v>
      </c>
      <c r="EE60">
        <v>0.225655555555556</v>
      </c>
      <c r="EF60">
        <v>7.7282200000000003</v>
      </c>
      <c r="EG60">
        <v>18.346644032828401</v>
      </c>
      <c r="EH60">
        <v>3</v>
      </c>
      <c r="EI60">
        <v>0</v>
      </c>
      <c r="EJ60">
        <v>2.0093372</v>
      </c>
      <c r="EK60">
        <v>1</v>
      </c>
      <c r="EL60">
        <v>0</v>
      </c>
      <c r="EM60">
        <v>28</v>
      </c>
      <c r="EN60">
        <v>0</v>
      </c>
      <c r="EO60">
        <v>4</v>
      </c>
      <c r="EP60">
        <v>8</v>
      </c>
      <c r="EQ60">
        <v>1</v>
      </c>
      <c r="ER60">
        <v>14.1987814663817</v>
      </c>
      <c r="ES60">
        <v>11.0471252735605</v>
      </c>
      <c r="ET60">
        <v>19.669334073560499</v>
      </c>
      <c r="EU60">
        <v>6.4080678400165798</v>
      </c>
      <c r="EV60">
        <v>8.4174050400165807</v>
      </c>
      <c r="EW60">
        <v>4.7092890000000001</v>
      </c>
      <c r="EX60">
        <v>9.1989172193531292</v>
      </c>
      <c r="EY60">
        <v>13.908206219353101</v>
      </c>
      <c r="EZ60">
        <v>2.0093372</v>
      </c>
      <c r="FA60">
        <v>6.4080678400165798</v>
      </c>
      <c r="FB60">
        <v>8.4174050400165807</v>
      </c>
      <c r="FC60">
        <v>2.0093372</v>
      </c>
      <c r="FD60">
        <v>6.4080678400165798</v>
      </c>
      <c r="FE60">
        <v>8.4174050400165807</v>
      </c>
      <c r="FF60">
        <v>2.3891504000000001</v>
      </c>
      <c r="FG60">
        <v>6.8257486614859602</v>
      </c>
      <c r="FH60">
        <v>9.2148990614859603</v>
      </c>
    </row>
    <row r="61" spans="1:164" x14ac:dyDescent="0.2">
      <c r="A61">
        <v>60</v>
      </c>
      <c r="B61">
        <v>70</v>
      </c>
      <c r="C61">
        <v>119</v>
      </c>
      <c r="D61">
        <v>1</v>
      </c>
      <c r="E61">
        <v>11</v>
      </c>
      <c r="F61" t="s">
        <v>235</v>
      </c>
      <c r="G61" t="s">
        <v>236</v>
      </c>
      <c r="H61">
        <v>3</v>
      </c>
      <c r="I61">
        <v>7</v>
      </c>
      <c r="J61" t="s">
        <v>127</v>
      </c>
      <c r="K61" t="s">
        <v>237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2</v>
      </c>
      <c r="AF61">
        <v>1</v>
      </c>
      <c r="AG61">
        <v>4</v>
      </c>
      <c r="AH61">
        <v>8</v>
      </c>
      <c r="AI61">
        <v>0.38901666666666701</v>
      </c>
      <c r="AJ61">
        <v>21.62388</v>
      </c>
      <c r="AK61">
        <v>0.338241666666667</v>
      </c>
      <c r="AL61">
        <v>10.02164</v>
      </c>
      <c r="AM61">
        <v>0.24036388888888899</v>
      </c>
      <c r="AN61">
        <v>9.1890400000000003</v>
      </c>
      <c r="AO61">
        <v>0.225655555555556</v>
      </c>
      <c r="AP61">
        <v>7.7282200000000003</v>
      </c>
      <c r="AQ61">
        <v>0.28858333333333303</v>
      </c>
      <c r="AR61">
        <v>9.8001100000000001</v>
      </c>
      <c r="AS61">
        <v>0.297697222222222</v>
      </c>
      <c r="AT61">
        <v>10.09196</v>
      </c>
      <c r="AU61">
        <v>0.29237222222222198</v>
      </c>
      <c r="AV61">
        <v>12.49837</v>
      </c>
      <c r="AW61">
        <v>0.31394722222222199</v>
      </c>
      <c r="AX61">
        <v>16.873909999999999</v>
      </c>
      <c r="AY61">
        <v>0.32393333333333302</v>
      </c>
      <c r="AZ61">
        <v>18.112649999999999</v>
      </c>
      <c r="BA61">
        <v>0.33728333333333299</v>
      </c>
      <c r="BB61">
        <v>19.43336</v>
      </c>
      <c r="BC61">
        <v>0.39811111111111103</v>
      </c>
      <c r="BD61">
        <v>20.758050000000001</v>
      </c>
      <c r="BE61">
        <v>0.40913333333333302</v>
      </c>
      <c r="BF61">
        <v>27.135020000000001</v>
      </c>
      <c r="BG61">
        <v>0.47300555555555601</v>
      </c>
      <c r="BH61">
        <v>30.537870000000002</v>
      </c>
      <c r="BI61">
        <v>0.51683333333333303</v>
      </c>
      <c r="BJ61">
        <v>32.511780000000002</v>
      </c>
      <c r="BK61">
        <v>0.584972222222222</v>
      </c>
      <c r="BL61">
        <v>39.32743</v>
      </c>
      <c r="BM61">
        <v>0.626475</v>
      </c>
      <c r="BN61">
        <v>41.32011</v>
      </c>
      <c r="BO61">
        <f t="shared" si="0"/>
        <v>0.225655555555556</v>
      </c>
      <c r="BP61">
        <v>3</v>
      </c>
      <c r="BQ61">
        <v>7.7282200000000003</v>
      </c>
      <c r="BR61">
        <f t="shared" si="1"/>
        <v>0</v>
      </c>
      <c r="BS61">
        <f t="shared" si="2"/>
        <v>0.225655555555556</v>
      </c>
      <c r="BT61">
        <f t="shared" si="3"/>
        <v>3</v>
      </c>
      <c r="BU61">
        <f t="shared" si="4"/>
        <v>7.7282200000000003</v>
      </c>
      <c r="BV61">
        <f t="shared" si="5"/>
        <v>0</v>
      </c>
      <c r="BW61">
        <f t="shared" si="6"/>
        <v>0.24036388888888899</v>
      </c>
      <c r="BX61">
        <v>2</v>
      </c>
      <c r="BY61">
        <v>9.1890400000000003</v>
      </c>
      <c r="BZ61">
        <f t="shared" si="7"/>
        <v>0</v>
      </c>
      <c r="CA61">
        <f t="shared" si="8"/>
        <v>0.225655555555556</v>
      </c>
      <c r="CB61">
        <f>IF(CA61=BO61,BP61,IF(CA61=BS61,BT61,IF(CA61=BW61,BX61,0)))</f>
        <v>3</v>
      </c>
      <c r="CC61">
        <f>IF(CA61=BO61,BQ61,IF(CA61=BS61,BU61,IF(CA61=BW61,BY61,0)))</f>
        <v>7.7282200000000003</v>
      </c>
      <c r="CD61">
        <f t="shared" si="9"/>
        <v>0</v>
      </c>
      <c r="CE61">
        <f t="shared" si="10"/>
        <v>0.225655555555556</v>
      </c>
      <c r="CF61">
        <f>IF(CE61=BO61,BP61,IF(CE61=BS61,BT61,IF(CE61=BW61,BX61,IF(CE61=CA61,CB61,0))))</f>
        <v>3</v>
      </c>
      <c r="CG61">
        <f>IF(CE61=BO61,BQ61,IF(CE61=BS61,BU61,IF(CE61=BW61,BY61,IF(CE61=CA61,CC61,0))))</f>
        <v>7.7282200000000003</v>
      </c>
      <c r="CH61">
        <f t="shared" si="11"/>
        <v>0</v>
      </c>
      <c r="CI61">
        <f t="shared" si="12"/>
        <v>0.225655555555556</v>
      </c>
      <c r="CJ61">
        <f>IF(CI61=BO61,BP61,IF(CI61=BS61,BT61,IF(CI61=BW61,BX61,IF(CI61=CA61,CB61,IF(CI61=CE61,CF61,0)))))</f>
        <v>3</v>
      </c>
      <c r="CK61">
        <f>IF(CI61=BO61,BQ61,IF(CI61=BS61,BU61,IF(CI61=BW61,BY61,IF(CI61=CA61,CC61,IF(CI61=CE61,CG61,0)))))</f>
        <v>7.7282200000000003</v>
      </c>
      <c r="CL61">
        <f t="shared" si="13"/>
        <v>0</v>
      </c>
      <c r="CM61">
        <f t="shared" si="14"/>
        <v>0.225655555555556</v>
      </c>
      <c r="CN61">
        <f>IF(CM61=BO61,BP61,IF(CM61=BS61,BT61,IF(CM61=BW61,BX61,IF(CM61=CA61,CB61,IF(CM61=CE61,CF61,IF(CM61=CI61,CJ61,0))))))</f>
        <v>3</v>
      </c>
      <c r="CO61">
        <f>IF(CM61=BO61,BQ61,IF(CM61=BS61,BU61,IF(CM61=BW61,BY61,IF(CM61=CA61,CC61,IF(CM61=CE61,CG61,IF(CM61=CI61,CK61,0))))))</f>
        <v>7.7282200000000003</v>
      </c>
      <c r="CP61">
        <f t="shared" si="15"/>
        <v>0</v>
      </c>
      <c r="CQ61">
        <f t="shared" si="16"/>
        <v>0.225655555555556</v>
      </c>
      <c r="CR61">
        <f>IF(CQ61=BO61,BP61,IF(CQ61=BS61,BT61,IF(CQ61=BW61,BX61,IF(CQ61=CA61,CB61,IF(CQ61=CE61,CF61,IF(CQ61=CI61,CJ61,IF(CQ61=CM61,CN61,0)))))))</f>
        <v>3</v>
      </c>
      <c r="CS61">
        <f>IF(CQ61=BO61,BQ61,IF(CQ61=BS61,BU61,IF(CQ61=BW61,BY61,IF(CQ61=CA61,CC61,IF(CQ61=CE61,CG61,IF(CQ61=CI61,CK61,IF(CQ61=CM61,CO61,0)))))))</f>
        <v>7.7282200000000003</v>
      </c>
      <c r="CT61">
        <f t="shared" si="17"/>
        <v>0</v>
      </c>
      <c r="CU61">
        <f t="shared" si="18"/>
        <v>0.225655555555556</v>
      </c>
      <c r="CV61">
        <f>IF(CU61=BO61,BP61,IF(CU61=BS61,BT61,IF(CU61=BW61,BX61,IF(CU61=CA61,CB61,IF(CU61=CE61,CF61,IF(CU61=CI61,CJ61,IF(CU61=CM61,CN61,IF(CU61=CQ61,CR61,0))))))))</f>
        <v>3</v>
      </c>
      <c r="CW61">
        <f>IF(CU61=BO61,BQ61,IF(CU61=BS61,BU61,IF(CU61=BW61,BY61,IF(CU61=CA61,CC61,IF(CU61=CE61,CG61,IF(CU61=CI61,CK61,IF(CU61=CM61,CO61,IF(CU61=CQ61,CS61,0))))))))</f>
        <v>7.7282200000000003</v>
      </c>
      <c r="CX61">
        <f t="shared" si="19"/>
        <v>0</v>
      </c>
      <c r="CY61">
        <f t="shared" si="20"/>
        <v>0.225655555555556</v>
      </c>
      <c r="CZ61">
        <f>IF(CY61=BO61,BP61,IF(CY61=BS61,BT61,IF(CY61=BW61,BX61,IF(CY61=CA61,CB61,IF(CY61=CE61,CF61,IF(CY61=CI61,CJ61,IF(CY61=CM61,CN61,IF(CY61=CQ61,CR61,IF(CY61=CU61,CV61,0)))))))))</f>
        <v>3</v>
      </c>
      <c r="DA61">
        <f>IF(CY61=BO61,BQ61,IF(CY61=BS61,BU61,IF(CY61=BW61,BY61,IF(CY61=CA61,CC61,IF(CY61=CE61,CG61,IF(CY61=CI61,CK61,IF(CY61=CM61,CO61,IF(CY61=CQ61,CS61,IF(CY61=CU61,CW61,0)))))))))</f>
        <v>7.7282200000000003</v>
      </c>
      <c r="DB61">
        <f t="shared" si="21"/>
        <v>0</v>
      </c>
      <c r="DC61">
        <f t="shared" si="22"/>
        <v>0.225655555555556</v>
      </c>
      <c r="DD61">
        <f>IF(DC61=BO61,BP61,IF(DC61=BS61,BT61,IF(DC61=BW61,BX61,IF(DC61=CA61,CB61,IF(DC61=CE61,CF61,IF(DC61=CI61,CJ61,IF(DC61=CM61,CN61,IF(DC61=CQ61,CR61,IF(DC61=CU61,CV61,IF(DC61=CY61,CZ61,0))))))))))</f>
        <v>3</v>
      </c>
      <c r="DE61">
        <f>IF(DC61=BO61,BQ61,IF(DC61=BS61,BU61,IF(DC61=BW61,BY61,IF(DC61=CA61,CC61,IF(DC61=CE61,CG61,IF(DC61=CI61,CK61,IF(DC61=CM61,CO61,IF(DC61=CQ61,CS61,IF(DC61=CU61,CW61,IF(DC61=CY61,DA61,0))))))))))</f>
        <v>7.7282200000000003</v>
      </c>
      <c r="DF61">
        <f t="shared" si="23"/>
        <v>0</v>
      </c>
      <c r="DG61">
        <f t="shared" si="24"/>
        <v>0.225655555555556</v>
      </c>
      <c r="DH61">
        <f>IF(DG61=BO61,BP61,IF(DG61=BS61,BT61,IF(DG61=BW61,BX61,IF(DG61=CA61,CB61,IF(DG61=CE61,CF61,IF(DG61=CI61,CJ61,IF(DG61=CM61,CN61,IF(DG61=CQ61,CR61,IF(DG61=CU61,CV61,IF(DG61=CY61,CZ61,IF(DG61=DC61,DD61,0)))))))))))</f>
        <v>3</v>
      </c>
      <c r="DI61">
        <f>IF(DG61=BO61,BQ61,IF(DG61=BS61,BU61,IF(DG61=BW61,BY61,IF(DG61=CA61,CC61,IF(DG61=CE61,CG61,IF(DG61=CI61,CK61,IF(DG61=CM61,CO61,IF(DG61=CQ61,CS61,IF(DG61=CU61,CW61,IF(DG61=CY61,DA61,IF(DG61=DC61,DE61,0)))))))))))</f>
        <v>7.7282200000000003</v>
      </c>
      <c r="DJ61">
        <f t="shared" si="25"/>
        <v>0</v>
      </c>
      <c r="DK61">
        <f t="shared" si="26"/>
        <v>0.225655555555556</v>
      </c>
      <c r="DL61">
        <f>IF(DK61=BO61,BP61,IF(DK61=BS61,BT61,IF(DK61=BW61,BX61,IF(DK61=CA61,CB61,IF(DK61=CE61,CF61,IF(DK61=CI61,CJ61,IF(DK61=CM61,CN61,IF(DK61=CQ61,CR61,IF(DK61=CU61,CV61,IF(DK61=CY61,CZ61,IF(DK61=DC61,DD61,IF(DK61=DG61,DH61,0))))))))))))</f>
        <v>3</v>
      </c>
      <c r="DM61">
        <f>IF(DK61=BO61,BQ61,IF(DK61=BS61,BU61,IF(DK61=BW61,BY61,IF(DK61=CA61,CC61,IF(DK61=CE61,CG61,IF(DK61=CI61,CK61,IF(DK61=CM61,CO61,IF(DK61=CQ61,CS61,IF(DK61=CU61,CW61,IF(DK61=CY61,DA61,IF(DK61=DC61,DE61,IF(DK61=DG61,DI61,0))))))))))))</f>
        <v>7.7282200000000003</v>
      </c>
      <c r="DN61">
        <f t="shared" si="27"/>
        <v>0</v>
      </c>
      <c r="DO61">
        <f t="shared" si="28"/>
        <v>0.225655555555556</v>
      </c>
      <c r="DP61">
        <f>IF(DO61=BO61,BP61,IF(DO61=BS61,BT61,IF(DO61=BW61,BX61,IF(DO61=CA61,CB61,IF(DO61=CE61,CF61,IF(DO61=CI61,CJ61,IF(DO61=CM61,CN61,IF(DO61=CQ61,CR61,IF(DO61=CU61,CV61,IF(DO61=CY61,CZ61,IF(DO61=DC61,DD61,IF(DO61=DG61,DH61,IF(DO61=DK61,DL61,0)))))))))))))</f>
        <v>3</v>
      </c>
      <c r="DQ61">
        <f>IF(DO61=BO61,BQ61,IF(DO61=BS61,BU61,IF(DO61=BW61,BY61,IF(DO61=CA61,CC61,IF(DO61=CE61,CG61,IF(DO61=CI61,CK61,IF(DO61=CM61,CO61,IF(DO61=CQ61,CS61,IF(DO61=CU61,CW61,IF(DO61=CY61,DA61,IF(DO61=DC61,DE61,IF(DO61=DG61,DI61,IF(DO61=DK61,DM61,0)))))))))))))</f>
        <v>7.7282200000000003</v>
      </c>
      <c r="DR61">
        <f t="shared" si="29"/>
        <v>0</v>
      </c>
      <c r="DS61">
        <f t="shared" si="30"/>
        <v>0.225655555555556</v>
      </c>
      <c r="DT61">
        <f>IF(DS61=BO61,BP61,IF(DS61=BS61,BT61,IF(DS61=BW61,BX61,IF(DS61=CA61,CB61,IF(DS61=CE61,CF61,IF(DS61=CI61,CJ61,IF(DS61=CM61,CN61,IF(DS61=CQ61,CR61,IF(DS61=CU61,CV61,IF(DS61=CY61,CZ61,IF(DS61=DC61,DD61,IF(DS61=DG61,DH61,IF(DS61=DK61,DL61,IF(DS61=DO61,DP61,0))))))))))))))</f>
        <v>3</v>
      </c>
      <c r="DU61">
        <f>IF(DS61=BO61,BQ61,IF(DS61=BS61,BU61,IF(DS61=BW61,BY61,IF(DS61=CA61,CC61,IF(DS61=CE61,CG61,IF(DS61=CI61,CK61,IF(DS61=CM61,CO61,IF(DS61=CQ61,CS61,IF(DS61=CU61,CW61,IF(DS61=CY61,DA61,IF(DS61=DC61,DE61,IF(DS61=DG61,DI61,IF(DS61=DK61,DM61,IF(DS61=DO61,DQ61,0))))))))))))))</f>
        <v>7.7282200000000003</v>
      </c>
      <c r="DV61">
        <f t="shared" si="31"/>
        <v>0</v>
      </c>
      <c r="DW61">
        <v>31226.480769230799</v>
      </c>
      <c r="DX61">
        <v>2</v>
      </c>
      <c r="DY61">
        <v>35</v>
      </c>
      <c r="DZ61">
        <v>6</v>
      </c>
      <c r="EA61">
        <v>6</v>
      </c>
      <c r="EB61">
        <v>14.0364762223093</v>
      </c>
      <c r="EC61">
        <v>3</v>
      </c>
      <c r="ED61">
        <v>8.6222087999999992</v>
      </c>
      <c r="EE61">
        <v>0.225655555555556</v>
      </c>
      <c r="EF61">
        <v>7.7282200000000003</v>
      </c>
      <c r="EG61">
        <v>16.152254560766899</v>
      </c>
      <c r="EH61">
        <v>3</v>
      </c>
      <c r="EI61">
        <v>0</v>
      </c>
      <c r="EJ61">
        <v>2.0093372</v>
      </c>
      <c r="EK61">
        <v>1</v>
      </c>
      <c r="EL61">
        <v>0</v>
      </c>
      <c r="EM61">
        <v>26</v>
      </c>
      <c r="EN61">
        <v>1</v>
      </c>
      <c r="EO61">
        <v>3</v>
      </c>
      <c r="EP61">
        <v>8</v>
      </c>
      <c r="EQ61">
        <v>1</v>
      </c>
      <c r="ER61">
        <v>14.1987814663817</v>
      </c>
      <c r="ES61">
        <v>11.0471252735605</v>
      </c>
      <c r="ET61">
        <v>19.669334073560499</v>
      </c>
      <c r="EU61">
        <v>6.4080678400165798</v>
      </c>
      <c r="EV61">
        <v>8.4174050400165807</v>
      </c>
      <c r="EW61">
        <v>4.7092890000000001</v>
      </c>
      <c r="EX61">
        <v>9.1989172193531292</v>
      </c>
      <c r="EY61">
        <v>13.908206219353101</v>
      </c>
      <c r="EZ61">
        <v>2.0093372</v>
      </c>
      <c r="FA61">
        <v>6.4080678400165798</v>
      </c>
      <c r="FB61">
        <v>8.4174050400165807</v>
      </c>
      <c r="FC61">
        <v>2.0093372</v>
      </c>
      <c r="FD61">
        <v>6.4080678400165798</v>
      </c>
      <c r="FE61">
        <v>8.4174050400165807</v>
      </c>
      <c r="FF61">
        <v>2.3891504000000001</v>
      </c>
      <c r="FG61">
        <v>6.8257486614859602</v>
      </c>
      <c r="FH61">
        <v>9.2148990614859603</v>
      </c>
    </row>
    <row r="62" spans="1:164" x14ac:dyDescent="0.2">
      <c r="A62">
        <v>61</v>
      </c>
      <c r="B62">
        <v>71</v>
      </c>
      <c r="C62">
        <v>120</v>
      </c>
      <c r="D62">
        <v>1</v>
      </c>
      <c r="E62">
        <v>11</v>
      </c>
      <c r="F62" t="s">
        <v>228</v>
      </c>
      <c r="G62" t="s">
        <v>238</v>
      </c>
      <c r="H62">
        <v>3</v>
      </c>
      <c r="I62">
        <v>5</v>
      </c>
      <c r="K62" t="s">
        <v>117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7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7</v>
      </c>
      <c r="AE62">
        <v>14</v>
      </c>
      <c r="AF62">
        <v>7</v>
      </c>
      <c r="AG62">
        <v>20</v>
      </c>
      <c r="AH62">
        <v>8</v>
      </c>
      <c r="AI62">
        <v>0.28987777777777801</v>
      </c>
      <c r="AJ62">
        <v>12.136799999999999</v>
      </c>
      <c r="AK62">
        <v>0.45840277777777799</v>
      </c>
      <c r="AL62">
        <v>23.175879999999999</v>
      </c>
      <c r="AM62">
        <v>0.35251388888888902</v>
      </c>
      <c r="AN62">
        <v>20.705739999999999</v>
      </c>
      <c r="AO62">
        <v>0.348655555555556</v>
      </c>
      <c r="AP62">
        <v>18.332239999999999</v>
      </c>
      <c r="AQ62">
        <v>0.37195555555555598</v>
      </c>
      <c r="AR62">
        <v>18.660139999999998</v>
      </c>
      <c r="AS62">
        <v>0.33714166666666701</v>
      </c>
      <c r="AT62">
        <v>15.160270000000001</v>
      </c>
      <c r="AU62">
        <v>0.22090833333333301</v>
      </c>
      <c r="AV62">
        <v>8.9964999999999993</v>
      </c>
      <c r="AW62">
        <v>0.23708888888888899</v>
      </c>
      <c r="AX62">
        <v>10.373049999999999</v>
      </c>
      <c r="AY62">
        <v>0.22804722222222201</v>
      </c>
      <c r="AZ62">
        <v>10.564590000000001</v>
      </c>
      <c r="BA62">
        <v>0.213038888888889</v>
      </c>
      <c r="BB62">
        <v>9.9816199999999995</v>
      </c>
      <c r="BC62">
        <v>0.29693611111111101</v>
      </c>
      <c r="BD62">
        <v>12.423389999999999</v>
      </c>
      <c r="BE62">
        <v>0.32260555555555598</v>
      </c>
      <c r="BF62">
        <v>17.779039999999998</v>
      </c>
      <c r="BG62">
        <v>0.38647777777777798</v>
      </c>
      <c r="BH62">
        <v>21.181889999999999</v>
      </c>
      <c r="BI62">
        <v>0.430305555555556</v>
      </c>
      <c r="BJ62">
        <v>23.155809999999999</v>
      </c>
      <c r="BK62">
        <v>0.49844444444444402</v>
      </c>
      <c r="BL62">
        <v>29.97146</v>
      </c>
      <c r="BM62">
        <v>0.53995000000000004</v>
      </c>
      <c r="BN62">
        <v>31.96414</v>
      </c>
      <c r="BO62">
        <f t="shared" si="0"/>
        <v>0.213038888888889</v>
      </c>
      <c r="BP62">
        <v>9</v>
      </c>
      <c r="BQ62">
        <v>9.9816199999999995</v>
      </c>
      <c r="BR62">
        <f t="shared" si="1"/>
        <v>0</v>
      </c>
      <c r="BS62">
        <f t="shared" si="2"/>
        <v>0.213038888888889</v>
      </c>
      <c r="BT62">
        <f t="shared" si="3"/>
        <v>9</v>
      </c>
      <c r="BU62">
        <f t="shared" si="4"/>
        <v>9.9816199999999995</v>
      </c>
      <c r="BV62">
        <f t="shared" si="5"/>
        <v>0</v>
      </c>
      <c r="BW62">
        <f t="shared" si="6"/>
        <v>0.213038888888889</v>
      </c>
      <c r="BX62">
        <f t="shared" si="32"/>
        <v>9</v>
      </c>
      <c r="BY62">
        <f t="shared" si="33"/>
        <v>9.9816199999999995</v>
      </c>
      <c r="BZ62">
        <f t="shared" si="7"/>
        <v>0</v>
      </c>
      <c r="CA62">
        <f t="shared" si="8"/>
        <v>0.213038888888889</v>
      </c>
      <c r="CB62">
        <f>IF(CA62=BO62,BP62,IF(CA62=BS62,BT62,IF(CA62=BW62,BX62,0)))</f>
        <v>9</v>
      </c>
      <c r="CC62">
        <f>IF(CA62=BO62,BQ62,IF(CA62=BS62,BU62,IF(CA62=BW62,BY62,0)))</f>
        <v>9.9816199999999995</v>
      </c>
      <c r="CD62">
        <f t="shared" si="9"/>
        <v>0</v>
      </c>
      <c r="CE62">
        <f t="shared" si="10"/>
        <v>0.213038888888889</v>
      </c>
      <c r="CF62">
        <f>IF(CE62=BO62,BP62,IF(CE62=BS62,BT62,IF(CE62=BW62,BX62,IF(CE62=CA62,CB62,0))))</f>
        <v>9</v>
      </c>
      <c r="CG62">
        <f>IF(CE62=BO62,BQ62,IF(CE62=BS62,BU62,IF(CE62=BW62,BY62,IF(CE62=CA62,CC62,0))))</f>
        <v>9.9816199999999995</v>
      </c>
      <c r="CH62">
        <f t="shared" si="11"/>
        <v>0</v>
      </c>
      <c r="CI62">
        <f t="shared" si="12"/>
        <v>0.213038888888889</v>
      </c>
      <c r="CJ62">
        <f>IF(CI62=BO62,BP62,IF(CI62=BS62,BT62,IF(CI62=BW62,BX62,IF(CI62=CA62,CB62,IF(CI62=CE62,CF62,0)))))</f>
        <v>9</v>
      </c>
      <c r="CK62">
        <f>IF(CI62=BO62,BQ62,IF(CI62=BS62,BU62,IF(CI62=BW62,BY62,IF(CI62=CA62,CC62,IF(CI62=CE62,CG62,0)))))</f>
        <v>9.9816199999999995</v>
      </c>
      <c r="CL62">
        <f t="shared" si="13"/>
        <v>0</v>
      </c>
      <c r="CM62">
        <f t="shared" si="14"/>
        <v>0.213038888888889</v>
      </c>
      <c r="CN62">
        <f>IF(CM62=BO62,BP62,IF(CM62=BS62,BT62,IF(CM62=BW62,BX62,IF(CM62=CA62,CB62,IF(CM62=CE62,CF62,IF(CM62=CI62,CJ62,0))))))</f>
        <v>9</v>
      </c>
      <c r="CO62">
        <f>IF(CM62=BO62,BQ62,IF(CM62=BS62,BU62,IF(CM62=BW62,BY62,IF(CM62=CA62,CC62,IF(CM62=CE62,CG62,IF(CM62=CI62,CK62,0))))))</f>
        <v>9.9816199999999995</v>
      </c>
      <c r="CP62">
        <f t="shared" si="15"/>
        <v>0</v>
      </c>
      <c r="CQ62">
        <f t="shared" si="16"/>
        <v>0.213038888888889</v>
      </c>
      <c r="CR62">
        <f>IF(CQ62=BO62,BP62,IF(CQ62=BS62,BT62,IF(CQ62=BW62,BX62,IF(CQ62=CA62,CB62,IF(CQ62=CE62,CF62,IF(CQ62=CI62,CJ62,IF(CQ62=CM62,CN62,0)))))))</f>
        <v>9</v>
      </c>
      <c r="CS62">
        <f>IF(CQ62=BO62,BQ62,IF(CQ62=BS62,BU62,IF(CQ62=BW62,BY62,IF(CQ62=CA62,CC62,IF(CQ62=CE62,CG62,IF(CQ62=CI62,CK62,IF(CQ62=CM62,CO62,0)))))))</f>
        <v>9.9816199999999995</v>
      </c>
      <c r="CT62">
        <f t="shared" si="17"/>
        <v>0</v>
      </c>
      <c r="CU62">
        <f t="shared" si="18"/>
        <v>0.22090833333333301</v>
      </c>
      <c r="CV62">
        <v>6</v>
      </c>
      <c r="CW62">
        <v>8.9964999999999993</v>
      </c>
      <c r="CX62">
        <f t="shared" si="19"/>
        <v>0</v>
      </c>
      <c r="CY62">
        <f t="shared" si="20"/>
        <v>0.213038888888889</v>
      </c>
      <c r="CZ62">
        <f>IF(CY62=BO62,BP62,IF(CY62=BS62,BT62,IF(CY62=BW62,BX62,IF(CY62=CA62,CB62,IF(CY62=CE62,CF62,IF(CY62=CI62,CJ62,IF(CY62=CM62,CN62,IF(CY62=CQ62,CR62,IF(CY62=CU62,CV62,0)))))))))</f>
        <v>9</v>
      </c>
      <c r="DA62">
        <f>IF(CY62=BO62,BQ62,IF(CY62=BS62,BU62,IF(CY62=BW62,BY62,IF(CY62=CA62,CC62,IF(CY62=CE62,CG62,IF(CY62=CI62,CK62,IF(CY62=CM62,CO62,IF(CY62=CQ62,CS62,IF(CY62=CU62,CW62,0)))))))))</f>
        <v>9.9816199999999995</v>
      </c>
      <c r="DB62">
        <f t="shared" si="21"/>
        <v>0</v>
      </c>
      <c r="DC62">
        <f t="shared" si="22"/>
        <v>0.213038888888889</v>
      </c>
      <c r="DD62">
        <f>IF(DC62=BO62,BP62,IF(DC62=BS62,BT62,IF(DC62=BW62,BX62,IF(DC62=CA62,CB62,IF(DC62=CE62,CF62,IF(DC62=CI62,CJ62,IF(DC62=CM62,CN62,IF(DC62=CQ62,CR62,IF(DC62=CU62,CV62,IF(DC62=CY62,CZ62,0))))))))))</f>
        <v>9</v>
      </c>
      <c r="DE62">
        <f>IF(DC62=BO62,BQ62,IF(DC62=BS62,BU62,IF(DC62=BW62,BY62,IF(DC62=CA62,CC62,IF(DC62=CE62,CG62,IF(DC62=CI62,CK62,IF(DC62=CM62,CO62,IF(DC62=CQ62,CS62,IF(DC62=CU62,CW62,IF(DC62=CY62,DA62,0))))))))))</f>
        <v>9.9816199999999995</v>
      </c>
      <c r="DF62">
        <f t="shared" si="23"/>
        <v>0</v>
      </c>
      <c r="DG62">
        <f t="shared" si="24"/>
        <v>0.213038888888889</v>
      </c>
      <c r="DH62">
        <f>IF(DG62=BO62,BP62,IF(DG62=BS62,BT62,IF(DG62=BW62,BX62,IF(DG62=CA62,CB62,IF(DG62=CE62,CF62,IF(DG62=CI62,CJ62,IF(DG62=CM62,CN62,IF(DG62=CQ62,CR62,IF(DG62=CU62,CV62,IF(DG62=CY62,CZ62,IF(DG62=DC62,DD62,0)))))))))))</f>
        <v>9</v>
      </c>
      <c r="DI62">
        <f>IF(DG62=BO62,BQ62,IF(DG62=BS62,BU62,IF(DG62=BW62,BY62,IF(DG62=CA62,CC62,IF(DG62=CE62,CG62,IF(DG62=CI62,CK62,IF(DG62=CM62,CO62,IF(DG62=CQ62,CS62,IF(DG62=CU62,CW62,IF(DG62=CY62,DA62,IF(DG62=DC62,DE62,0)))))))))))</f>
        <v>9.9816199999999995</v>
      </c>
      <c r="DJ62">
        <f t="shared" si="25"/>
        <v>0</v>
      </c>
      <c r="DK62">
        <f t="shared" si="26"/>
        <v>0.213038888888889</v>
      </c>
      <c r="DL62">
        <f>IF(DK62=BO62,BP62,IF(DK62=BS62,BT62,IF(DK62=BW62,BX62,IF(DK62=CA62,CB62,IF(DK62=CE62,CF62,IF(DK62=CI62,CJ62,IF(DK62=CM62,CN62,IF(DK62=CQ62,CR62,IF(DK62=CU62,CV62,IF(DK62=CY62,CZ62,IF(DK62=DC62,DD62,IF(DK62=DG62,DH62,0))))))))))))</f>
        <v>9</v>
      </c>
      <c r="DM62">
        <f>IF(DK62=BO62,BQ62,IF(DK62=BS62,BU62,IF(DK62=BW62,BY62,IF(DK62=CA62,CC62,IF(DK62=CE62,CG62,IF(DK62=CI62,CK62,IF(DK62=CM62,CO62,IF(DK62=CQ62,CS62,IF(DK62=CU62,CW62,IF(DK62=CY62,DA62,IF(DK62=DC62,DE62,IF(DK62=DG62,DI62,0))))))))))))</f>
        <v>9.9816199999999995</v>
      </c>
      <c r="DN62">
        <f t="shared" si="27"/>
        <v>0</v>
      </c>
      <c r="DO62">
        <f t="shared" si="28"/>
        <v>0.213038888888889</v>
      </c>
      <c r="DP62">
        <f>IF(DO62=BO62,BP62,IF(DO62=BS62,BT62,IF(DO62=BW62,BX62,IF(DO62=CA62,CB62,IF(DO62=CE62,CF62,IF(DO62=CI62,CJ62,IF(DO62=CM62,CN62,IF(DO62=CQ62,CR62,IF(DO62=CU62,CV62,IF(DO62=CY62,CZ62,IF(DO62=DC62,DD62,IF(DO62=DG62,DH62,IF(DO62=DK62,DL62,0)))))))))))))</f>
        <v>9</v>
      </c>
      <c r="DQ62">
        <f>IF(DO62=BO62,BQ62,IF(DO62=BS62,BU62,IF(DO62=BW62,BY62,IF(DO62=CA62,CC62,IF(DO62=CE62,CG62,IF(DO62=CI62,CK62,IF(DO62=CM62,CO62,IF(DO62=CQ62,CS62,IF(DO62=CU62,CW62,IF(DO62=CY62,DA62,IF(DO62=DC62,DE62,IF(DO62=DG62,DI62,IF(DO62=DK62,DM62,0)))))))))))))</f>
        <v>9.9816199999999995</v>
      </c>
      <c r="DR62">
        <f t="shared" si="29"/>
        <v>0</v>
      </c>
      <c r="DS62">
        <f t="shared" si="30"/>
        <v>0.213038888888889</v>
      </c>
      <c r="DT62">
        <f>IF(DS62=BO62,BP62,IF(DS62=BS62,BT62,IF(DS62=BW62,BX62,IF(DS62=CA62,CB62,IF(DS62=CE62,CF62,IF(DS62=CI62,CJ62,IF(DS62=CM62,CN62,IF(DS62=CQ62,CR62,IF(DS62=CU62,CV62,IF(DS62=CY62,CZ62,IF(DS62=DC62,DD62,IF(DS62=DG62,DH62,IF(DS62=DK62,DL62,IF(DS62=DO62,DP62,0))))))))))))))</f>
        <v>9</v>
      </c>
      <c r="DU62">
        <f>IF(DS62=BO62,BQ62,IF(DS62=BS62,BU62,IF(DS62=BW62,BY62,IF(DS62=CA62,CC62,IF(DS62=CE62,CG62,IF(DS62=CI62,CK62,IF(DS62=CM62,CO62,IF(DS62=CQ62,CS62,IF(DS62=CU62,CW62,IF(DS62=CY62,DA62,IF(DS62=DC62,DE62,IF(DS62=DG62,DI62,IF(DS62=DK62,DM62,IF(DS62=DO62,DQ62,0))))))))))))))</f>
        <v>9.9816199999999995</v>
      </c>
      <c r="DV62">
        <f t="shared" si="31"/>
        <v>0</v>
      </c>
      <c r="DW62">
        <v>22500.5</v>
      </c>
      <c r="DX62">
        <v>6</v>
      </c>
      <c r="DY62">
        <v>35</v>
      </c>
      <c r="DZ62">
        <v>6</v>
      </c>
      <c r="EA62">
        <v>6</v>
      </c>
      <c r="EB62">
        <v>10.114099490560401</v>
      </c>
      <c r="EC62">
        <v>1</v>
      </c>
      <c r="ED62">
        <v>2.0518559999999999</v>
      </c>
      <c r="EE62">
        <v>0.213038888888889</v>
      </c>
      <c r="EF62">
        <v>9.9816199999999995</v>
      </c>
      <c r="EG62">
        <v>7.2811783166853399</v>
      </c>
      <c r="EH62">
        <v>9</v>
      </c>
      <c r="EI62">
        <v>0</v>
      </c>
      <c r="EJ62">
        <v>0.86507373333333304</v>
      </c>
      <c r="EK62">
        <v>1</v>
      </c>
      <c r="EL62">
        <v>6</v>
      </c>
      <c r="EM62">
        <v>50</v>
      </c>
      <c r="EN62">
        <v>1</v>
      </c>
      <c r="EO62">
        <v>4</v>
      </c>
      <c r="EP62">
        <v>8</v>
      </c>
      <c r="EQ62">
        <v>7</v>
      </c>
      <c r="ER62">
        <v>14.1987814663817</v>
      </c>
      <c r="ES62">
        <v>8.2318224372540403</v>
      </c>
      <c r="ET62">
        <v>10.283678437254</v>
      </c>
      <c r="EU62">
        <v>6.04978525434821</v>
      </c>
      <c r="EV62">
        <v>6.9148589876815398</v>
      </c>
      <c r="EW62">
        <v>0.91559780000000002</v>
      </c>
      <c r="EX62">
        <v>6.4759853446974196</v>
      </c>
      <c r="EY62">
        <v>7.3915831446974201</v>
      </c>
      <c r="EZ62">
        <v>0.86507373333333304</v>
      </c>
      <c r="FA62">
        <v>6.04978525434821</v>
      </c>
      <c r="FB62">
        <v>6.9148589876815398</v>
      </c>
      <c r="FC62">
        <v>1.58879413333333</v>
      </c>
      <c r="FD62">
        <v>9.9009680807464697</v>
      </c>
      <c r="FE62">
        <v>11.4897622140798</v>
      </c>
      <c r="FF62">
        <v>0.86507373333333304</v>
      </c>
      <c r="FG62">
        <v>6.04978525434821</v>
      </c>
      <c r="FH62">
        <v>6.9148589876815398</v>
      </c>
    </row>
    <row r="63" spans="1:164" x14ac:dyDescent="0.2">
      <c r="A63">
        <v>62</v>
      </c>
      <c r="B63">
        <v>72</v>
      </c>
      <c r="C63">
        <v>121</v>
      </c>
      <c r="D63">
        <v>1</v>
      </c>
      <c r="E63">
        <v>11</v>
      </c>
      <c r="F63" t="s">
        <v>146</v>
      </c>
      <c r="G63" t="s">
        <v>239</v>
      </c>
      <c r="H63">
        <v>3</v>
      </c>
      <c r="I63">
        <v>1</v>
      </c>
      <c r="K63" t="s">
        <v>240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4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6</v>
      </c>
      <c r="AF63">
        <v>3</v>
      </c>
      <c r="AG63">
        <v>5</v>
      </c>
      <c r="AH63">
        <v>3</v>
      </c>
      <c r="AI63">
        <v>0.31509722222222197</v>
      </c>
      <c r="AJ63">
        <v>20.171970000000002</v>
      </c>
      <c r="AK63">
        <v>0.59243611111111105</v>
      </c>
      <c r="AL63">
        <v>40.819139999999997</v>
      </c>
      <c r="AM63">
        <v>0.486544444444444</v>
      </c>
      <c r="AN63">
        <v>38.348990000000001</v>
      </c>
      <c r="AO63">
        <v>0.482688888888889</v>
      </c>
      <c r="AP63">
        <v>35.975499999999997</v>
      </c>
      <c r="AQ63">
        <v>0.50598888888888904</v>
      </c>
      <c r="AR63">
        <v>36.30339</v>
      </c>
      <c r="AS63">
        <v>0.47117500000000001</v>
      </c>
      <c r="AT63">
        <v>32.803530000000002</v>
      </c>
      <c r="AU63">
        <v>0.37051944444444401</v>
      </c>
      <c r="AV63">
        <v>27.267990000000001</v>
      </c>
      <c r="AW63">
        <v>0.34579444444444402</v>
      </c>
      <c r="AX63">
        <v>25.241810000000001</v>
      </c>
      <c r="AY63">
        <v>0.33528333333333299</v>
      </c>
      <c r="AZ63">
        <v>23.685400000000001</v>
      </c>
      <c r="BA63">
        <v>0.32027499999999998</v>
      </c>
      <c r="BB63">
        <v>23.102419999999999</v>
      </c>
      <c r="BC63">
        <v>0.32673055555555602</v>
      </c>
      <c r="BD63">
        <v>20.647690000000001</v>
      </c>
      <c r="BE63">
        <v>0.224372222222222</v>
      </c>
      <c r="BF63">
        <v>14.16222</v>
      </c>
      <c r="BG63">
        <v>0.24402499999999999</v>
      </c>
      <c r="BH63">
        <v>13.79772</v>
      </c>
      <c r="BI63">
        <v>0.22720833333333301</v>
      </c>
      <c r="BJ63">
        <v>9.2293299999999991</v>
      </c>
      <c r="BK63">
        <v>0.21388055555555599</v>
      </c>
      <c r="BL63">
        <v>8.2031399999999994</v>
      </c>
      <c r="BM63">
        <v>0.183305555555556</v>
      </c>
      <c r="BN63">
        <v>6.8982599999999996</v>
      </c>
      <c r="BO63">
        <f t="shared" si="0"/>
        <v>0.183305555555556</v>
      </c>
      <c r="BP63">
        <v>18</v>
      </c>
      <c r="BQ63">
        <v>6.8982599999999996</v>
      </c>
      <c r="BR63">
        <f t="shared" si="1"/>
        <v>0</v>
      </c>
      <c r="BS63">
        <f t="shared" si="2"/>
        <v>0.183305555555556</v>
      </c>
      <c r="BT63">
        <f t="shared" si="3"/>
        <v>18</v>
      </c>
      <c r="BU63">
        <f t="shared" si="4"/>
        <v>6.8982599999999996</v>
      </c>
      <c r="BV63">
        <f t="shared" si="5"/>
        <v>0</v>
      </c>
      <c r="BW63">
        <f t="shared" si="6"/>
        <v>0.183305555555556</v>
      </c>
      <c r="BX63">
        <f t="shared" si="32"/>
        <v>18</v>
      </c>
      <c r="BY63">
        <f t="shared" si="33"/>
        <v>6.8982599999999996</v>
      </c>
      <c r="BZ63">
        <f t="shared" si="7"/>
        <v>0</v>
      </c>
      <c r="CA63">
        <f t="shared" si="8"/>
        <v>0.183305555555556</v>
      </c>
      <c r="CB63">
        <f>IF(CA63=BO63,BP63,IF(CA63=BS63,BT63,IF(CA63=BW63,BX63,0)))</f>
        <v>18</v>
      </c>
      <c r="CC63">
        <f>IF(CA63=BO63,BQ63,IF(CA63=BS63,BU63,IF(CA63=BW63,BY63,0)))</f>
        <v>6.8982599999999996</v>
      </c>
      <c r="CD63">
        <f t="shared" si="9"/>
        <v>0</v>
      </c>
      <c r="CE63">
        <f t="shared" si="10"/>
        <v>0.183305555555556</v>
      </c>
      <c r="CF63">
        <f>IF(CE63=BO63,BP63,IF(CE63=BS63,BT63,IF(CE63=BW63,BX63,IF(CE63=CA63,CB63,0))))</f>
        <v>18</v>
      </c>
      <c r="CG63">
        <f>IF(CE63=BO63,BQ63,IF(CE63=BS63,BU63,IF(CE63=BW63,BY63,IF(CE63=CA63,CC63,0))))</f>
        <v>6.8982599999999996</v>
      </c>
      <c r="CH63">
        <f t="shared" si="11"/>
        <v>0</v>
      </c>
      <c r="CI63">
        <f t="shared" si="12"/>
        <v>0.183305555555556</v>
      </c>
      <c r="CJ63">
        <f>IF(CI63=BO63,BP63,IF(CI63=BS63,BT63,IF(CI63=BW63,BX63,IF(CI63=CA63,CB63,IF(CI63=CE63,CF63,0)))))</f>
        <v>18</v>
      </c>
      <c r="CK63">
        <f>IF(CI63=BO63,BQ63,IF(CI63=BS63,BU63,IF(CI63=BW63,BY63,IF(CI63=CA63,CC63,IF(CI63=CE63,CG63,0)))))</f>
        <v>6.8982599999999996</v>
      </c>
      <c r="CL63">
        <f t="shared" si="13"/>
        <v>0</v>
      </c>
      <c r="CM63">
        <f t="shared" si="14"/>
        <v>0.183305555555556</v>
      </c>
      <c r="CN63">
        <f>IF(CM63=BO63,BP63,IF(CM63=BS63,BT63,IF(CM63=BW63,BX63,IF(CM63=CA63,CB63,IF(CM63=CE63,CF63,IF(CM63=CI63,CJ63,0))))))</f>
        <v>18</v>
      </c>
      <c r="CO63">
        <f>IF(CM63=BO63,BQ63,IF(CM63=BS63,BU63,IF(CM63=BW63,BY63,IF(CM63=CA63,CC63,IF(CM63=CE63,CG63,IF(CM63=CI63,CK63,0))))))</f>
        <v>6.8982599999999996</v>
      </c>
      <c r="CP63">
        <f t="shared" si="15"/>
        <v>0</v>
      </c>
      <c r="CQ63">
        <f t="shared" si="16"/>
        <v>0.183305555555556</v>
      </c>
      <c r="CR63">
        <f>IF(CQ63=BO63,BP63,IF(CQ63=BS63,BT63,IF(CQ63=BW63,BX63,IF(CQ63=CA63,CB63,IF(CQ63=CE63,CF63,IF(CQ63=CI63,CJ63,IF(CQ63=CM63,CN63,0)))))))</f>
        <v>18</v>
      </c>
      <c r="CS63">
        <f>IF(CQ63=BO63,BQ63,IF(CQ63=BS63,BU63,IF(CQ63=BW63,BY63,IF(CQ63=CA63,CC63,IF(CQ63=CE63,CG63,IF(CQ63=CI63,CK63,IF(CQ63=CM63,CO63,0)))))))</f>
        <v>6.8982599999999996</v>
      </c>
      <c r="CT63">
        <f t="shared" si="17"/>
        <v>0</v>
      </c>
      <c r="CU63">
        <f t="shared" si="18"/>
        <v>0.183305555555556</v>
      </c>
      <c r="CV63">
        <f>IF(CU63=BO63,BP63,IF(CU63=BS63,BT63,IF(CU63=BW63,BX63,IF(CU63=CA63,CB63,IF(CU63=CE63,CF63,IF(CU63=CI63,CJ63,IF(CU63=CM63,CN63,IF(CU63=CQ63,CR63,0))))))))</f>
        <v>18</v>
      </c>
      <c r="CW63">
        <f>IF(CU63=BO63,BQ63,IF(CU63=BS63,BU63,IF(CU63=BW63,BY63,IF(CU63=CA63,CC63,IF(CU63=CE63,CG63,IF(CU63=CI63,CK63,IF(CU63=CM63,CO63,IF(CU63=CQ63,CS63,0))))))))</f>
        <v>6.8982599999999996</v>
      </c>
      <c r="CX63">
        <f t="shared" si="19"/>
        <v>0</v>
      </c>
      <c r="CY63">
        <f t="shared" si="20"/>
        <v>0.183305555555556</v>
      </c>
      <c r="CZ63">
        <f>IF(CY63=BO63,BP63,IF(CY63=BS63,BT63,IF(CY63=BW63,BX63,IF(CY63=CA63,CB63,IF(CY63=CE63,CF63,IF(CY63=CI63,CJ63,IF(CY63=CM63,CN63,IF(CY63=CQ63,CR63,IF(CY63=CU63,CV63,0)))))))))</f>
        <v>18</v>
      </c>
      <c r="DA63">
        <f>IF(CY63=BO63,BQ63,IF(CY63=BS63,BU63,IF(CY63=BW63,BY63,IF(CY63=CA63,CC63,IF(CY63=CE63,CG63,IF(CY63=CI63,CK63,IF(CY63=CM63,CO63,IF(CY63=CQ63,CS63,IF(CY63=CU63,CW63,0)))))))))</f>
        <v>6.8982599999999996</v>
      </c>
      <c r="DB63">
        <f t="shared" si="21"/>
        <v>0</v>
      </c>
      <c r="DC63">
        <f t="shared" si="22"/>
        <v>0.183305555555556</v>
      </c>
      <c r="DD63">
        <f>IF(DC63=BO63,BP63,IF(DC63=BS63,BT63,IF(DC63=BW63,BX63,IF(DC63=CA63,CB63,IF(DC63=CE63,CF63,IF(DC63=CI63,CJ63,IF(DC63=CM63,CN63,IF(DC63=CQ63,CR63,IF(DC63=CU63,CV63,IF(DC63=CY63,CZ63,0))))))))))</f>
        <v>18</v>
      </c>
      <c r="DE63">
        <f>IF(DC63=BO63,BQ63,IF(DC63=BS63,BU63,IF(DC63=BW63,BY63,IF(DC63=CA63,CC63,IF(DC63=CE63,CG63,IF(DC63=CI63,CK63,IF(DC63=CM63,CO63,IF(DC63=CQ63,CS63,IF(DC63=CU63,CW63,IF(DC63=CY63,DA63,0))))))))))</f>
        <v>6.8982599999999996</v>
      </c>
      <c r="DF63">
        <f t="shared" si="23"/>
        <v>0</v>
      </c>
      <c r="DG63">
        <f t="shared" si="24"/>
        <v>0.183305555555556</v>
      </c>
      <c r="DH63">
        <f>IF(DG63=BO63,BP63,IF(DG63=BS63,BT63,IF(DG63=BW63,BX63,IF(DG63=CA63,CB63,IF(DG63=CE63,CF63,IF(DG63=CI63,CJ63,IF(DG63=CM63,CN63,IF(DG63=CQ63,CR63,IF(DG63=CU63,CV63,IF(DG63=CY63,CZ63,IF(DG63=DC63,DD63,0)))))))))))</f>
        <v>18</v>
      </c>
      <c r="DI63">
        <f>IF(DG63=BO63,BQ63,IF(DG63=BS63,BU63,IF(DG63=BW63,BY63,IF(DG63=CA63,CC63,IF(DG63=CE63,CG63,IF(DG63=CI63,CK63,IF(DG63=CM63,CO63,IF(DG63=CQ63,CS63,IF(DG63=CU63,CW63,IF(DG63=CY63,DA63,IF(DG63=DC63,DE63,0)))))))))))</f>
        <v>6.8982599999999996</v>
      </c>
      <c r="DJ63">
        <f t="shared" si="25"/>
        <v>0</v>
      </c>
      <c r="DK63">
        <f t="shared" si="26"/>
        <v>0.183305555555556</v>
      </c>
      <c r="DL63">
        <f>IF(DK63=BO63,BP63,IF(DK63=BS63,BT63,IF(DK63=BW63,BX63,IF(DK63=CA63,CB63,IF(DK63=CE63,CF63,IF(DK63=CI63,CJ63,IF(DK63=CM63,CN63,IF(DK63=CQ63,CR63,IF(DK63=CU63,CV63,IF(DK63=CY63,CZ63,IF(DK63=DC63,DD63,IF(DK63=DG63,DH63,0))))))))))))</f>
        <v>18</v>
      </c>
      <c r="DM63">
        <f>IF(DK63=BO63,BQ63,IF(DK63=BS63,BU63,IF(DK63=BW63,BY63,IF(DK63=CA63,CC63,IF(DK63=CE63,CG63,IF(DK63=CI63,CK63,IF(DK63=CM63,CO63,IF(DK63=CQ63,CS63,IF(DK63=CU63,CW63,IF(DK63=CY63,DA63,IF(DK63=DC63,DE63,IF(DK63=DG63,DI63,0))))))))))))</f>
        <v>6.8982599999999996</v>
      </c>
      <c r="DN63">
        <f t="shared" si="27"/>
        <v>0</v>
      </c>
      <c r="DO63">
        <f t="shared" si="28"/>
        <v>0.183305555555556</v>
      </c>
      <c r="DP63">
        <f>IF(DO63=BO63,BP63,IF(DO63=BS63,BT63,IF(DO63=BW63,BX63,IF(DO63=CA63,CB63,IF(DO63=CE63,CF63,IF(DO63=CI63,CJ63,IF(DO63=CM63,CN63,IF(DO63=CQ63,CR63,IF(DO63=CU63,CV63,IF(DO63=CY63,CZ63,IF(DO63=DC63,DD63,IF(DO63=DG63,DH63,IF(DO63=DK63,DL63,0)))))))))))))</f>
        <v>18</v>
      </c>
      <c r="DQ63">
        <f>IF(DO63=BO63,BQ63,IF(DO63=BS63,BU63,IF(DO63=BW63,BY63,IF(DO63=CA63,CC63,IF(DO63=CE63,CG63,IF(DO63=CI63,CK63,IF(DO63=CM63,CO63,IF(DO63=CQ63,CS63,IF(DO63=CU63,CW63,IF(DO63=CY63,DA63,IF(DO63=DC63,DE63,IF(DO63=DG63,DI63,IF(DO63=DK63,DM63,0)))))))))))))</f>
        <v>6.8982599999999996</v>
      </c>
      <c r="DR63">
        <f t="shared" si="29"/>
        <v>0</v>
      </c>
      <c r="DS63">
        <f t="shared" si="30"/>
        <v>0.21388055555555599</v>
      </c>
      <c r="DT63">
        <v>17</v>
      </c>
      <c r="DU63">
        <v>8.2031399999999994</v>
      </c>
      <c r="DV63">
        <f t="shared" si="31"/>
        <v>0</v>
      </c>
      <c r="DW63">
        <v>37501</v>
      </c>
      <c r="DX63">
        <v>6</v>
      </c>
      <c r="DY63">
        <v>25</v>
      </c>
      <c r="DZ63">
        <v>6</v>
      </c>
      <c r="EA63">
        <v>6</v>
      </c>
      <c r="EB63">
        <v>16.856907401857999</v>
      </c>
      <c r="EC63">
        <v>1</v>
      </c>
      <c r="ED63">
        <v>2.7482373999999998</v>
      </c>
      <c r="EE63">
        <v>0.183305555555556</v>
      </c>
      <c r="EF63">
        <v>6.8982599999999996</v>
      </c>
      <c r="EG63">
        <v>12.316990361369299</v>
      </c>
      <c r="EH63">
        <v>18</v>
      </c>
      <c r="EI63">
        <v>0</v>
      </c>
      <c r="EJ63">
        <v>0.59784919999999997</v>
      </c>
      <c r="EK63">
        <v>1</v>
      </c>
      <c r="EL63">
        <v>3</v>
      </c>
      <c r="EM63">
        <v>45</v>
      </c>
      <c r="EN63">
        <v>0</v>
      </c>
      <c r="EO63">
        <v>2</v>
      </c>
      <c r="EP63">
        <v>3</v>
      </c>
      <c r="EQ63">
        <v>3</v>
      </c>
      <c r="ER63">
        <v>14.1987814663817</v>
      </c>
      <c r="ES63">
        <v>8.9479931979944691</v>
      </c>
      <c r="ET63">
        <v>11.6962305979945</v>
      </c>
      <c r="EU63">
        <v>5.2054310498140497</v>
      </c>
      <c r="EV63">
        <v>5.8032802498140503</v>
      </c>
      <c r="EW63">
        <v>2.0527346666666699</v>
      </c>
      <c r="EX63">
        <v>9.52122955864</v>
      </c>
      <c r="EY63">
        <v>11.5739642253067</v>
      </c>
      <c r="EZ63">
        <v>0.59784919999999997</v>
      </c>
      <c r="FA63">
        <v>5.2054310498140497</v>
      </c>
      <c r="FB63">
        <v>5.8032802498140503</v>
      </c>
      <c r="FC63">
        <v>3.1178766666666702</v>
      </c>
      <c r="FD63">
        <v>13.7071880991678</v>
      </c>
      <c r="FE63">
        <v>16.825064765834501</v>
      </c>
      <c r="FF63">
        <v>0.59784919999999997</v>
      </c>
      <c r="FG63">
        <v>5.2054310498140497</v>
      </c>
      <c r="FH63">
        <v>5.8032802498140503</v>
      </c>
    </row>
    <row r="64" spans="1:164" x14ac:dyDescent="0.2">
      <c r="A64">
        <v>63</v>
      </c>
      <c r="B64">
        <v>73</v>
      </c>
      <c r="C64">
        <v>122</v>
      </c>
      <c r="D64">
        <v>1</v>
      </c>
      <c r="E64">
        <v>11</v>
      </c>
      <c r="F64" t="s">
        <v>241</v>
      </c>
      <c r="G64" t="s">
        <v>242</v>
      </c>
      <c r="H64">
        <v>3</v>
      </c>
      <c r="I64">
        <v>5</v>
      </c>
      <c r="K64" t="s">
        <v>170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14</v>
      </c>
      <c r="AE64">
        <v>24</v>
      </c>
      <c r="AF64">
        <v>12</v>
      </c>
      <c r="AG64">
        <v>30</v>
      </c>
      <c r="AH64">
        <v>5</v>
      </c>
      <c r="AI64">
        <v>0.40377222222222198</v>
      </c>
      <c r="AJ64">
        <v>21.68085</v>
      </c>
      <c r="AK64">
        <v>0.37228611111111098</v>
      </c>
      <c r="AL64">
        <v>11.58466</v>
      </c>
      <c r="AM64">
        <v>0.26991111111111099</v>
      </c>
      <c r="AN64">
        <v>10.12307</v>
      </c>
      <c r="AO64">
        <v>0.255202777777778</v>
      </c>
      <c r="AP64">
        <v>8.6622500000000002</v>
      </c>
      <c r="AQ64">
        <v>0.31812777777777801</v>
      </c>
      <c r="AR64">
        <v>10.73414</v>
      </c>
      <c r="AS64">
        <v>0.31245000000000001</v>
      </c>
      <c r="AT64">
        <v>10.14893</v>
      </c>
      <c r="AU64">
        <v>0.30712499999999998</v>
      </c>
      <c r="AV64">
        <v>12.55533</v>
      </c>
      <c r="AW64">
        <v>0.32870277777777801</v>
      </c>
      <c r="AX64">
        <v>16.930879999999998</v>
      </c>
      <c r="AY64">
        <v>0.33868888888888898</v>
      </c>
      <c r="AZ64">
        <v>18.169609999999999</v>
      </c>
      <c r="BA64">
        <v>0.35203888888888901</v>
      </c>
      <c r="BB64">
        <v>19.490320000000001</v>
      </c>
      <c r="BC64">
        <v>0.41286666666666699</v>
      </c>
      <c r="BD64">
        <v>20.815020000000001</v>
      </c>
      <c r="BE64">
        <v>0.42388611111111102</v>
      </c>
      <c r="BF64">
        <v>27.191980000000001</v>
      </c>
      <c r="BG64">
        <v>0.48776111111111098</v>
      </c>
      <c r="BH64">
        <v>30.594830000000002</v>
      </c>
      <c r="BI64">
        <v>0.53158611111111098</v>
      </c>
      <c r="BJ64">
        <v>32.568750000000001</v>
      </c>
      <c r="BK64">
        <v>0.59972777777777797</v>
      </c>
      <c r="BL64">
        <v>39.384390000000003</v>
      </c>
      <c r="BM64">
        <v>0.64123055555555597</v>
      </c>
      <c r="BN64">
        <v>41.377070000000003</v>
      </c>
      <c r="BO64">
        <f t="shared" si="0"/>
        <v>0.255202777777778</v>
      </c>
      <c r="BP64">
        <v>3</v>
      </c>
      <c r="BQ64">
        <v>8.6622500000000002</v>
      </c>
      <c r="BR64">
        <f t="shared" si="1"/>
        <v>0</v>
      </c>
      <c r="BS64">
        <f t="shared" si="2"/>
        <v>0.255202777777778</v>
      </c>
      <c r="BT64">
        <f t="shared" si="3"/>
        <v>3</v>
      </c>
      <c r="BU64">
        <f t="shared" si="4"/>
        <v>8.6622500000000002</v>
      </c>
      <c r="BV64">
        <f t="shared" si="5"/>
        <v>0</v>
      </c>
      <c r="BW64">
        <f t="shared" si="6"/>
        <v>0.26991111111111099</v>
      </c>
      <c r="BX64">
        <v>2</v>
      </c>
      <c r="BY64">
        <v>10.12307</v>
      </c>
      <c r="BZ64">
        <f t="shared" si="7"/>
        <v>0</v>
      </c>
      <c r="CA64">
        <f t="shared" si="8"/>
        <v>0.255202777777778</v>
      </c>
      <c r="CB64">
        <f>IF(CA64=BO64,BP64,IF(CA64=BS64,BT64,IF(CA64=BW64,BX64,0)))</f>
        <v>3</v>
      </c>
      <c r="CC64">
        <f>IF(CA64=BO64,BQ64,IF(CA64=BS64,BU64,IF(CA64=BW64,BY64,0)))</f>
        <v>8.6622500000000002</v>
      </c>
      <c r="CD64">
        <f t="shared" si="9"/>
        <v>0</v>
      </c>
      <c r="CE64">
        <f t="shared" si="10"/>
        <v>0.255202777777778</v>
      </c>
      <c r="CF64">
        <f>IF(CE64=BO64,BP64,IF(CE64=BS64,BT64,IF(CE64=BW64,BX64,IF(CE64=CA64,CB64,0))))</f>
        <v>3</v>
      </c>
      <c r="CG64">
        <f>IF(CE64=BO64,BQ64,IF(CE64=BS64,BU64,IF(CE64=BW64,BY64,IF(CE64=CA64,CC64,0))))</f>
        <v>8.6622500000000002</v>
      </c>
      <c r="CH64">
        <f t="shared" si="11"/>
        <v>0</v>
      </c>
      <c r="CI64">
        <f t="shared" si="12"/>
        <v>0.255202777777778</v>
      </c>
      <c r="CJ64">
        <f>IF(CI64=BO64,BP64,IF(CI64=BS64,BT64,IF(CI64=BW64,BX64,IF(CI64=CA64,CB64,IF(CI64=CE64,CF64,0)))))</f>
        <v>3</v>
      </c>
      <c r="CK64">
        <f>IF(CI64=BO64,BQ64,IF(CI64=BS64,BU64,IF(CI64=BW64,BY64,IF(CI64=CA64,CC64,IF(CI64=CE64,CG64,0)))))</f>
        <v>8.6622500000000002</v>
      </c>
      <c r="CL64">
        <f t="shared" si="13"/>
        <v>0</v>
      </c>
      <c r="CM64">
        <f t="shared" si="14"/>
        <v>0.255202777777778</v>
      </c>
      <c r="CN64">
        <f>IF(CM64=BO64,BP64,IF(CM64=BS64,BT64,IF(CM64=BW64,BX64,IF(CM64=CA64,CB64,IF(CM64=CE64,CF64,IF(CM64=CI64,CJ64,0))))))</f>
        <v>3</v>
      </c>
      <c r="CO64">
        <f>IF(CM64=BO64,BQ64,IF(CM64=BS64,BU64,IF(CM64=BW64,BY64,IF(CM64=CA64,CC64,IF(CM64=CE64,CG64,IF(CM64=CI64,CK64,0))))))</f>
        <v>8.6622500000000002</v>
      </c>
      <c r="CP64">
        <f t="shared" si="15"/>
        <v>0</v>
      </c>
      <c r="CQ64">
        <f t="shared" si="16"/>
        <v>0.255202777777778</v>
      </c>
      <c r="CR64">
        <f>IF(CQ64=BO64,BP64,IF(CQ64=BS64,BT64,IF(CQ64=BW64,BX64,IF(CQ64=CA64,CB64,IF(CQ64=CE64,CF64,IF(CQ64=CI64,CJ64,IF(CQ64=CM64,CN64,0)))))))</f>
        <v>3</v>
      </c>
      <c r="CS64">
        <f>IF(CQ64=BO64,BQ64,IF(CQ64=BS64,BU64,IF(CQ64=BW64,BY64,IF(CQ64=CA64,CC64,IF(CQ64=CE64,CG64,IF(CQ64=CI64,CK64,IF(CQ64=CM64,CO64,0)))))))</f>
        <v>8.6622500000000002</v>
      </c>
      <c r="CT64">
        <f t="shared" si="17"/>
        <v>0</v>
      </c>
      <c r="CU64">
        <f t="shared" si="18"/>
        <v>0.255202777777778</v>
      </c>
      <c r="CV64">
        <f>IF(CU64=BO64,BP64,IF(CU64=BS64,BT64,IF(CU64=BW64,BX64,IF(CU64=CA64,CB64,IF(CU64=CE64,CF64,IF(CU64=CI64,CJ64,IF(CU64=CM64,CN64,IF(CU64=CQ64,CR64,0))))))))</f>
        <v>3</v>
      </c>
      <c r="CW64">
        <f>IF(CU64=BO64,BQ64,IF(CU64=BS64,BU64,IF(CU64=BW64,BY64,IF(CU64=CA64,CC64,IF(CU64=CE64,CG64,IF(CU64=CI64,CK64,IF(CU64=CM64,CO64,IF(CU64=CQ64,CS64,0))))))))</f>
        <v>8.6622500000000002</v>
      </c>
      <c r="CX64">
        <f t="shared" si="19"/>
        <v>0</v>
      </c>
      <c r="CY64">
        <f t="shared" si="20"/>
        <v>0.255202777777778</v>
      </c>
      <c r="CZ64">
        <f>IF(CY64=BO64,BP64,IF(CY64=BS64,BT64,IF(CY64=BW64,BX64,IF(CY64=CA64,CB64,IF(CY64=CE64,CF64,IF(CY64=CI64,CJ64,IF(CY64=CM64,CN64,IF(CY64=CQ64,CR64,IF(CY64=CU64,CV64,0)))))))))</f>
        <v>3</v>
      </c>
      <c r="DA64">
        <f>IF(CY64=BO64,BQ64,IF(CY64=BS64,BU64,IF(CY64=BW64,BY64,IF(CY64=CA64,CC64,IF(CY64=CE64,CG64,IF(CY64=CI64,CK64,IF(CY64=CM64,CO64,IF(CY64=CQ64,CS64,IF(CY64=CU64,CW64,0)))))))))</f>
        <v>8.6622500000000002</v>
      </c>
      <c r="DB64">
        <f t="shared" si="21"/>
        <v>0</v>
      </c>
      <c r="DC64">
        <f t="shared" si="22"/>
        <v>0.255202777777778</v>
      </c>
      <c r="DD64">
        <f>IF(DC64=BO64,BP64,IF(DC64=BS64,BT64,IF(DC64=BW64,BX64,IF(DC64=CA64,CB64,IF(DC64=CE64,CF64,IF(DC64=CI64,CJ64,IF(DC64=CM64,CN64,IF(DC64=CQ64,CR64,IF(DC64=CU64,CV64,IF(DC64=CY64,CZ64,0))))))))))</f>
        <v>3</v>
      </c>
      <c r="DE64">
        <f>IF(DC64=BO64,BQ64,IF(DC64=BS64,BU64,IF(DC64=BW64,BY64,IF(DC64=CA64,CC64,IF(DC64=CE64,CG64,IF(DC64=CI64,CK64,IF(DC64=CM64,CO64,IF(DC64=CQ64,CS64,IF(DC64=CU64,CW64,IF(DC64=CY64,DA64,0))))))))))</f>
        <v>8.6622500000000002</v>
      </c>
      <c r="DF64">
        <f t="shared" si="23"/>
        <v>0</v>
      </c>
      <c r="DG64">
        <f t="shared" si="24"/>
        <v>0.255202777777778</v>
      </c>
      <c r="DH64">
        <f>IF(DG64=BO64,BP64,IF(DG64=BS64,BT64,IF(DG64=BW64,BX64,IF(DG64=CA64,CB64,IF(DG64=CE64,CF64,IF(DG64=CI64,CJ64,IF(DG64=CM64,CN64,IF(DG64=CQ64,CR64,IF(DG64=CU64,CV64,IF(DG64=CY64,CZ64,IF(DG64=DC64,DD64,0)))))))))))</f>
        <v>3</v>
      </c>
      <c r="DI64">
        <f>IF(DG64=BO64,BQ64,IF(DG64=BS64,BU64,IF(DG64=BW64,BY64,IF(DG64=CA64,CC64,IF(DG64=CE64,CG64,IF(DG64=CI64,CK64,IF(DG64=CM64,CO64,IF(DG64=CQ64,CS64,IF(DG64=CU64,CW64,IF(DG64=CY64,DA64,IF(DG64=DC64,DE64,0)))))))))))</f>
        <v>8.6622500000000002</v>
      </c>
      <c r="DJ64">
        <f t="shared" si="25"/>
        <v>0</v>
      </c>
      <c r="DK64">
        <f t="shared" si="26"/>
        <v>0.255202777777778</v>
      </c>
      <c r="DL64">
        <f>IF(DK64=BO64,BP64,IF(DK64=BS64,BT64,IF(DK64=BW64,BX64,IF(DK64=CA64,CB64,IF(DK64=CE64,CF64,IF(DK64=CI64,CJ64,IF(DK64=CM64,CN64,IF(DK64=CQ64,CR64,IF(DK64=CU64,CV64,IF(DK64=CY64,CZ64,IF(DK64=DC64,DD64,IF(DK64=DG64,DH64,0))))))))))))</f>
        <v>3</v>
      </c>
      <c r="DM64">
        <f>IF(DK64=BO64,BQ64,IF(DK64=BS64,BU64,IF(DK64=BW64,BY64,IF(DK64=CA64,CC64,IF(DK64=CE64,CG64,IF(DK64=CI64,CK64,IF(DK64=CM64,CO64,IF(DK64=CQ64,CS64,IF(DK64=CU64,CW64,IF(DK64=CY64,DA64,IF(DK64=DC64,DE64,IF(DK64=DG64,DI64,0))))))))))))</f>
        <v>8.6622500000000002</v>
      </c>
      <c r="DN64">
        <f t="shared" si="27"/>
        <v>0</v>
      </c>
      <c r="DO64">
        <f t="shared" si="28"/>
        <v>0.255202777777778</v>
      </c>
      <c r="DP64">
        <f>IF(DO64=BO64,BP64,IF(DO64=BS64,BT64,IF(DO64=BW64,BX64,IF(DO64=CA64,CB64,IF(DO64=CE64,CF64,IF(DO64=CI64,CJ64,IF(DO64=CM64,CN64,IF(DO64=CQ64,CR64,IF(DO64=CU64,CV64,IF(DO64=CY64,CZ64,IF(DO64=DC64,DD64,IF(DO64=DG64,DH64,IF(DO64=DK64,DL64,0)))))))))))))</f>
        <v>3</v>
      </c>
      <c r="DQ64">
        <f>IF(DO64=BO64,BQ64,IF(DO64=BS64,BU64,IF(DO64=BW64,BY64,IF(DO64=CA64,CC64,IF(DO64=CE64,CG64,IF(DO64=CI64,CK64,IF(DO64=CM64,CO64,IF(DO64=CQ64,CS64,IF(DO64=CU64,CW64,IF(DO64=CY64,DA64,IF(DO64=DC64,DE64,IF(DO64=DG64,DI64,IF(DO64=DK64,DM64,0)))))))))))))</f>
        <v>8.6622500000000002</v>
      </c>
      <c r="DR64">
        <f t="shared" si="29"/>
        <v>0</v>
      </c>
      <c r="DS64">
        <f t="shared" si="30"/>
        <v>0.255202777777778</v>
      </c>
      <c r="DT64">
        <f>IF(DS64=BO64,BP64,IF(DS64=BS64,BT64,IF(DS64=BW64,BX64,IF(DS64=CA64,CB64,IF(DS64=CE64,CF64,IF(DS64=CI64,CJ64,IF(DS64=CM64,CN64,IF(DS64=CQ64,CR64,IF(DS64=CU64,CV64,IF(DS64=CY64,CZ64,IF(DS64=DC64,DD64,IF(DS64=DG64,DH64,IF(DS64=DK64,DL64,IF(DS64=DO64,DP64,0))))))))))))))</f>
        <v>3</v>
      </c>
      <c r="DU64">
        <f>IF(DS64=BO64,BQ64,IF(DS64=BS64,BU64,IF(DS64=BW64,BY64,IF(DS64=CA64,CC64,IF(DS64=CE64,CG64,IF(DS64=CI64,CK64,IF(DS64=CM64,CO64,IF(DS64=CQ64,CS64,IF(DS64=CU64,CW64,IF(DS64=CY64,DA64,IF(DS64=DC64,DE64,IF(DS64=DG64,DI64,IF(DS64=DK64,DM64,IF(DS64=DO64,DQ64,0))))))))))))))</f>
        <v>8.6622500000000002</v>
      </c>
      <c r="DV64">
        <f t="shared" si="31"/>
        <v>0</v>
      </c>
      <c r="DW64">
        <v>31226.480769230799</v>
      </c>
      <c r="DX64">
        <v>6</v>
      </c>
      <c r="DY64">
        <v>0</v>
      </c>
      <c r="EA64">
        <v>4</v>
      </c>
      <c r="EB64">
        <v>14.0364762223093</v>
      </c>
      <c r="EC64">
        <v>0.66666666666666696</v>
      </c>
      <c r="ED64">
        <v>2.5456736666666702</v>
      </c>
      <c r="EE64">
        <v>0.255202777777778</v>
      </c>
      <c r="EF64">
        <v>8.6622500000000002</v>
      </c>
      <c r="EG64">
        <v>12.7475073985535</v>
      </c>
      <c r="EH64">
        <v>3</v>
      </c>
      <c r="EI64">
        <v>0</v>
      </c>
      <c r="EJ64">
        <v>0.750728333333333</v>
      </c>
      <c r="EK64">
        <v>1</v>
      </c>
      <c r="EL64">
        <v>9</v>
      </c>
      <c r="EM64">
        <v>57</v>
      </c>
      <c r="EN64">
        <v>0</v>
      </c>
      <c r="EO64">
        <v>2</v>
      </c>
      <c r="EP64">
        <v>5</v>
      </c>
      <c r="EQ64">
        <v>12</v>
      </c>
      <c r="ER64">
        <v>14.1987814663817</v>
      </c>
      <c r="ES64">
        <v>11.4661470910573</v>
      </c>
      <c r="ET64">
        <v>14.0118207577239</v>
      </c>
      <c r="EU64">
        <v>7.2471369425604699</v>
      </c>
      <c r="EV64">
        <v>7.99786527589381</v>
      </c>
      <c r="EW64">
        <v>1.57469953333333</v>
      </c>
      <c r="EX64">
        <v>9.6179390368499202</v>
      </c>
      <c r="EY64">
        <v>11.1926385701833</v>
      </c>
      <c r="EZ64">
        <v>0.750728333333333</v>
      </c>
      <c r="FA64">
        <v>7.2471369425604699</v>
      </c>
      <c r="FB64">
        <v>7.99786527589381</v>
      </c>
      <c r="FC64">
        <v>0.750728333333333</v>
      </c>
      <c r="FD64">
        <v>7.2471369425604699</v>
      </c>
      <c r="FE64">
        <v>7.99786527589381</v>
      </c>
      <c r="FF64">
        <v>0.87733273333333295</v>
      </c>
      <c r="FG64">
        <v>7.66481776402986</v>
      </c>
      <c r="FH64">
        <v>8.5421504973631901</v>
      </c>
    </row>
    <row r="65" spans="1:164" x14ac:dyDescent="0.2">
      <c r="A65">
        <v>64</v>
      </c>
      <c r="B65">
        <v>74</v>
      </c>
      <c r="C65">
        <v>123</v>
      </c>
      <c r="D65">
        <v>1</v>
      </c>
      <c r="E65">
        <v>11</v>
      </c>
      <c r="F65" t="s">
        <v>241</v>
      </c>
      <c r="G65" t="s">
        <v>242</v>
      </c>
      <c r="H65">
        <v>3</v>
      </c>
      <c r="I65">
        <v>5</v>
      </c>
      <c r="K65" t="s">
        <v>170</v>
      </c>
      <c r="L65">
        <v>1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10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12</v>
      </c>
      <c r="AE65">
        <v>24</v>
      </c>
      <c r="AF65">
        <v>12</v>
      </c>
      <c r="AG65">
        <v>30</v>
      </c>
      <c r="AH65">
        <v>6</v>
      </c>
      <c r="AI65">
        <v>0.40377222222222198</v>
      </c>
      <c r="AJ65">
        <v>21.68085</v>
      </c>
      <c r="AK65">
        <v>0.37228611111111098</v>
      </c>
      <c r="AL65">
        <v>11.58466</v>
      </c>
      <c r="AM65">
        <v>0.26991111111111099</v>
      </c>
      <c r="AN65">
        <v>10.12307</v>
      </c>
      <c r="AO65">
        <v>0.255202777777778</v>
      </c>
      <c r="AP65">
        <v>8.6622500000000002</v>
      </c>
      <c r="AQ65">
        <v>0.31812777777777801</v>
      </c>
      <c r="AR65">
        <v>10.73414</v>
      </c>
      <c r="AS65">
        <v>0.31245000000000001</v>
      </c>
      <c r="AT65">
        <v>10.14893</v>
      </c>
      <c r="AU65">
        <v>0.30712499999999998</v>
      </c>
      <c r="AV65">
        <v>12.55533</v>
      </c>
      <c r="AW65">
        <v>0.32870277777777801</v>
      </c>
      <c r="AX65">
        <v>16.930879999999998</v>
      </c>
      <c r="AY65">
        <v>0.33868888888888898</v>
      </c>
      <c r="AZ65">
        <v>18.169609999999999</v>
      </c>
      <c r="BA65">
        <v>0.35203888888888901</v>
      </c>
      <c r="BB65">
        <v>19.490320000000001</v>
      </c>
      <c r="BC65">
        <v>0.41286666666666699</v>
      </c>
      <c r="BD65">
        <v>20.815020000000001</v>
      </c>
      <c r="BE65">
        <v>0.42388611111111102</v>
      </c>
      <c r="BF65">
        <v>27.191980000000001</v>
      </c>
      <c r="BG65">
        <v>0.48776111111111098</v>
      </c>
      <c r="BH65">
        <v>30.594830000000002</v>
      </c>
      <c r="BI65">
        <v>0.53158611111111098</v>
      </c>
      <c r="BJ65">
        <v>32.568750000000001</v>
      </c>
      <c r="BK65">
        <v>0.59972777777777797</v>
      </c>
      <c r="BL65">
        <v>39.384390000000003</v>
      </c>
      <c r="BM65">
        <v>0.64123055555555597</v>
      </c>
      <c r="BN65">
        <v>41.377070000000003</v>
      </c>
      <c r="BO65">
        <f t="shared" si="0"/>
        <v>0.255202777777778</v>
      </c>
      <c r="BP65">
        <v>3</v>
      </c>
      <c r="BQ65">
        <v>8.6622500000000002</v>
      </c>
      <c r="BR65">
        <f t="shared" si="1"/>
        <v>0</v>
      </c>
      <c r="BS65">
        <f t="shared" si="2"/>
        <v>0.255202777777778</v>
      </c>
      <c r="BT65">
        <f t="shared" si="3"/>
        <v>3</v>
      </c>
      <c r="BU65">
        <f t="shared" si="4"/>
        <v>8.6622500000000002</v>
      </c>
      <c r="BV65">
        <f t="shared" si="5"/>
        <v>0</v>
      </c>
      <c r="BW65">
        <f t="shared" si="6"/>
        <v>0.26991111111111099</v>
      </c>
      <c r="BX65">
        <v>2</v>
      </c>
      <c r="BY65">
        <v>10.12307</v>
      </c>
      <c r="BZ65">
        <f t="shared" si="7"/>
        <v>0</v>
      </c>
      <c r="CA65">
        <f t="shared" si="8"/>
        <v>0.255202777777778</v>
      </c>
      <c r="CB65">
        <f>IF(CA65=BO65,BP65,IF(CA65=BS65,BT65,IF(CA65=BW65,BX65,0)))</f>
        <v>3</v>
      </c>
      <c r="CC65">
        <f>IF(CA65=BO65,BQ65,IF(CA65=BS65,BU65,IF(CA65=BW65,BY65,0)))</f>
        <v>8.6622500000000002</v>
      </c>
      <c r="CD65">
        <f t="shared" si="9"/>
        <v>0</v>
      </c>
      <c r="CE65">
        <f t="shared" si="10"/>
        <v>0.255202777777778</v>
      </c>
      <c r="CF65">
        <f>IF(CE65=BO65,BP65,IF(CE65=BS65,BT65,IF(CE65=BW65,BX65,IF(CE65=CA65,CB65,0))))</f>
        <v>3</v>
      </c>
      <c r="CG65">
        <f>IF(CE65=BO65,BQ65,IF(CE65=BS65,BU65,IF(CE65=BW65,BY65,IF(CE65=CA65,CC65,0))))</f>
        <v>8.6622500000000002</v>
      </c>
      <c r="CH65">
        <f t="shared" si="11"/>
        <v>0</v>
      </c>
      <c r="CI65">
        <f t="shared" si="12"/>
        <v>0.255202777777778</v>
      </c>
      <c r="CJ65">
        <f>IF(CI65=BO65,BP65,IF(CI65=BS65,BT65,IF(CI65=BW65,BX65,IF(CI65=CA65,CB65,IF(CI65=CE65,CF65,0)))))</f>
        <v>3</v>
      </c>
      <c r="CK65">
        <f>IF(CI65=BO65,BQ65,IF(CI65=BS65,BU65,IF(CI65=BW65,BY65,IF(CI65=CA65,CC65,IF(CI65=CE65,CG65,0)))))</f>
        <v>8.6622500000000002</v>
      </c>
      <c r="CL65">
        <f t="shared" si="13"/>
        <v>0</v>
      </c>
      <c r="CM65">
        <f t="shared" si="14"/>
        <v>0.255202777777778</v>
      </c>
      <c r="CN65">
        <f>IF(CM65=BO65,BP65,IF(CM65=BS65,BT65,IF(CM65=BW65,BX65,IF(CM65=CA65,CB65,IF(CM65=CE65,CF65,IF(CM65=CI65,CJ65,0))))))</f>
        <v>3</v>
      </c>
      <c r="CO65">
        <f>IF(CM65=BO65,BQ65,IF(CM65=BS65,BU65,IF(CM65=BW65,BY65,IF(CM65=CA65,CC65,IF(CM65=CE65,CG65,IF(CM65=CI65,CK65,0))))))</f>
        <v>8.6622500000000002</v>
      </c>
      <c r="CP65">
        <f t="shared" si="15"/>
        <v>0</v>
      </c>
      <c r="CQ65">
        <f t="shared" si="16"/>
        <v>0.255202777777778</v>
      </c>
      <c r="CR65">
        <f>IF(CQ65=BO65,BP65,IF(CQ65=BS65,BT65,IF(CQ65=BW65,BX65,IF(CQ65=CA65,CB65,IF(CQ65=CE65,CF65,IF(CQ65=CI65,CJ65,IF(CQ65=CM65,CN65,0)))))))</f>
        <v>3</v>
      </c>
      <c r="CS65">
        <f>IF(CQ65=BO65,BQ65,IF(CQ65=BS65,BU65,IF(CQ65=BW65,BY65,IF(CQ65=CA65,CC65,IF(CQ65=CE65,CG65,IF(CQ65=CI65,CK65,IF(CQ65=CM65,CO65,0)))))))</f>
        <v>8.6622500000000002</v>
      </c>
      <c r="CT65">
        <f t="shared" si="17"/>
        <v>0</v>
      </c>
      <c r="CU65">
        <f t="shared" si="18"/>
        <v>0.255202777777778</v>
      </c>
      <c r="CV65">
        <f>IF(CU65=BO65,BP65,IF(CU65=BS65,BT65,IF(CU65=BW65,BX65,IF(CU65=CA65,CB65,IF(CU65=CE65,CF65,IF(CU65=CI65,CJ65,IF(CU65=CM65,CN65,IF(CU65=CQ65,CR65,0))))))))</f>
        <v>3</v>
      </c>
      <c r="CW65">
        <f>IF(CU65=BO65,BQ65,IF(CU65=BS65,BU65,IF(CU65=BW65,BY65,IF(CU65=CA65,CC65,IF(CU65=CE65,CG65,IF(CU65=CI65,CK65,IF(CU65=CM65,CO65,IF(CU65=CQ65,CS65,0))))))))</f>
        <v>8.6622500000000002</v>
      </c>
      <c r="CX65">
        <f t="shared" si="19"/>
        <v>0</v>
      </c>
      <c r="CY65">
        <f t="shared" si="20"/>
        <v>0.255202777777778</v>
      </c>
      <c r="CZ65">
        <f>IF(CY65=BO65,BP65,IF(CY65=BS65,BT65,IF(CY65=BW65,BX65,IF(CY65=CA65,CB65,IF(CY65=CE65,CF65,IF(CY65=CI65,CJ65,IF(CY65=CM65,CN65,IF(CY65=CQ65,CR65,IF(CY65=CU65,CV65,0)))))))))</f>
        <v>3</v>
      </c>
      <c r="DA65">
        <f>IF(CY65=BO65,BQ65,IF(CY65=BS65,BU65,IF(CY65=BW65,BY65,IF(CY65=CA65,CC65,IF(CY65=CE65,CG65,IF(CY65=CI65,CK65,IF(CY65=CM65,CO65,IF(CY65=CQ65,CS65,IF(CY65=CU65,CW65,0)))))))))</f>
        <v>8.6622500000000002</v>
      </c>
      <c r="DB65">
        <f t="shared" si="21"/>
        <v>0</v>
      </c>
      <c r="DC65">
        <f t="shared" si="22"/>
        <v>0.255202777777778</v>
      </c>
      <c r="DD65">
        <f>IF(DC65=BO65,BP65,IF(DC65=BS65,BT65,IF(DC65=BW65,BX65,IF(DC65=CA65,CB65,IF(DC65=CE65,CF65,IF(DC65=CI65,CJ65,IF(DC65=CM65,CN65,IF(DC65=CQ65,CR65,IF(DC65=CU65,CV65,IF(DC65=CY65,CZ65,0))))))))))</f>
        <v>3</v>
      </c>
      <c r="DE65">
        <f>IF(DC65=BO65,BQ65,IF(DC65=BS65,BU65,IF(DC65=BW65,BY65,IF(DC65=CA65,CC65,IF(DC65=CE65,CG65,IF(DC65=CI65,CK65,IF(DC65=CM65,CO65,IF(DC65=CQ65,CS65,IF(DC65=CU65,CW65,IF(DC65=CY65,DA65,0))))))))))</f>
        <v>8.6622500000000002</v>
      </c>
      <c r="DF65">
        <f t="shared" si="23"/>
        <v>0</v>
      </c>
      <c r="DG65">
        <f t="shared" si="24"/>
        <v>0.255202777777778</v>
      </c>
      <c r="DH65">
        <f>IF(DG65=BO65,BP65,IF(DG65=BS65,BT65,IF(DG65=BW65,BX65,IF(DG65=CA65,CB65,IF(DG65=CE65,CF65,IF(DG65=CI65,CJ65,IF(DG65=CM65,CN65,IF(DG65=CQ65,CR65,IF(DG65=CU65,CV65,IF(DG65=CY65,CZ65,IF(DG65=DC65,DD65,0)))))))))))</f>
        <v>3</v>
      </c>
      <c r="DI65">
        <f>IF(DG65=BO65,BQ65,IF(DG65=BS65,BU65,IF(DG65=BW65,BY65,IF(DG65=CA65,CC65,IF(DG65=CE65,CG65,IF(DG65=CI65,CK65,IF(DG65=CM65,CO65,IF(DG65=CQ65,CS65,IF(DG65=CU65,CW65,IF(DG65=CY65,DA65,IF(DG65=DC65,DE65,0)))))))))))</f>
        <v>8.6622500000000002</v>
      </c>
      <c r="DJ65">
        <f t="shared" si="25"/>
        <v>0</v>
      </c>
      <c r="DK65">
        <f t="shared" si="26"/>
        <v>0.255202777777778</v>
      </c>
      <c r="DL65">
        <f>IF(DK65=BO65,BP65,IF(DK65=BS65,BT65,IF(DK65=BW65,BX65,IF(DK65=CA65,CB65,IF(DK65=CE65,CF65,IF(DK65=CI65,CJ65,IF(DK65=CM65,CN65,IF(DK65=CQ65,CR65,IF(DK65=CU65,CV65,IF(DK65=CY65,CZ65,IF(DK65=DC65,DD65,IF(DK65=DG65,DH65,0))))))))))))</f>
        <v>3</v>
      </c>
      <c r="DM65">
        <f>IF(DK65=BO65,BQ65,IF(DK65=BS65,BU65,IF(DK65=BW65,BY65,IF(DK65=CA65,CC65,IF(DK65=CE65,CG65,IF(DK65=CI65,CK65,IF(DK65=CM65,CO65,IF(DK65=CQ65,CS65,IF(DK65=CU65,CW65,IF(DK65=CY65,DA65,IF(DK65=DC65,DE65,IF(DK65=DG65,DI65,0))))))))))))</f>
        <v>8.6622500000000002</v>
      </c>
      <c r="DN65">
        <f t="shared" si="27"/>
        <v>0</v>
      </c>
      <c r="DO65">
        <f t="shared" si="28"/>
        <v>0.255202777777778</v>
      </c>
      <c r="DP65">
        <f>IF(DO65=BO65,BP65,IF(DO65=BS65,BT65,IF(DO65=BW65,BX65,IF(DO65=CA65,CB65,IF(DO65=CE65,CF65,IF(DO65=CI65,CJ65,IF(DO65=CM65,CN65,IF(DO65=CQ65,CR65,IF(DO65=CU65,CV65,IF(DO65=CY65,CZ65,IF(DO65=DC65,DD65,IF(DO65=DG65,DH65,IF(DO65=DK65,DL65,0)))))))))))))</f>
        <v>3</v>
      </c>
      <c r="DQ65">
        <f>IF(DO65=BO65,BQ65,IF(DO65=BS65,BU65,IF(DO65=BW65,BY65,IF(DO65=CA65,CC65,IF(DO65=CE65,CG65,IF(DO65=CI65,CK65,IF(DO65=CM65,CO65,IF(DO65=CQ65,CS65,IF(DO65=CU65,CW65,IF(DO65=CY65,DA65,IF(DO65=DC65,DE65,IF(DO65=DG65,DI65,IF(DO65=DK65,DM65,0)))))))))))))</f>
        <v>8.6622500000000002</v>
      </c>
      <c r="DR65">
        <f t="shared" si="29"/>
        <v>0</v>
      </c>
      <c r="DS65">
        <f t="shared" si="30"/>
        <v>0.255202777777778</v>
      </c>
      <c r="DT65">
        <f>IF(DS65=BO65,BP65,IF(DS65=BS65,BT65,IF(DS65=BW65,BX65,IF(DS65=CA65,CB65,IF(DS65=CE65,CF65,IF(DS65=CI65,CJ65,IF(DS65=CM65,CN65,IF(DS65=CQ65,CR65,IF(DS65=CU65,CV65,IF(DS65=CY65,CZ65,IF(DS65=DC65,DD65,IF(DS65=DG65,DH65,IF(DS65=DK65,DL65,IF(DS65=DO65,DP65,0))))))))))))))</f>
        <v>3</v>
      </c>
      <c r="DU65">
        <f>IF(DS65=BO65,BQ65,IF(DS65=BS65,BU65,IF(DS65=BW65,BY65,IF(DS65=CA65,CC65,IF(DS65=CE65,CG65,IF(DS65=CI65,CK65,IF(DS65=CM65,CO65,IF(DS65=CQ65,CS65,IF(DS65=CU65,CW65,IF(DS65=CY65,DA65,IF(DS65=DC65,DE65,IF(DS65=DG65,DI65,IF(DS65=DK65,DM65,IF(DS65=DO65,DQ65,0))))))))))))))</f>
        <v>8.6622500000000002</v>
      </c>
      <c r="DV65">
        <f t="shared" si="31"/>
        <v>0</v>
      </c>
      <c r="DW65">
        <v>31226.480769230799</v>
      </c>
      <c r="DX65">
        <v>6</v>
      </c>
      <c r="DY65">
        <v>0</v>
      </c>
      <c r="EA65">
        <v>4</v>
      </c>
      <c r="EB65">
        <v>14.0364762223093</v>
      </c>
      <c r="EC65">
        <v>0.66666666666666696</v>
      </c>
      <c r="ED65">
        <v>2.5456736666666702</v>
      </c>
      <c r="EE65">
        <v>0.255202777777778</v>
      </c>
      <c r="EF65">
        <v>8.6622500000000002</v>
      </c>
      <c r="EG65">
        <v>12.7475073985535</v>
      </c>
      <c r="EH65">
        <v>3</v>
      </c>
      <c r="EI65">
        <v>0</v>
      </c>
      <c r="EJ65">
        <v>0.750728333333333</v>
      </c>
      <c r="EK65">
        <v>1</v>
      </c>
      <c r="EL65">
        <v>9</v>
      </c>
      <c r="EM65">
        <v>46</v>
      </c>
      <c r="EN65">
        <v>1</v>
      </c>
      <c r="EO65">
        <v>4</v>
      </c>
      <c r="EP65">
        <v>6</v>
      </c>
      <c r="EQ65">
        <v>12</v>
      </c>
      <c r="ER65">
        <v>14.1987814663817</v>
      </c>
      <c r="ES65">
        <v>11.4661470910573</v>
      </c>
      <c r="ET65">
        <v>14.0118207577239</v>
      </c>
      <c r="EU65">
        <v>7.2471369425604699</v>
      </c>
      <c r="EV65">
        <v>7.99786527589381</v>
      </c>
      <c r="EW65">
        <v>1.57469953333333</v>
      </c>
      <c r="EX65">
        <v>9.6179390368499202</v>
      </c>
      <c r="EY65">
        <v>11.1926385701833</v>
      </c>
      <c r="EZ65">
        <v>0.750728333333333</v>
      </c>
      <c r="FA65">
        <v>7.2471369425604699</v>
      </c>
      <c r="FB65">
        <v>7.99786527589381</v>
      </c>
      <c r="FC65">
        <v>0.750728333333333</v>
      </c>
      <c r="FD65">
        <v>7.2471369425604699</v>
      </c>
      <c r="FE65">
        <v>7.99786527589381</v>
      </c>
      <c r="FF65">
        <v>0.87733273333333295</v>
      </c>
      <c r="FG65">
        <v>7.66481776402986</v>
      </c>
      <c r="FH65">
        <v>8.5421504973631901</v>
      </c>
    </row>
    <row r="66" spans="1:164" x14ac:dyDescent="0.2">
      <c r="A66">
        <v>65</v>
      </c>
      <c r="B66">
        <v>75</v>
      </c>
      <c r="C66">
        <v>125</v>
      </c>
      <c r="D66">
        <v>3</v>
      </c>
      <c r="E66">
        <v>12</v>
      </c>
      <c r="F66" t="s">
        <v>168</v>
      </c>
      <c r="G66" t="s">
        <v>243</v>
      </c>
      <c r="H66">
        <v>3</v>
      </c>
      <c r="I66">
        <v>5</v>
      </c>
      <c r="K66" t="s">
        <v>117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4</v>
      </c>
      <c r="AE66">
        <v>6</v>
      </c>
      <c r="AF66">
        <v>3</v>
      </c>
      <c r="AG66">
        <v>7</v>
      </c>
      <c r="AH66">
        <v>3</v>
      </c>
      <c r="AI66">
        <v>0.28987777777777801</v>
      </c>
      <c r="AJ66">
        <v>12.136799999999999</v>
      </c>
      <c r="AK66">
        <v>0.45840277777777799</v>
      </c>
      <c r="AL66">
        <v>23.175879999999999</v>
      </c>
      <c r="AM66">
        <v>0.35251388888888902</v>
      </c>
      <c r="AN66">
        <v>20.705739999999999</v>
      </c>
      <c r="AO66">
        <v>0.348655555555556</v>
      </c>
      <c r="AP66">
        <v>18.332239999999999</v>
      </c>
      <c r="AQ66">
        <v>0.37195555555555598</v>
      </c>
      <c r="AR66">
        <v>18.660139999999998</v>
      </c>
      <c r="AS66">
        <v>0.33714166666666701</v>
      </c>
      <c r="AT66">
        <v>15.160270000000001</v>
      </c>
      <c r="AU66">
        <v>0.22090833333333301</v>
      </c>
      <c r="AV66">
        <v>8.9964999999999993</v>
      </c>
      <c r="AW66">
        <v>0.23708888888888899</v>
      </c>
      <c r="AX66">
        <v>10.373049999999999</v>
      </c>
      <c r="AY66">
        <v>0.22804722222222201</v>
      </c>
      <c r="AZ66">
        <v>10.564590000000001</v>
      </c>
      <c r="BA66">
        <v>0.213038888888889</v>
      </c>
      <c r="BB66">
        <v>9.9816199999999995</v>
      </c>
      <c r="BC66">
        <v>0.29693611111111101</v>
      </c>
      <c r="BD66">
        <v>12.423389999999999</v>
      </c>
      <c r="BE66">
        <v>0.32260555555555598</v>
      </c>
      <c r="BF66">
        <v>17.779039999999998</v>
      </c>
      <c r="BG66">
        <v>0.38647777777777798</v>
      </c>
      <c r="BH66">
        <v>21.181889999999999</v>
      </c>
      <c r="BI66">
        <v>0.430305555555556</v>
      </c>
      <c r="BJ66">
        <v>23.155809999999999</v>
      </c>
      <c r="BK66">
        <v>0.49844444444444402</v>
      </c>
      <c r="BL66">
        <v>29.97146</v>
      </c>
      <c r="BM66">
        <v>0.53995000000000004</v>
      </c>
      <c r="BN66">
        <v>31.96414</v>
      </c>
      <c r="BO66">
        <f t="shared" si="0"/>
        <v>0.213038888888889</v>
      </c>
      <c r="BP66">
        <v>9</v>
      </c>
      <c r="BQ66">
        <v>9.9816199999999995</v>
      </c>
      <c r="BR66">
        <f t="shared" si="1"/>
        <v>0</v>
      </c>
      <c r="BS66">
        <f t="shared" si="2"/>
        <v>0.213038888888889</v>
      </c>
      <c r="BT66">
        <f t="shared" si="3"/>
        <v>9</v>
      </c>
      <c r="BU66">
        <f t="shared" si="4"/>
        <v>9.9816199999999995</v>
      </c>
      <c r="BV66">
        <f t="shared" si="5"/>
        <v>0</v>
      </c>
      <c r="BW66">
        <f t="shared" si="6"/>
        <v>0.213038888888889</v>
      </c>
      <c r="BX66">
        <f t="shared" si="32"/>
        <v>9</v>
      </c>
      <c r="BY66">
        <f t="shared" si="33"/>
        <v>9.9816199999999995</v>
      </c>
      <c r="BZ66">
        <f t="shared" si="7"/>
        <v>0</v>
      </c>
      <c r="CA66">
        <f t="shared" si="8"/>
        <v>0.213038888888889</v>
      </c>
      <c r="CB66">
        <f>IF(CA66=BO66,BP66,IF(CA66=BS66,BT66,IF(CA66=BW66,BX66,0)))</f>
        <v>9</v>
      </c>
      <c r="CC66">
        <f>IF(CA66=BO66,BQ66,IF(CA66=BS66,BU66,IF(CA66=BW66,BY66,0)))</f>
        <v>9.9816199999999995</v>
      </c>
      <c r="CD66">
        <f t="shared" si="9"/>
        <v>0</v>
      </c>
      <c r="CE66">
        <f t="shared" si="10"/>
        <v>0.213038888888889</v>
      </c>
      <c r="CF66">
        <f>IF(CE66=BO66,BP66,IF(CE66=BS66,BT66,IF(CE66=BW66,BX66,IF(CE66=CA66,CB66,0))))</f>
        <v>9</v>
      </c>
      <c r="CG66">
        <f>IF(CE66=BO66,BQ66,IF(CE66=BS66,BU66,IF(CE66=BW66,BY66,IF(CE66=CA66,CC66,0))))</f>
        <v>9.9816199999999995</v>
      </c>
      <c r="CH66">
        <f t="shared" si="11"/>
        <v>0</v>
      </c>
      <c r="CI66">
        <f t="shared" si="12"/>
        <v>0.213038888888889</v>
      </c>
      <c r="CJ66">
        <f>IF(CI66=BO66,BP66,IF(CI66=BS66,BT66,IF(CI66=BW66,BX66,IF(CI66=CA66,CB66,IF(CI66=CE66,CF66,0)))))</f>
        <v>9</v>
      </c>
      <c r="CK66">
        <f>IF(CI66=BO66,BQ66,IF(CI66=BS66,BU66,IF(CI66=BW66,BY66,IF(CI66=CA66,CC66,IF(CI66=CE66,CG66,0)))))</f>
        <v>9.9816199999999995</v>
      </c>
      <c r="CL66">
        <f t="shared" si="13"/>
        <v>0</v>
      </c>
      <c r="CM66">
        <f t="shared" si="14"/>
        <v>0.213038888888889</v>
      </c>
      <c r="CN66">
        <f>IF(CM66=BO66,BP66,IF(CM66=BS66,BT66,IF(CM66=BW66,BX66,IF(CM66=CA66,CB66,IF(CM66=CE66,CF66,IF(CM66=CI66,CJ66,0))))))</f>
        <v>9</v>
      </c>
      <c r="CO66">
        <f>IF(CM66=BO66,BQ66,IF(CM66=BS66,BU66,IF(CM66=BW66,BY66,IF(CM66=CA66,CC66,IF(CM66=CE66,CG66,IF(CM66=CI66,CK66,0))))))</f>
        <v>9.9816199999999995</v>
      </c>
      <c r="CP66">
        <f t="shared" si="15"/>
        <v>0</v>
      </c>
      <c r="CQ66">
        <f t="shared" si="16"/>
        <v>0.213038888888889</v>
      </c>
      <c r="CR66">
        <f>IF(CQ66=BO66,BP66,IF(CQ66=BS66,BT66,IF(CQ66=BW66,BX66,IF(CQ66=CA66,CB66,IF(CQ66=CE66,CF66,IF(CQ66=CI66,CJ66,IF(CQ66=CM66,CN66,0)))))))</f>
        <v>9</v>
      </c>
      <c r="CS66">
        <f>IF(CQ66=BO66,BQ66,IF(CQ66=BS66,BU66,IF(CQ66=BW66,BY66,IF(CQ66=CA66,CC66,IF(CQ66=CE66,CG66,IF(CQ66=CI66,CK66,IF(CQ66=CM66,CO66,0)))))))</f>
        <v>9.9816199999999995</v>
      </c>
      <c r="CT66">
        <f t="shared" si="17"/>
        <v>0</v>
      </c>
      <c r="CU66">
        <f t="shared" si="18"/>
        <v>0.22090833333333301</v>
      </c>
      <c r="CV66">
        <v>6</v>
      </c>
      <c r="CW66">
        <v>8.9964999999999993</v>
      </c>
      <c r="CX66">
        <f t="shared" si="19"/>
        <v>0</v>
      </c>
      <c r="CY66">
        <f t="shared" si="20"/>
        <v>0.213038888888889</v>
      </c>
      <c r="CZ66">
        <f>IF(CY66=BO66,BP66,IF(CY66=BS66,BT66,IF(CY66=BW66,BX66,IF(CY66=CA66,CB66,IF(CY66=CE66,CF66,IF(CY66=CI66,CJ66,IF(CY66=CM66,CN66,IF(CY66=CQ66,CR66,IF(CY66=CU66,CV66,0)))))))))</f>
        <v>9</v>
      </c>
      <c r="DA66">
        <f>IF(CY66=BO66,BQ66,IF(CY66=BS66,BU66,IF(CY66=BW66,BY66,IF(CY66=CA66,CC66,IF(CY66=CE66,CG66,IF(CY66=CI66,CK66,IF(CY66=CM66,CO66,IF(CY66=CQ66,CS66,IF(CY66=CU66,CW66,0)))))))))</f>
        <v>9.9816199999999995</v>
      </c>
      <c r="DB66">
        <f t="shared" si="21"/>
        <v>0</v>
      </c>
      <c r="DC66">
        <f t="shared" si="22"/>
        <v>0.213038888888889</v>
      </c>
      <c r="DD66">
        <f>IF(DC66=BO66,BP66,IF(DC66=BS66,BT66,IF(DC66=BW66,BX66,IF(DC66=CA66,CB66,IF(DC66=CE66,CF66,IF(DC66=CI66,CJ66,IF(DC66=CM66,CN66,IF(DC66=CQ66,CR66,IF(DC66=CU66,CV66,IF(DC66=CY66,CZ66,0))))))))))</f>
        <v>9</v>
      </c>
      <c r="DE66">
        <f>IF(DC66=BO66,BQ66,IF(DC66=BS66,BU66,IF(DC66=BW66,BY66,IF(DC66=CA66,CC66,IF(DC66=CE66,CG66,IF(DC66=CI66,CK66,IF(DC66=CM66,CO66,IF(DC66=CQ66,CS66,IF(DC66=CU66,CW66,IF(DC66=CY66,DA66,0))))))))))</f>
        <v>9.9816199999999995</v>
      </c>
      <c r="DF66">
        <f t="shared" si="23"/>
        <v>0</v>
      </c>
      <c r="DG66">
        <f t="shared" si="24"/>
        <v>0.213038888888889</v>
      </c>
      <c r="DH66">
        <f>IF(DG66=BO66,BP66,IF(DG66=BS66,BT66,IF(DG66=BW66,BX66,IF(DG66=CA66,CB66,IF(DG66=CE66,CF66,IF(DG66=CI66,CJ66,IF(DG66=CM66,CN66,IF(DG66=CQ66,CR66,IF(DG66=CU66,CV66,IF(DG66=CY66,CZ66,IF(DG66=DC66,DD66,0)))))))))))</f>
        <v>9</v>
      </c>
      <c r="DI66">
        <f>IF(DG66=BO66,BQ66,IF(DG66=BS66,BU66,IF(DG66=BW66,BY66,IF(DG66=CA66,CC66,IF(DG66=CE66,CG66,IF(DG66=CI66,CK66,IF(DG66=CM66,CO66,IF(DG66=CQ66,CS66,IF(DG66=CU66,CW66,IF(DG66=CY66,DA66,IF(DG66=DC66,DE66,0)))))))))))</f>
        <v>9.9816199999999995</v>
      </c>
      <c r="DJ66">
        <f t="shared" si="25"/>
        <v>0</v>
      </c>
      <c r="DK66">
        <f t="shared" si="26"/>
        <v>0.213038888888889</v>
      </c>
      <c r="DL66">
        <f>IF(DK66=BO66,BP66,IF(DK66=BS66,BT66,IF(DK66=BW66,BX66,IF(DK66=CA66,CB66,IF(DK66=CE66,CF66,IF(DK66=CI66,CJ66,IF(DK66=CM66,CN66,IF(DK66=CQ66,CR66,IF(DK66=CU66,CV66,IF(DK66=CY66,CZ66,IF(DK66=DC66,DD66,IF(DK66=DG66,DH66,0))))))))))))</f>
        <v>9</v>
      </c>
      <c r="DM66">
        <f>IF(DK66=BO66,BQ66,IF(DK66=BS66,BU66,IF(DK66=BW66,BY66,IF(DK66=CA66,CC66,IF(DK66=CE66,CG66,IF(DK66=CI66,CK66,IF(DK66=CM66,CO66,IF(DK66=CQ66,CS66,IF(DK66=CU66,CW66,IF(DK66=CY66,DA66,IF(DK66=DC66,DE66,IF(DK66=DG66,DI66,0))))))))))))</f>
        <v>9.9816199999999995</v>
      </c>
      <c r="DN66">
        <f t="shared" si="27"/>
        <v>0</v>
      </c>
      <c r="DO66">
        <f t="shared" si="28"/>
        <v>0.213038888888889</v>
      </c>
      <c r="DP66">
        <f>IF(DO66=BO66,BP66,IF(DO66=BS66,BT66,IF(DO66=BW66,BX66,IF(DO66=CA66,CB66,IF(DO66=CE66,CF66,IF(DO66=CI66,CJ66,IF(DO66=CM66,CN66,IF(DO66=CQ66,CR66,IF(DO66=CU66,CV66,IF(DO66=CY66,CZ66,IF(DO66=DC66,DD66,IF(DO66=DG66,DH66,IF(DO66=DK66,DL66,0)))))))))))))</f>
        <v>9</v>
      </c>
      <c r="DQ66">
        <f>IF(DO66=BO66,BQ66,IF(DO66=BS66,BU66,IF(DO66=BW66,BY66,IF(DO66=CA66,CC66,IF(DO66=CE66,CG66,IF(DO66=CI66,CK66,IF(DO66=CM66,CO66,IF(DO66=CQ66,CS66,IF(DO66=CU66,CW66,IF(DO66=CY66,DA66,IF(DO66=DC66,DE66,IF(DO66=DG66,DI66,IF(DO66=DK66,DM66,0)))))))))))))</f>
        <v>9.9816199999999995</v>
      </c>
      <c r="DR66">
        <f t="shared" si="29"/>
        <v>0</v>
      </c>
      <c r="DS66">
        <f t="shared" si="30"/>
        <v>0.213038888888889</v>
      </c>
      <c r="DT66">
        <f>IF(DS66=BO66,BP66,IF(DS66=BS66,BT66,IF(DS66=BW66,BX66,IF(DS66=CA66,CB66,IF(DS66=CE66,CF66,IF(DS66=CI66,CJ66,IF(DS66=CM66,CN66,IF(DS66=CQ66,CR66,IF(DS66=CU66,CV66,IF(DS66=CY66,CZ66,IF(DS66=DC66,DD66,IF(DS66=DG66,DH66,IF(DS66=DK66,DL66,IF(DS66=DO66,DP66,0))))))))))))))</f>
        <v>9</v>
      </c>
      <c r="DU66">
        <f>IF(DS66=BO66,BQ66,IF(DS66=BS66,BU66,IF(DS66=BW66,BY66,IF(DS66=CA66,CC66,IF(DS66=CE66,CG66,IF(DS66=CI66,CK66,IF(DS66=CM66,CO66,IF(DS66=CQ66,CS66,IF(DS66=CU66,CW66,IF(DS66=CY66,DA66,IF(DS66=DC66,DE66,IF(DS66=DG66,DI66,IF(DS66=DK66,DM66,IF(DS66=DO66,DQ66,0))))))))))))))</f>
        <v>9.9816199999999995</v>
      </c>
      <c r="DV66">
        <f t="shared" si="31"/>
        <v>0</v>
      </c>
      <c r="DW66">
        <v>150001</v>
      </c>
      <c r="DX66">
        <v>2</v>
      </c>
      <c r="DY66">
        <v>25</v>
      </c>
      <c r="EA66">
        <v>4</v>
      </c>
      <c r="EB66">
        <v>67.426281090800103</v>
      </c>
      <c r="EC66">
        <v>2</v>
      </c>
      <c r="ED66">
        <v>5.1555679999999997</v>
      </c>
      <c r="EE66">
        <v>0.213038888888889</v>
      </c>
      <c r="EF66">
        <v>9.9816199999999995</v>
      </c>
      <c r="EG66">
        <v>42.343179895615897</v>
      </c>
      <c r="EH66">
        <v>9</v>
      </c>
      <c r="EI66">
        <v>0</v>
      </c>
      <c r="EJ66">
        <v>2.5952212000000001</v>
      </c>
      <c r="EK66">
        <v>1</v>
      </c>
      <c r="EL66">
        <v>1</v>
      </c>
      <c r="EM66">
        <v>55</v>
      </c>
      <c r="EN66">
        <v>0</v>
      </c>
      <c r="EO66">
        <v>4</v>
      </c>
      <c r="EP66">
        <v>3</v>
      </c>
      <c r="EQ66">
        <v>3</v>
      </c>
      <c r="ER66">
        <v>14.1987814663817</v>
      </c>
      <c r="ES66">
        <v>8.2318224372540403</v>
      </c>
      <c r="ET66">
        <v>13.387390437254</v>
      </c>
      <c r="EU66">
        <v>6.04978525434821</v>
      </c>
      <c r="EV66">
        <v>8.6450064543482092</v>
      </c>
      <c r="EW66">
        <v>2.7467934000000001</v>
      </c>
      <c r="EX66">
        <v>6.4759853446974196</v>
      </c>
      <c r="EY66">
        <v>9.2227787446974201</v>
      </c>
      <c r="EZ66">
        <v>2.5952212000000001</v>
      </c>
      <c r="FA66">
        <v>6.04978525434821</v>
      </c>
      <c r="FB66">
        <v>8.6450064543482092</v>
      </c>
      <c r="FC66">
        <v>4.7663824000000004</v>
      </c>
      <c r="FD66">
        <v>9.9009680807464697</v>
      </c>
      <c r="FE66">
        <v>14.667350480746499</v>
      </c>
      <c r="FF66">
        <v>2.5952212000000001</v>
      </c>
      <c r="FG66">
        <v>6.04978525434821</v>
      </c>
      <c r="FH66">
        <v>8.6450064543482092</v>
      </c>
    </row>
    <row r="67" spans="1:164" x14ac:dyDescent="0.2">
      <c r="A67">
        <v>66</v>
      </c>
      <c r="B67">
        <v>76</v>
      </c>
      <c r="C67">
        <v>126</v>
      </c>
      <c r="D67">
        <v>1</v>
      </c>
      <c r="E67">
        <v>11</v>
      </c>
      <c r="F67" t="s">
        <v>228</v>
      </c>
      <c r="G67" t="s">
        <v>244</v>
      </c>
      <c r="H67">
        <v>3</v>
      </c>
      <c r="I67">
        <v>5</v>
      </c>
      <c r="K67" t="s">
        <v>117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7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7</v>
      </c>
      <c r="AE67">
        <v>14</v>
      </c>
      <c r="AF67">
        <v>7</v>
      </c>
      <c r="AG67">
        <v>14</v>
      </c>
      <c r="AH67">
        <v>4</v>
      </c>
      <c r="AI67">
        <v>0.28987777777777801</v>
      </c>
      <c r="AJ67">
        <v>12.136799999999999</v>
      </c>
      <c r="AK67">
        <v>0.45840277777777799</v>
      </c>
      <c r="AL67">
        <v>23.175879999999999</v>
      </c>
      <c r="AM67">
        <v>0.35251388888888902</v>
      </c>
      <c r="AN67">
        <v>20.705739999999999</v>
      </c>
      <c r="AO67">
        <v>0.348655555555556</v>
      </c>
      <c r="AP67">
        <v>18.332239999999999</v>
      </c>
      <c r="AQ67">
        <v>0.37195555555555598</v>
      </c>
      <c r="AR67">
        <v>18.660139999999998</v>
      </c>
      <c r="AS67">
        <v>0.33714166666666701</v>
      </c>
      <c r="AT67">
        <v>15.160270000000001</v>
      </c>
      <c r="AU67">
        <v>0.22090833333333301</v>
      </c>
      <c r="AV67">
        <v>8.9964999999999993</v>
      </c>
      <c r="AW67">
        <v>0.23708888888888899</v>
      </c>
      <c r="AX67">
        <v>10.373049999999999</v>
      </c>
      <c r="AY67">
        <v>0.22804722222222201</v>
      </c>
      <c r="AZ67">
        <v>10.564590000000001</v>
      </c>
      <c r="BA67">
        <v>0.213038888888889</v>
      </c>
      <c r="BB67">
        <v>9.9816199999999995</v>
      </c>
      <c r="BC67">
        <v>0.29693611111111101</v>
      </c>
      <c r="BD67">
        <v>12.423389999999999</v>
      </c>
      <c r="BE67">
        <v>0.32260555555555598</v>
      </c>
      <c r="BF67">
        <v>17.779039999999998</v>
      </c>
      <c r="BG67">
        <v>0.38647777777777798</v>
      </c>
      <c r="BH67">
        <v>21.181889999999999</v>
      </c>
      <c r="BI67">
        <v>0.430305555555556</v>
      </c>
      <c r="BJ67">
        <v>23.155809999999999</v>
      </c>
      <c r="BK67">
        <v>0.49844444444444402</v>
      </c>
      <c r="BL67">
        <v>29.97146</v>
      </c>
      <c r="BM67">
        <v>0.53995000000000004</v>
      </c>
      <c r="BN67">
        <v>31.96414</v>
      </c>
      <c r="BO67">
        <f t="shared" ref="BO67:BO130" si="34">MIN(AI67,AM67,AO67,AQ67,AS67,AU67,AW67,AY67,BA67,BC67,BE67,BG67,BI67,BK67,BM67)</f>
        <v>0.213038888888889</v>
      </c>
      <c r="BP67">
        <v>9</v>
      </c>
      <c r="BQ67">
        <v>9.9816199999999995</v>
      </c>
      <c r="BR67">
        <f t="shared" ref="BR67:BR130" si="35">IF(BP67=1,5,IF(BP67=7,3,0))</f>
        <v>0</v>
      </c>
      <c r="BS67">
        <f t="shared" ref="BS67:BS130" si="36">MIN(AI67,AK67,AO67,AQ67,AS67,AU67,AW67,AY67,BA67,BC67,BE67,BG67,BI67,BK67,BM67)</f>
        <v>0.213038888888889</v>
      </c>
      <c r="BT67">
        <f t="shared" ref="BT67:BT130" si="37">IF(BS67=BO67,BP67,0)</f>
        <v>9</v>
      </c>
      <c r="BU67">
        <f t="shared" ref="BU67:BU130" si="38">IF(BS67=BO67,BQ67,0)</f>
        <v>9.9816199999999995</v>
      </c>
      <c r="BV67">
        <f t="shared" ref="BV67:BV130" si="39">IF(BT67=1,5,IF(BT67=7,3,0))</f>
        <v>0</v>
      </c>
      <c r="BW67">
        <f t="shared" ref="BW67:BW130" si="40">MIN(AI67,AK67,AM67,AQ67,AS67,AU67,AW67,AY67,BA67,BC67,BE67,BG67,BI67,BK67,BM67)</f>
        <v>0.213038888888889</v>
      </c>
      <c r="BX67">
        <f t="shared" ref="BX67:BX130" si="41">IF(BW67=BO67,BP67,IF(BW67=BS67,BT67,0))</f>
        <v>9</v>
      </c>
      <c r="BY67">
        <f t="shared" ref="BY67:BY130" si="42">IF(BW67=BO67,BQ67,IF(BW67=BS67,BU67,0))</f>
        <v>9.9816199999999995</v>
      </c>
      <c r="BZ67">
        <f t="shared" ref="BZ67:BZ130" si="43">IF(BX67=1,5,IF(BX67=7,3,0))</f>
        <v>0</v>
      </c>
      <c r="CA67">
        <f t="shared" ref="CA67:CA130" si="44">MIN(AI67,AK67,AM67,AO67,AS67,AU67,AW67,AY67,BA67,BC67,BE67,BG67,BI67,BK67,BM67)</f>
        <v>0.213038888888889</v>
      </c>
      <c r="CB67">
        <f>IF(CA67=BO67,BP67,IF(CA67=BS67,BT67,IF(CA67=BW67,BX67,0)))</f>
        <v>9</v>
      </c>
      <c r="CC67">
        <f>IF(CA67=BO67,BQ67,IF(CA67=BS67,BU67,IF(CA67=BW67,BY67,0)))</f>
        <v>9.9816199999999995</v>
      </c>
      <c r="CD67">
        <f t="shared" ref="CD67:CD130" si="45">IF(CB67=1,5,IF(CB67=7,3,0))</f>
        <v>0</v>
      </c>
      <c r="CE67">
        <f t="shared" ref="CE67:CE130" si="46">MIN(AI67,AK67,AM67,AO67,AQ67,AU67,AW67,AY67,BA67,BC67,BE67,BG67,BI67,BK67,BM67)</f>
        <v>0.213038888888889</v>
      </c>
      <c r="CF67">
        <f>IF(CE67=BO67,BP67,IF(CE67=BS67,BT67,IF(CE67=BW67,BX67,IF(CE67=CA67,CB67,0))))</f>
        <v>9</v>
      </c>
      <c r="CG67">
        <f>IF(CE67=BO67,BQ67,IF(CE67=BS67,BU67,IF(CE67=BW67,BY67,IF(CE67=CA67,CC67,0))))</f>
        <v>9.9816199999999995</v>
      </c>
      <c r="CH67">
        <f t="shared" ref="CH67:CH130" si="47">IF(CF67=1,5,IF(CF67=7,3,0))</f>
        <v>0</v>
      </c>
      <c r="CI67">
        <f t="shared" ref="CI67:CI130" si="48">MIN(AI67,AK67,AM67,AO67,AQ67,AS67,AW67,AY67,BA67,BC67,BE67,BG67,BI67,BK67,BM67)</f>
        <v>0.213038888888889</v>
      </c>
      <c r="CJ67">
        <f>IF(CI67=BO67,BP67,IF(CI67=BS67,BT67,IF(CI67=BW67,BX67,IF(CI67=CA67,CB67,IF(CI67=CE67,CF67,0)))))</f>
        <v>9</v>
      </c>
      <c r="CK67">
        <f>IF(CI67=BO67,BQ67,IF(CI67=BS67,BU67,IF(CI67=BW67,BY67,IF(CI67=CA67,CC67,IF(CI67=CE67,CG67,0)))))</f>
        <v>9.9816199999999995</v>
      </c>
      <c r="CL67">
        <f t="shared" ref="CL67:CL130" si="49">IF(CJ67=1,5,IF(CJ67=7,3,0))</f>
        <v>0</v>
      </c>
      <c r="CM67">
        <f t="shared" ref="CM67:CM130" si="50">MIN(AI67,AK67,AM67,AO67,AQ67,AS67,AU67,AY67,BA67,BC67,BE67,BG67,BI67,BK67,BM67)</f>
        <v>0.213038888888889</v>
      </c>
      <c r="CN67">
        <f>IF(CM67=BO67,BP67,IF(CM67=BS67,BT67,IF(CM67=BW67,BX67,IF(CM67=CA67,CB67,IF(CM67=CE67,CF67,IF(CM67=CI67,CJ67,0))))))</f>
        <v>9</v>
      </c>
      <c r="CO67">
        <f>IF(CM67=BO67,BQ67,IF(CM67=BS67,BU67,IF(CM67=BW67,BY67,IF(CM67=CA67,CC67,IF(CM67=CE67,CG67,IF(CM67=CI67,CK67,0))))))</f>
        <v>9.9816199999999995</v>
      </c>
      <c r="CP67">
        <f t="shared" ref="CP67:CP130" si="51">IF(CN67=1,5,IF(CN67=7,3,0))</f>
        <v>0</v>
      </c>
      <c r="CQ67">
        <f t="shared" ref="CQ67:CQ130" si="52">MIN(AI67,AK67,AM67,AO67,AQ67,AS67,AU67,AW67,BA67,BC67,BE67,BG67,BI67,BK67,BM67)</f>
        <v>0.213038888888889</v>
      </c>
      <c r="CR67">
        <f>IF(CQ67=BO67,BP67,IF(CQ67=BS67,BT67,IF(CQ67=BW67,BX67,IF(CQ67=CA67,CB67,IF(CQ67=CE67,CF67,IF(CQ67=CI67,CJ67,IF(CQ67=CM67,CN67,0)))))))</f>
        <v>9</v>
      </c>
      <c r="CS67">
        <f>IF(CQ67=BO67,BQ67,IF(CQ67=BS67,BU67,IF(CQ67=BW67,BY67,IF(CQ67=CA67,CC67,IF(CQ67=CE67,CG67,IF(CQ67=CI67,CK67,IF(CQ67=CM67,CO67,0)))))))</f>
        <v>9.9816199999999995</v>
      </c>
      <c r="CT67">
        <f t="shared" ref="CT67:CT130" si="53">IF(CR67=1,5,IF(CR67=7,3,0))</f>
        <v>0</v>
      </c>
      <c r="CU67">
        <f t="shared" ref="CU67:CU130" si="54">MIN(AI67,AK67,AM67,AO67,AQ67,AS67,AU67,AW67,AY67,BC67,BE67,BG67,BI67,BK67,BM67)</f>
        <v>0.22090833333333301</v>
      </c>
      <c r="CV67">
        <v>6</v>
      </c>
      <c r="CW67">
        <v>8.9964999999999993</v>
      </c>
      <c r="CX67">
        <f t="shared" ref="CX67:CX130" si="55">IF(CV67=1,5,IF(CV67=7,3,0))</f>
        <v>0</v>
      </c>
      <c r="CY67">
        <f t="shared" ref="CY67:CY130" si="56">MIN(AI67,AK67,AM67,AO67,AQ67,AS67,AU67,AW67,AY67,BA67,BE67,BG67,BI67,BK67,BM67)</f>
        <v>0.213038888888889</v>
      </c>
      <c r="CZ67">
        <f>IF(CY67=BO67,BP67,IF(CY67=BS67,BT67,IF(CY67=BW67,BX67,IF(CY67=CA67,CB67,IF(CY67=CE67,CF67,IF(CY67=CI67,CJ67,IF(CY67=CM67,CN67,IF(CY67=CQ67,CR67,IF(CY67=CU67,CV67,0)))))))))</f>
        <v>9</v>
      </c>
      <c r="DA67">
        <f>IF(CY67=BO67,BQ67,IF(CY67=BS67,BU67,IF(CY67=BW67,BY67,IF(CY67=CA67,CC67,IF(CY67=CE67,CG67,IF(CY67=CI67,CK67,IF(CY67=CM67,CO67,IF(CY67=CQ67,CS67,IF(CY67=CU67,CW67,0)))))))))</f>
        <v>9.9816199999999995</v>
      </c>
      <c r="DB67">
        <f t="shared" ref="DB67:DB130" si="57">IF(CZ67=1,5,IF(CZ67=7,3,0))</f>
        <v>0</v>
      </c>
      <c r="DC67">
        <f t="shared" ref="DC67:DC130" si="58">MIN(AI67,AK67,AM67,AO67,AQ67,AS67,AU67,AW67,AY67,BA67,BC67,BG67,BI67,BK67,BM67)</f>
        <v>0.213038888888889</v>
      </c>
      <c r="DD67">
        <f>IF(DC67=BO67,BP67,IF(DC67=BS67,BT67,IF(DC67=BW67,BX67,IF(DC67=CA67,CB67,IF(DC67=CE67,CF67,IF(DC67=CI67,CJ67,IF(DC67=CM67,CN67,IF(DC67=CQ67,CR67,IF(DC67=CU67,CV67,IF(DC67=CY67,CZ67,0))))))))))</f>
        <v>9</v>
      </c>
      <c r="DE67">
        <f>IF(DC67=BO67,BQ67,IF(DC67=BS67,BU67,IF(DC67=BW67,BY67,IF(DC67=CA67,CC67,IF(DC67=CE67,CG67,IF(DC67=CI67,CK67,IF(DC67=CM67,CO67,IF(DC67=CQ67,CS67,IF(DC67=CU67,CW67,IF(DC67=CY67,DA67,0))))))))))</f>
        <v>9.9816199999999995</v>
      </c>
      <c r="DF67">
        <f t="shared" ref="DF67:DF130" si="59">IF(DD67=1,5,IF(DD67=7,3,0))</f>
        <v>0</v>
      </c>
      <c r="DG67">
        <f t="shared" ref="DG67:DG130" si="60">MIN(AI67,AK67,AM67,AO67,AQ67,AS67,AU67,AW67,AY67,BA67,BC67,BE67,BI67,BK67,BM67)</f>
        <v>0.213038888888889</v>
      </c>
      <c r="DH67">
        <f>IF(DG67=BO67,BP67,IF(DG67=BS67,BT67,IF(DG67=BW67,BX67,IF(DG67=CA67,CB67,IF(DG67=CE67,CF67,IF(DG67=CI67,CJ67,IF(DG67=CM67,CN67,IF(DG67=CQ67,CR67,IF(DG67=CU67,CV67,IF(DG67=CY67,CZ67,IF(DG67=DC67,DD67,0)))))))))))</f>
        <v>9</v>
      </c>
      <c r="DI67">
        <f>IF(DG67=BO67,BQ67,IF(DG67=BS67,BU67,IF(DG67=BW67,BY67,IF(DG67=CA67,CC67,IF(DG67=CE67,CG67,IF(DG67=CI67,CK67,IF(DG67=CM67,CO67,IF(DG67=CQ67,CS67,IF(DG67=CU67,CW67,IF(DG67=CY67,DA67,IF(DG67=DC67,DE67,0)))))))))))</f>
        <v>9.9816199999999995</v>
      </c>
      <c r="DJ67">
        <f t="shared" ref="DJ67:DJ130" si="61">IF(DH67=1,5,IF(DH67=7,3,0))</f>
        <v>0</v>
      </c>
      <c r="DK67">
        <f t="shared" ref="DK67:DK130" si="62">MIN(AI67,AK67,AM67,AO67,AQ67,AS67,AU67,AW67,AY67,BA67,BC67,BE67,BG67,BK67,BM67)</f>
        <v>0.213038888888889</v>
      </c>
      <c r="DL67">
        <f>IF(DK67=BO67,BP67,IF(DK67=BS67,BT67,IF(DK67=BW67,BX67,IF(DK67=CA67,CB67,IF(DK67=CE67,CF67,IF(DK67=CI67,CJ67,IF(DK67=CM67,CN67,IF(DK67=CQ67,CR67,IF(DK67=CU67,CV67,IF(DK67=CY67,CZ67,IF(DK67=DC67,DD67,IF(DK67=DG67,DH67,0))))))))))))</f>
        <v>9</v>
      </c>
      <c r="DM67">
        <f>IF(DK67=BO67,BQ67,IF(DK67=BS67,BU67,IF(DK67=BW67,BY67,IF(DK67=CA67,CC67,IF(DK67=CE67,CG67,IF(DK67=CI67,CK67,IF(DK67=CM67,CO67,IF(DK67=CQ67,CS67,IF(DK67=CU67,CW67,IF(DK67=CY67,DA67,IF(DK67=DC67,DE67,IF(DK67=DG67,DI67,0))))))))))))</f>
        <v>9.9816199999999995</v>
      </c>
      <c r="DN67">
        <f t="shared" ref="DN67:DN130" si="63">IF(DL67=1,5,IF(DL67=7,3,0))</f>
        <v>0</v>
      </c>
      <c r="DO67">
        <f t="shared" ref="DO67:DO130" si="64">MIN(AI67,AK67,AM67,AO67,AQ67,AS67,AU67,AW67,AY67,BA67,BC67,BE67,BG67,BI67,BM67)</f>
        <v>0.213038888888889</v>
      </c>
      <c r="DP67">
        <f>IF(DO67=BO67,BP67,IF(DO67=BS67,BT67,IF(DO67=BW67,BX67,IF(DO67=CA67,CB67,IF(DO67=CE67,CF67,IF(DO67=CI67,CJ67,IF(DO67=CM67,CN67,IF(DO67=CQ67,CR67,IF(DO67=CU67,CV67,IF(DO67=CY67,CZ67,IF(DO67=DC67,DD67,IF(DO67=DG67,DH67,IF(DO67=DK67,DL67,0)))))))))))))</f>
        <v>9</v>
      </c>
      <c r="DQ67">
        <f>IF(DO67=BO67,BQ67,IF(DO67=BS67,BU67,IF(DO67=BW67,BY67,IF(DO67=CA67,CC67,IF(DO67=CE67,CG67,IF(DO67=CI67,CK67,IF(DO67=CM67,CO67,IF(DO67=CQ67,CS67,IF(DO67=CU67,CW67,IF(DO67=CY67,DA67,IF(DO67=DC67,DE67,IF(DO67=DG67,DI67,IF(DO67=DK67,DM67,0)))))))))))))</f>
        <v>9.9816199999999995</v>
      </c>
      <c r="DR67">
        <f t="shared" ref="DR67:DR130" si="65">IF(DP67=1,5,IF(DP67=7,3,0))</f>
        <v>0</v>
      </c>
      <c r="DS67">
        <f t="shared" ref="DS67:DS130" si="66">MIN(AK67,AM67,AO67,AQ67,AS67,AU67,AW67,AY67,BA67,BC67,BE67,BG67,BI67,BK67)</f>
        <v>0.213038888888889</v>
      </c>
      <c r="DT67">
        <f>IF(DS67=BO67,BP67,IF(DS67=BS67,BT67,IF(DS67=BW67,BX67,IF(DS67=CA67,CB67,IF(DS67=CE67,CF67,IF(DS67=CI67,CJ67,IF(DS67=CM67,CN67,IF(DS67=CQ67,CR67,IF(DS67=CU67,CV67,IF(DS67=CY67,CZ67,IF(DS67=DC67,DD67,IF(DS67=DG67,DH67,IF(DS67=DK67,DL67,IF(DS67=DO67,DP67,0))))))))))))))</f>
        <v>9</v>
      </c>
      <c r="DU67">
        <f>IF(DS67=BO67,BQ67,IF(DS67=BS67,BU67,IF(DS67=BW67,BY67,IF(DS67=CA67,CC67,IF(DS67=CE67,CG67,IF(DS67=CI67,CK67,IF(DS67=CM67,CO67,IF(DS67=CQ67,CS67,IF(DS67=CU67,CW67,IF(DS67=CY67,DA67,IF(DS67=DC67,DE67,IF(DS67=DG67,DI67,IF(DS67=DK67,DM67,IF(DS67=DO67,DQ67,0))))))))))))))</f>
        <v>9.9816199999999995</v>
      </c>
      <c r="DV67">
        <f t="shared" ref="DV67:DV130" si="67">IF(DT67=1,5,IF(DT67=7,3,0))</f>
        <v>0</v>
      </c>
      <c r="DW67">
        <v>37501</v>
      </c>
      <c r="DX67">
        <v>4</v>
      </c>
      <c r="DY67">
        <v>35</v>
      </c>
      <c r="DZ67">
        <v>6</v>
      </c>
      <c r="EA67">
        <v>6</v>
      </c>
      <c r="EB67">
        <v>16.856907401857999</v>
      </c>
      <c r="EC67">
        <v>1.5</v>
      </c>
      <c r="ED67">
        <v>3.0777839999999999</v>
      </c>
      <c r="EE67">
        <v>0.213038888888889</v>
      </c>
      <c r="EF67">
        <v>9.9816199999999995</v>
      </c>
      <c r="EG67">
        <v>11.8990951370997</v>
      </c>
      <c r="EH67">
        <v>9</v>
      </c>
      <c r="EI67">
        <v>0</v>
      </c>
      <c r="EJ67">
        <v>1.2976106000000001</v>
      </c>
      <c r="EK67">
        <v>1</v>
      </c>
      <c r="EL67">
        <v>6</v>
      </c>
      <c r="EM67">
        <v>50</v>
      </c>
      <c r="EN67">
        <v>0</v>
      </c>
      <c r="EO67">
        <v>4</v>
      </c>
      <c r="EP67">
        <v>4</v>
      </c>
      <c r="EQ67">
        <v>7</v>
      </c>
      <c r="ER67">
        <v>14.1987814663817</v>
      </c>
      <c r="ES67">
        <v>8.2318224372540403</v>
      </c>
      <c r="ET67">
        <v>11.309606437254001</v>
      </c>
      <c r="EU67">
        <v>6.04978525434821</v>
      </c>
      <c r="EV67">
        <v>7.3473958543482096</v>
      </c>
      <c r="EW67">
        <v>1.3733967</v>
      </c>
      <c r="EX67">
        <v>6.4759853446974196</v>
      </c>
      <c r="EY67">
        <v>7.8493820446974203</v>
      </c>
      <c r="EZ67">
        <v>1.2976106000000001</v>
      </c>
      <c r="FA67">
        <v>6.04978525434821</v>
      </c>
      <c r="FB67">
        <v>7.3473958543482096</v>
      </c>
      <c r="FC67">
        <v>2.3831912000000002</v>
      </c>
      <c r="FD67">
        <v>9.9009680807464697</v>
      </c>
      <c r="FE67">
        <v>12.284159280746501</v>
      </c>
      <c r="FF67">
        <v>1.2976106000000001</v>
      </c>
      <c r="FG67">
        <v>6.04978525434821</v>
      </c>
      <c r="FH67">
        <v>7.3473958543482096</v>
      </c>
    </row>
    <row r="68" spans="1:164" x14ac:dyDescent="0.2">
      <c r="A68">
        <v>67</v>
      </c>
      <c r="B68">
        <v>77</v>
      </c>
      <c r="C68">
        <v>127</v>
      </c>
      <c r="D68">
        <v>1</v>
      </c>
      <c r="E68">
        <v>11</v>
      </c>
      <c r="F68" t="s">
        <v>245</v>
      </c>
      <c r="G68" t="s">
        <v>246</v>
      </c>
      <c r="H68">
        <v>3</v>
      </c>
      <c r="I68">
        <v>3</v>
      </c>
      <c r="K68" t="s">
        <v>170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3</v>
      </c>
      <c r="AC68">
        <v>3</v>
      </c>
      <c r="AD68">
        <v>4</v>
      </c>
      <c r="AE68">
        <v>12</v>
      </c>
      <c r="AF68">
        <v>6</v>
      </c>
      <c r="AG68">
        <v>7</v>
      </c>
      <c r="AH68">
        <v>6</v>
      </c>
      <c r="AI68">
        <v>0.40377222222222198</v>
      </c>
      <c r="AJ68">
        <v>21.68085</v>
      </c>
      <c r="AK68">
        <v>0.37228611111111098</v>
      </c>
      <c r="AL68">
        <v>11.58466</v>
      </c>
      <c r="AM68">
        <v>0.26991111111111099</v>
      </c>
      <c r="AN68">
        <v>10.12307</v>
      </c>
      <c r="AO68">
        <v>0.255202777777778</v>
      </c>
      <c r="AP68">
        <v>8.6622500000000002</v>
      </c>
      <c r="AQ68">
        <v>0.31812777777777801</v>
      </c>
      <c r="AR68">
        <v>10.73414</v>
      </c>
      <c r="AS68">
        <v>0.31245000000000001</v>
      </c>
      <c r="AT68">
        <v>10.14893</v>
      </c>
      <c r="AU68">
        <v>0.30712499999999998</v>
      </c>
      <c r="AV68">
        <v>12.55533</v>
      </c>
      <c r="AW68">
        <v>0.32870277777777801</v>
      </c>
      <c r="AX68">
        <v>16.930879999999998</v>
      </c>
      <c r="AY68">
        <v>0.33868888888888898</v>
      </c>
      <c r="AZ68">
        <v>18.169609999999999</v>
      </c>
      <c r="BA68">
        <v>0.35203888888888901</v>
      </c>
      <c r="BB68">
        <v>19.490320000000001</v>
      </c>
      <c r="BC68">
        <v>0.41286666666666699</v>
      </c>
      <c r="BD68">
        <v>20.815020000000001</v>
      </c>
      <c r="BE68">
        <v>0.42388611111111102</v>
      </c>
      <c r="BF68">
        <v>27.191980000000001</v>
      </c>
      <c r="BG68">
        <v>0.48776111111111098</v>
      </c>
      <c r="BH68">
        <v>30.594830000000002</v>
      </c>
      <c r="BI68">
        <v>0.53158611111111098</v>
      </c>
      <c r="BJ68">
        <v>32.568750000000001</v>
      </c>
      <c r="BK68">
        <v>0.59972777777777797</v>
      </c>
      <c r="BL68">
        <v>39.384390000000003</v>
      </c>
      <c r="BM68">
        <v>0.64123055555555597</v>
      </c>
      <c r="BN68">
        <v>41.377070000000003</v>
      </c>
      <c r="BO68">
        <f t="shared" si="34"/>
        <v>0.255202777777778</v>
      </c>
      <c r="BP68">
        <v>9</v>
      </c>
      <c r="BQ68">
        <v>8.6622500000000002</v>
      </c>
      <c r="BR68">
        <f t="shared" si="35"/>
        <v>0</v>
      </c>
      <c r="BS68">
        <f t="shared" si="36"/>
        <v>0.255202777777778</v>
      </c>
      <c r="BT68">
        <f t="shared" si="37"/>
        <v>9</v>
      </c>
      <c r="BU68">
        <f t="shared" si="38"/>
        <v>8.6622500000000002</v>
      </c>
      <c r="BV68">
        <f t="shared" si="39"/>
        <v>0</v>
      </c>
      <c r="BW68">
        <f t="shared" si="40"/>
        <v>0.26991111111111099</v>
      </c>
      <c r="BX68">
        <v>2</v>
      </c>
      <c r="BY68">
        <v>10.12307</v>
      </c>
      <c r="BZ68">
        <f t="shared" si="43"/>
        <v>0</v>
      </c>
      <c r="CA68">
        <f t="shared" si="44"/>
        <v>0.255202777777778</v>
      </c>
      <c r="CB68">
        <f>IF(CA68=BO68,BP68,IF(CA68=BS68,BT68,IF(CA68=BW68,BX68,0)))</f>
        <v>9</v>
      </c>
      <c r="CC68">
        <f>IF(CA68=BO68,BQ68,IF(CA68=BS68,BU68,IF(CA68=BW68,BY68,0)))</f>
        <v>8.6622500000000002</v>
      </c>
      <c r="CD68">
        <f t="shared" si="45"/>
        <v>0</v>
      </c>
      <c r="CE68">
        <f t="shared" si="46"/>
        <v>0.255202777777778</v>
      </c>
      <c r="CF68">
        <f>IF(CE68=BO68,BP68,IF(CE68=BS68,BT68,IF(CE68=BW68,BX68,IF(CE68=CA68,CB68,0))))</f>
        <v>9</v>
      </c>
      <c r="CG68">
        <f>IF(CE68=BO68,BQ68,IF(CE68=BS68,BU68,IF(CE68=BW68,BY68,IF(CE68=CA68,CC68,0))))</f>
        <v>8.6622500000000002</v>
      </c>
      <c r="CH68">
        <f t="shared" si="47"/>
        <v>0</v>
      </c>
      <c r="CI68">
        <f t="shared" si="48"/>
        <v>0.255202777777778</v>
      </c>
      <c r="CJ68">
        <f>IF(CI68=BO68,BP68,IF(CI68=BS68,BT68,IF(CI68=BW68,BX68,IF(CI68=CA68,CB68,IF(CI68=CE68,CF68,0)))))</f>
        <v>9</v>
      </c>
      <c r="CK68">
        <f>IF(CI68=BO68,BQ68,IF(CI68=BS68,BU68,IF(CI68=BW68,BY68,IF(CI68=CA68,CC68,IF(CI68=CE68,CG68,0)))))</f>
        <v>8.6622500000000002</v>
      </c>
      <c r="CL68">
        <f t="shared" si="49"/>
        <v>0</v>
      </c>
      <c r="CM68">
        <f t="shared" si="50"/>
        <v>0.255202777777778</v>
      </c>
      <c r="CN68">
        <f>IF(CM68=BO68,BP68,IF(CM68=BS68,BT68,IF(CM68=BW68,BX68,IF(CM68=CA68,CB68,IF(CM68=CE68,CF68,IF(CM68=CI68,CJ68,0))))))</f>
        <v>9</v>
      </c>
      <c r="CO68">
        <f>IF(CM68=BO68,BQ68,IF(CM68=BS68,BU68,IF(CM68=BW68,BY68,IF(CM68=CA68,CC68,IF(CM68=CE68,CG68,IF(CM68=CI68,CK68,0))))))</f>
        <v>8.6622500000000002</v>
      </c>
      <c r="CP68">
        <f t="shared" si="51"/>
        <v>0</v>
      </c>
      <c r="CQ68">
        <f t="shared" si="52"/>
        <v>0.255202777777778</v>
      </c>
      <c r="CR68">
        <f>IF(CQ68=BO68,BP68,IF(CQ68=BS68,BT68,IF(CQ68=BW68,BX68,IF(CQ68=CA68,CB68,IF(CQ68=CE68,CF68,IF(CQ68=CI68,CJ68,IF(CQ68=CM68,CN68,0)))))))</f>
        <v>9</v>
      </c>
      <c r="CS68">
        <f>IF(CQ68=BO68,BQ68,IF(CQ68=BS68,BU68,IF(CQ68=BW68,BY68,IF(CQ68=CA68,CC68,IF(CQ68=CE68,CG68,IF(CQ68=CI68,CK68,IF(CQ68=CM68,CO68,0)))))))</f>
        <v>8.6622500000000002</v>
      </c>
      <c r="CT68">
        <f t="shared" si="53"/>
        <v>0</v>
      </c>
      <c r="CU68">
        <f t="shared" si="54"/>
        <v>0.255202777777778</v>
      </c>
      <c r="CV68">
        <f>IF(CU68=BO68,BP68,IF(CU68=BS68,BT68,IF(CU68=BW68,BX68,IF(CU68=CA68,CB68,IF(CU68=CE68,CF68,IF(CU68=CI68,CJ68,IF(CU68=CM68,CN68,IF(CU68=CQ68,CR68,0))))))))</f>
        <v>9</v>
      </c>
      <c r="CW68">
        <f>IF(CU68=BO68,BQ68,IF(CU68=BS68,BU68,IF(CU68=BW68,BY68,IF(CU68=CA68,CC68,IF(CU68=CE68,CG68,IF(CU68=CI68,CK68,IF(CU68=CM68,CO68,IF(CU68=CQ68,CS68,0))))))))</f>
        <v>8.6622500000000002</v>
      </c>
      <c r="CX68">
        <f t="shared" si="55"/>
        <v>0</v>
      </c>
      <c r="CY68">
        <f t="shared" si="56"/>
        <v>0.255202777777778</v>
      </c>
      <c r="CZ68">
        <f>IF(CY68=BO68,BP68,IF(CY68=BS68,BT68,IF(CY68=BW68,BX68,IF(CY68=CA68,CB68,IF(CY68=CE68,CF68,IF(CY68=CI68,CJ68,IF(CY68=CM68,CN68,IF(CY68=CQ68,CR68,IF(CY68=CU68,CV68,0)))))))))</f>
        <v>9</v>
      </c>
      <c r="DA68">
        <f>IF(CY68=BO68,BQ68,IF(CY68=BS68,BU68,IF(CY68=BW68,BY68,IF(CY68=CA68,CC68,IF(CY68=CE68,CG68,IF(CY68=CI68,CK68,IF(CY68=CM68,CO68,IF(CY68=CQ68,CS68,IF(CY68=CU68,CW68,0)))))))))</f>
        <v>8.6622500000000002</v>
      </c>
      <c r="DB68">
        <f t="shared" si="57"/>
        <v>0</v>
      </c>
      <c r="DC68">
        <f t="shared" si="58"/>
        <v>0.255202777777778</v>
      </c>
      <c r="DD68">
        <f>IF(DC68=BO68,BP68,IF(DC68=BS68,BT68,IF(DC68=BW68,BX68,IF(DC68=CA68,CB68,IF(DC68=CE68,CF68,IF(DC68=CI68,CJ68,IF(DC68=CM68,CN68,IF(DC68=CQ68,CR68,IF(DC68=CU68,CV68,IF(DC68=CY68,CZ68,0))))))))))</f>
        <v>9</v>
      </c>
      <c r="DE68">
        <f>IF(DC68=BO68,BQ68,IF(DC68=BS68,BU68,IF(DC68=BW68,BY68,IF(DC68=CA68,CC68,IF(DC68=CE68,CG68,IF(DC68=CI68,CK68,IF(DC68=CM68,CO68,IF(DC68=CQ68,CS68,IF(DC68=CU68,CW68,IF(DC68=CY68,DA68,0))))))))))</f>
        <v>8.6622500000000002</v>
      </c>
      <c r="DF68">
        <f t="shared" si="59"/>
        <v>0</v>
      </c>
      <c r="DG68">
        <f t="shared" si="60"/>
        <v>0.255202777777778</v>
      </c>
      <c r="DH68">
        <f>IF(DG68=BO68,BP68,IF(DG68=BS68,BT68,IF(DG68=BW68,BX68,IF(DG68=CA68,CB68,IF(DG68=CE68,CF68,IF(DG68=CI68,CJ68,IF(DG68=CM68,CN68,IF(DG68=CQ68,CR68,IF(DG68=CU68,CV68,IF(DG68=CY68,CZ68,IF(DG68=DC68,DD68,0)))))))))))</f>
        <v>9</v>
      </c>
      <c r="DI68">
        <f>IF(DG68=BO68,BQ68,IF(DG68=BS68,BU68,IF(DG68=BW68,BY68,IF(DG68=CA68,CC68,IF(DG68=CE68,CG68,IF(DG68=CI68,CK68,IF(DG68=CM68,CO68,IF(DG68=CQ68,CS68,IF(DG68=CU68,CW68,IF(DG68=CY68,DA68,IF(DG68=DC68,DE68,0)))))))))))</f>
        <v>8.6622500000000002</v>
      </c>
      <c r="DJ68">
        <f t="shared" si="61"/>
        <v>0</v>
      </c>
      <c r="DK68">
        <f t="shared" si="62"/>
        <v>0.255202777777778</v>
      </c>
      <c r="DL68">
        <f>IF(DK68=BO68,BP68,IF(DK68=BS68,BT68,IF(DK68=BW68,BX68,IF(DK68=CA68,CB68,IF(DK68=CE68,CF68,IF(DK68=CI68,CJ68,IF(DK68=CM68,CN68,IF(DK68=CQ68,CR68,IF(DK68=CU68,CV68,IF(DK68=CY68,CZ68,IF(DK68=DC68,DD68,IF(DK68=DG68,DH68,0))))))))))))</f>
        <v>9</v>
      </c>
      <c r="DM68">
        <f>IF(DK68=BO68,BQ68,IF(DK68=BS68,BU68,IF(DK68=BW68,BY68,IF(DK68=CA68,CC68,IF(DK68=CE68,CG68,IF(DK68=CI68,CK68,IF(DK68=CM68,CO68,IF(DK68=CQ68,CS68,IF(DK68=CU68,CW68,IF(DK68=CY68,DA68,IF(DK68=DC68,DE68,IF(DK68=DG68,DI68,0))))))))))))</f>
        <v>8.6622500000000002</v>
      </c>
      <c r="DN68">
        <f t="shared" si="63"/>
        <v>0</v>
      </c>
      <c r="DO68">
        <f t="shared" si="64"/>
        <v>0.255202777777778</v>
      </c>
      <c r="DP68">
        <f>IF(DO68=BO68,BP68,IF(DO68=BS68,BT68,IF(DO68=BW68,BX68,IF(DO68=CA68,CB68,IF(DO68=CE68,CF68,IF(DO68=CI68,CJ68,IF(DO68=CM68,CN68,IF(DO68=CQ68,CR68,IF(DO68=CU68,CV68,IF(DO68=CY68,CZ68,IF(DO68=DC68,DD68,IF(DO68=DG68,DH68,IF(DO68=DK68,DL68,0)))))))))))))</f>
        <v>9</v>
      </c>
      <c r="DQ68">
        <f>IF(DO68=BO68,BQ68,IF(DO68=BS68,BU68,IF(DO68=BW68,BY68,IF(DO68=CA68,CC68,IF(DO68=CE68,CG68,IF(DO68=CI68,CK68,IF(DO68=CM68,CO68,IF(DO68=CQ68,CS68,IF(DO68=CU68,CW68,IF(DO68=CY68,DA68,IF(DO68=DC68,DE68,IF(DO68=DG68,DI68,IF(DO68=DK68,DM68,0)))))))))))))</f>
        <v>8.6622500000000002</v>
      </c>
      <c r="DR68">
        <f t="shared" si="65"/>
        <v>0</v>
      </c>
      <c r="DS68">
        <f t="shared" si="66"/>
        <v>0.255202777777778</v>
      </c>
      <c r="DT68">
        <f>IF(DS68=BO68,BP68,IF(DS68=BS68,BT68,IF(DS68=BW68,BX68,IF(DS68=CA68,CB68,IF(DS68=CE68,CF68,IF(DS68=CI68,CJ68,IF(DS68=CM68,CN68,IF(DS68=CQ68,CR68,IF(DS68=CU68,CV68,IF(DS68=CY68,CZ68,IF(DS68=DC68,DD68,IF(DS68=DG68,DH68,IF(DS68=DK68,DL68,IF(DS68=DO68,DP68,0))))))))))))))</f>
        <v>9</v>
      </c>
      <c r="DU68">
        <f>IF(DS68=BO68,BQ68,IF(DS68=BS68,BU68,IF(DS68=BW68,BY68,IF(DS68=CA68,CC68,IF(DS68=CE68,CG68,IF(DS68=CI68,CK68,IF(DS68=CM68,CO68,IF(DS68=CQ68,CS68,IF(DS68=CU68,CW68,IF(DS68=CY68,DA68,IF(DS68=DC68,DE68,IF(DS68=DG68,DI68,IF(DS68=DK68,DM68,IF(DS68=DO68,DQ68,0))))))))))))))</f>
        <v>8.6622500000000002</v>
      </c>
      <c r="DV68">
        <f t="shared" si="67"/>
        <v>0</v>
      </c>
      <c r="DW68">
        <v>22500.5</v>
      </c>
      <c r="DX68">
        <v>2</v>
      </c>
      <c r="DY68">
        <v>35</v>
      </c>
      <c r="DZ68">
        <v>6</v>
      </c>
      <c r="EA68">
        <v>6</v>
      </c>
      <c r="EB68">
        <v>10.114099490560401</v>
      </c>
      <c r="EC68">
        <v>3</v>
      </c>
      <c r="ED68">
        <v>8.6370210000000007</v>
      </c>
      <c r="EE68">
        <v>0.255202777777778</v>
      </c>
      <c r="EF68">
        <v>8.6622500000000002</v>
      </c>
      <c r="EG68">
        <v>13.404871871113601</v>
      </c>
      <c r="EH68">
        <v>3</v>
      </c>
      <c r="EI68">
        <v>0</v>
      </c>
      <c r="EJ68">
        <v>2.2521849999999999</v>
      </c>
      <c r="EK68">
        <v>1</v>
      </c>
      <c r="EL68">
        <v>0</v>
      </c>
      <c r="EM68">
        <v>26</v>
      </c>
      <c r="EN68">
        <v>1</v>
      </c>
      <c r="EO68">
        <v>4</v>
      </c>
      <c r="EP68">
        <v>6</v>
      </c>
      <c r="EQ68">
        <v>6</v>
      </c>
      <c r="ER68">
        <v>14.1987814663817</v>
      </c>
      <c r="ES68">
        <v>11.4661470910573</v>
      </c>
      <c r="ET68">
        <v>20.103168091057299</v>
      </c>
      <c r="EU68">
        <v>7.2471369425604699</v>
      </c>
      <c r="EV68">
        <v>9.4993219425604707</v>
      </c>
      <c r="EW68">
        <v>4.7240985999999996</v>
      </c>
      <c r="EX68">
        <v>9.6179390368499202</v>
      </c>
      <c r="EY68">
        <v>14.3420376368499</v>
      </c>
      <c r="EZ68">
        <v>2.2521849999999999</v>
      </c>
      <c r="FA68">
        <v>7.2471369425604699</v>
      </c>
      <c r="FB68">
        <v>9.4993219425604707</v>
      </c>
      <c r="FC68">
        <v>2.2521849999999999</v>
      </c>
      <c r="FD68">
        <v>7.2471369425604699</v>
      </c>
      <c r="FE68">
        <v>9.4993219425604707</v>
      </c>
      <c r="FF68">
        <v>2.6319982</v>
      </c>
      <c r="FG68">
        <v>7.66481776402986</v>
      </c>
      <c r="FH68">
        <v>10.2968159640299</v>
      </c>
    </row>
    <row r="69" spans="1:164" x14ac:dyDescent="0.2">
      <c r="A69">
        <v>68</v>
      </c>
      <c r="B69">
        <v>78</v>
      </c>
      <c r="C69">
        <v>128</v>
      </c>
      <c r="D69">
        <v>3</v>
      </c>
      <c r="E69">
        <v>12</v>
      </c>
      <c r="F69" t="s">
        <v>158</v>
      </c>
      <c r="G69" t="s">
        <v>247</v>
      </c>
      <c r="H69">
        <v>3</v>
      </c>
      <c r="I69">
        <v>3</v>
      </c>
      <c r="K69" t="s">
        <v>170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2</v>
      </c>
      <c r="AF69">
        <v>1</v>
      </c>
      <c r="AG69">
        <v>4</v>
      </c>
      <c r="AH69">
        <v>8</v>
      </c>
      <c r="AI69">
        <v>0.40377222222222198</v>
      </c>
      <c r="AJ69">
        <v>21.68085</v>
      </c>
      <c r="AK69">
        <v>0.37228611111111098</v>
      </c>
      <c r="AL69">
        <v>11.58466</v>
      </c>
      <c r="AM69">
        <v>0.26991111111111099</v>
      </c>
      <c r="AN69">
        <v>10.12307</v>
      </c>
      <c r="AO69">
        <v>0.255202777777778</v>
      </c>
      <c r="AP69">
        <v>8.6622500000000002</v>
      </c>
      <c r="AQ69">
        <v>0.31812777777777801</v>
      </c>
      <c r="AR69">
        <v>10.73414</v>
      </c>
      <c r="AS69">
        <v>0.31245000000000001</v>
      </c>
      <c r="AT69">
        <v>10.14893</v>
      </c>
      <c r="AU69">
        <v>0.30712499999999998</v>
      </c>
      <c r="AV69">
        <v>12.55533</v>
      </c>
      <c r="AW69">
        <v>0.32870277777777801</v>
      </c>
      <c r="AX69">
        <v>16.930879999999998</v>
      </c>
      <c r="AY69">
        <v>0.33868888888888898</v>
      </c>
      <c r="AZ69">
        <v>18.169609999999999</v>
      </c>
      <c r="BA69">
        <v>0.35203888888888901</v>
      </c>
      <c r="BB69">
        <v>19.490320000000001</v>
      </c>
      <c r="BC69">
        <v>0.41286666666666699</v>
      </c>
      <c r="BD69">
        <v>20.815020000000001</v>
      </c>
      <c r="BE69">
        <v>0.42388611111111102</v>
      </c>
      <c r="BF69">
        <v>27.191980000000001</v>
      </c>
      <c r="BG69">
        <v>0.48776111111111098</v>
      </c>
      <c r="BH69">
        <v>30.594830000000002</v>
      </c>
      <c r="BI69">
        <v>0.53158611111111098</v>
      </c>
      <c r="BJ69">
        <v>32.568750000000001</v>
      </c>
      <c r="BK69">
        <v>0.59972777777777797</v>
      </c>
      <c r="BL69">
        <v>39.384390000000003</v>
      </c>
      <c r="BM69">
        <v>0.64123055555555597</v>
      </c>
      <c r="BN69">
        <v>41.377070000000003</v>
      </c>
      <c r="BO69">
        <f t="shared" si="34"/>
        <v>0.255202777777778</v>
      </c>
      <c r="BP69">
        <v>3</v>
      </c>
      <c r="BQ69">
        <v>8.6622500000000002</v>
      </c>
      <c r="BR69">
        <f t="shared" si="35"/>
        <v>0</v>
      </c>
      <c r="BS69">
        <f t="shared" si="36"/>
        <v>0.255202777777778</v>
      </c>
      <c r="BT69">
        <f t="shared" si="37"/>
        <v>3</v>
      </c>
      <c r="BU69">
        <f t="shared" si="38"/>
        <v>8.6622500000000002</v>
      </c>
      <c r="BV69">
        <f t="shared" si="39"/>
        <v>0</v>
      </c>
      <c r="BW69">
        <f t="shared" si="40"/>
        <v>0.26991111111111099</v>
      </c>
      <c r="BX69">
        <v>2</v>
      </c>
      <c r="BY69">
        <v>10.12307</v>
      </c>
      <c r="BZ69">
        <f t="shared" si="43"/>
        <v>0</v>
      </c>
      <c r="CA69">
        <f t="shared" si="44"/>
        <v>0.255202777777778</v>
      </c>
      <c r="CB69">
        <f>IF(CA69=BO69,BP69,IF(CA69=BS69,BT69,IF(CA69=BW69,BX69,0)))</f>
        <v>3</v>
      </c>
      <c r="CC69">
        <f>IF(CA69=BO69,BQ69,IF(CA69=BS69,BU69,IF(CA69=BW69,BY69,0)))</f>
        <v>8.6622500000000002</v>
      </c>
      <c r="CD69">
        <f t="shared" si="45"/>
        <v>0</v>
      </c>
      <c r="CE69">
        <f t="shared" si="46"/>
        <v>0.255202777777778</v>
      </c>
      <c r="CF69">
        <f>IF(CE69=BO69,BP69,IF(CE69=BS69,BT69,IF(CE69=BW69,BX69,IF(CE69=CA69,CB69,0))))</f>
        <v>3</v>
      </c>
      <c r="CG69">
        <f>IF(CE69=BO69,BQ69,IF(CE69=BS69,BU69,IF(CE69=BW69,BY69,IF(CE69=CA69,CC69,0))))</f>
        <v>8.6622500000000002</v>
      </c>
      <c r="CH69">
        <f t="shared" si="47"/>
        <v>0</v>
      </c>
      <c r="CI69">
        <f t="shared" si="48"/>
        <v>0.255202777777778</v>
      </c>
      <c r="CJ69">
        <f>IF(CI69=BO69,BP69,IF(CI69=BS69,BT69,IF(CI69=BW69,BX69,IF(CI69=CA69,CB69,IF(CI69=CE69,CF69,0)))))</f>
        <v>3</v>
      </c>
      <c r="CK69">
        <f>IF(CI69=BO69,BQ69,IF(CI69=BS69,BU69,IF(CI69=BW69,BY69,IF(CI69=CA69,CC69,IF(CI69=CE69,CG69,0)))))</f>
        <v>8.6622500000000002</v>
      </c>
      <c r="CL69">
        <f t="shared" si="49"/>
        <v>0</v>
      </c>
      <c r="CM69">
        <f t="shared" si="50"/>
        <v>0.255202777777778</v>
      </c>
      <c r="CN69">
        <f>IF(CM69=BO69,BP69,IF(CM69=BS69,BT69,IF(CM69=BW69,BX69,IF(CM69=CA69,CB69,IF(CM69=CE69,CF69,IF(CM69=CI69,CJ69,0))))))</f>
        <v>3</v>
      </c>
      <c r="CO69">
        <f>IF(CM69=BO69,BQ69,IF(CM69=BS69,BU69,IF(CM69=BW69,BY69,IF(CM69=CA69,CC69,IF(CM69=CE69,CG69,IF(CM69=CI69,CK69,0))))))</f>
        <v>8.6622500000000002</v>
      </c>
      <c r="CP69">
        <f t="shared" si="51"/>
        <v>0</v>
      </c>
      <c r="CQ69">
        <f t="shared" si="52"/>
        <v>0.255202777777778</v>
      </c>
      <c r="CR69">
        <f>IF(CQ69=BO69,BP69,IF(CQ69=BS69,BT69,IF(CQ69=BW69,BX69,IF(CQ69=CA69,CB69,IF(CQ69=CE69,CF69,IF(CQ69=CI69,CJ69,IF(CQ69=CM69,CN69,0)))))))</f>
        <v>3</v>
      </c>
      <c r="CS69">
        <f>IF(CQ69=BO69,BQ69,IF(CQ69=BS69,BU69,IF(CQ69=BW69,BY69,IF(CQ69=CA69,CC69,IF(CQ69=CE69,CG69,IF(CQ69=CI69,CK69,IF(CQ69=CM69,CO69,0)))))))</f>
        <v>8.6622500000000002</v>
      </c>
      <c r="CT69">
        <f t="shared" si="53"/>
        <v>0</v>
      </c>
      <c r="CU69">
        <f t="shared" si="54"/>
        <v>0.255202777777778</v>
      </c>
      <c r="CV69">
        <f>IF(CU69=BO69,BP69,IF(CU69=BS69,BT69,IF(CU69=BW69,BX69,IF(CU69=CA69,CB69,IF(CU69=CE69,CF69,IF(CU69=CI69,CJ69,IF(CU69=CM69,CN69,IF(CU69=CQ69,CR69,0))))))))</f>
        <v>3</v>
      </c>
      <c r="CW69">
        <f>IF(CU69=BO69,BQ69,IF(CU69=BS69,BU69,IF(CU69=BW69,BY69,IF(CU69=CA69,CC69,IF(CU69=CE69,CG69,IF(CU69=CI69,CK69,IF(CU69=CM69,CO69,IF(CU69=CQ69,CS69,0))))))))</f>
        <v>8.6622500000000002</v>
      </c>
      <c r="CX69">
        <f t="shared" si="55"/>
        <v>0</v>
      </c>
      <c r="CY69">
        <f t="shared" si="56"/>
        <v>0.255202777777778</v>
      </c>
      <c r="CZ69">
        <f>IF(CY69=BO69,BP69,IF(CY69=BS69,BT69,IF(CY69=BW69,BX69,IF(CY69=CA69,CB69,IF(CY69=CE69,CF69,IF(CY69=CI69,CJ69,IF(CY69=CM69,CN69,IF(CY69=CQ69,CR69,IF(CY69=CU69,CV69,0)))))))))</f>
        <v>3</v>
      </c>
      <c r="DA69">
        <f>IF(CY69=BO69,BQ69,IF(CY69=BS69,BU69,IF(CY69=BW69,BY69,IF(CY69=CA69,CC69,IF(CY69=CE69,CG69,IF(CY69=CI69,CK69,IF(CY69=CM69,CO69,IF(CY69=CQ69,CS69,IF(CY69=CU69,CW69,0)))))))))</f>
        <v>8.6622500000000002</v>
      </c>
      <c r="DB69">
        <f t="shared" si="57"/>
        <v>0</v>
      </c>
      <c r="DC69">
        <f t="shared" si="58"/>
        <v>0.255202777777778</v>
      </c>
      <c r="DD69">
        <f>IF(DC69=BO69,BP69,IF(DC69=BS69,BT69,IF(DC69=BW69,BX69,IF(DC69=CA69,CB69,IF(DC69=CE69,CF69,IF(DC69=CI69,CJ69,IF(DC69=CM69,CN69,IF(DC69=CQ69,CR69,IF(DC69=CU69,CV69,IF(DC69=CY69,CZ69,0))))))))))</f>
        <v>3</v>
      </c>
      <c r="DE69">
        <f>IF(DC69=BO69,BQ69,IF(DC69=BS69,BU69,IF(DC69=BW69,BY69,IF(DC69=CA69,CC69,IF(DC69=CE69,CG69,IF(DC69=CI69,CK69,IF(DC69=CM69,CO69,IF(DC69=CQ69,CS69,IF(DC69=CU69,CW69,IF(DC69=CY69,DA69,0))))))))))</f>
        <v>8.6622500000000002</v>
      </c>
      <c r="DF69">
        <f t="shared" si="59"/>
        <v>0</v>
      </c>
      <c r="DG69">
        <f t="shared" si="60"/>
        <v>0.255202777777778</v>
      </c>
      <c r="DH69">
        <f>IF(DG69=BO69,BP69,IF(DG69=BS69,BT69,IF(DG69=BW69,BX69,IF(DG69=CA69,CB69,IF(DG69=CE69,CF69,IF(DG69=CI69,CJ69,IF(DG69=CM69,CN69,IF(DG69=CQ69,CR69,IF(DG69=CU69,CV69,IF(DG69=CY69,CZ69,IF(DG69=DC69,DD69,0)))))))))))</f>
        <v>3</v>
      </c>
      <c r="DI69">
        <f>IF(DG69=BO69,BQ69,IF(DG69=BS69,BU69,IF(DG69=BW69,BY69,IF(DG69=CA69,CC69,IF(DG69=CE69,CG69,IF(DG69=CI69,CK69,IF(DG69=CM69,CO69,IF(DG69=CQ69,CS69,IF(DG69=CU69,CW69,IF(DG69=CY69,DA69,IF(DG69=DC69,DE69,0)))))))))))</f>
        <v>8.6622500000000002</v>
      </c>
      <c r="DJ69">
        <f t="shared" si="61"/>
        <v>0</v>
      </c>
      <c r="DK69">
        <f t="shared" si="62"/>
        <v>0.255202777777778</v>
      </c>
      <c r="DL69">
        <f>IF(DK69=BO69,BP69,IF(DK69=BS69,BT69,IF(DK69=BW69,BX69,IF(DK69=CA69,CB69,IF(DK69=CE69,CF69,IF(DK69=CI69,CJ69,IF(DK69=CM69,CN69,IF(DK69=CQ69,CR69,IF(DK69=CU69,CV69,IF(DK69=CY69,CZ69,IF(DK69=DC69,DD69,IF(DK69=DG69,DH69,0))))))))))))</f>
        <v>3</v>
      </c>
      <c r="DM69">
        <f>IF(DK69=BO69,BQ69,IF(DK69=BS69,BU69,IF(DK69=BW69,BY69,IF(DK69=CA69,CC69,IF(DK69=CE69,CG69,IF(DK69=CI69,CK69,IF(DK69=CM69,CO69,IF(DK69=CQ69,CS69,IF(DK69=CU69,CW69,IF(DK69=CY69,DA69,IF(DK69=DC69,DE69,IF(DK69=DG69,DI69,0))))))))))))</f>
        <v>8.6622500000000002</v>
      </c>
      <c r="DN69">
        <f t="shared" si="63"/>
        <v>0</v>
      </c>
      <c r="DO69">
        <f t="shared" si="64"/>
        <v>0.255202777777778</v>
      </c>
      <c r="DP69">
        <f>IF(DO69=BO69,BP69,IF(DO69=BS69,BT69,IF(DO69=BW69,BX69,IF(DO69=CA69,CB69,IF(DO69=CE69,CF69,IF(DO69=CI69,CJ69,IF(DO69=CM69,CN69,IF(DO69=CQ69,CR69,IF(DO69=CU69,CV69,IF(DO69=CY69,CZ69,IF(DO69=DC69,DD69,IF(DO69=DG69,DH69,IF(DO69=DK69,DL69,0)))))))))))))</f>
        <v>3</v>
      </c>
      <c r="DQ69">
        <f>IF(DO69=BO69,BQ69,IF(DO69=BS69,BU69,IF(DO69=BW69,BY69,IF(DO69=CA69,CC69,IF(DO69=CE69,CG69,IF(DO69=CI69,CK69,IF(DO69=CM69,CO69,IF(DO69=CQ69,CS69,IF(DO69=CU69,CW69,IF(DO69=CY69,DA69,IF(DO69=DC69,DE69,IF(DO69=DG69,DI69,IF(DO69=DK69,DM69,0)))))))))))))</f>
        <v>8.6622500000000002</v>
      </c>
      <c r="DR69">
        <f t="shared" si="65"/>
        <v>0</v>
      </c>
      <c r="DS69">
        <f t="shared" si="66"/>
        <v>0.255202777777778</v>
      </c>
      <c r="DT69">
        <f>IF(DS69=BO69,BP69,IF(DS69=BS69,BT69,IF(DS69=BW69,BX69,IF(DS69=CA69,CB69,IF(DS69=CE69,CF69,IF(DS69=CI69,CJ69,IF(DS69=CM69,CN69,IF(DS69=CQ69,CR69,IF(DS69=CU69,CV69,IF(DS69=CY69,CZ69,IF(DS69=DC69,DD69,IF(DS69=DG69,DH69,IF(DS69=DK69,DL69,IF(DS69=DO69,DP69,0))))))))))))))</f>
        <v>3</v>
      </c>
      <c r="DU69">
        <f>IF(DS69=BO69,BQ69,IF(DS69=BS69,BU69,IF(DS69=BW69,BY69,IF(DS69=CA69,CC69,IF(DS69=CE69,CG69,IF(DS69=CI69,CK69,IF(DS69=CM69,CO69,IF(DS69=CQ69,CS69,IF(DS69=CU69,CW69,IF(DS69=CY69,DA69,IF(DS69=DC69,DE69,IF(DS69=DG69,DI69,IF(DS69=DK69,DM69,IF(DS69=DO69,DQ69,0))))))))))))))</f>
        <v>8.6622500000000002</v>
      </c>
      <c r="DV69">
        <f t="shared" si="67"/>
        <v>0</v>
      </c>
      <c r="DW69">
        <v>22500.5</v>
      </c>
      <c r="DX69">
        <v>2</v>
      </c>
      <c r="DY69">
        <v>35</v>
      </c>
      <c r="DZ69">
        <v>6</v>
      </c>
      <c r="EA69">
        <v>6</v>
      </c>
      <c r="EB69">
        <v>10.114099490560401</v>
      </c>
      <c r="EC69">
        <v>3</v>
      </c>
      <c r="ED69">
        <v>8.6370210000000007</v>
      </c>
      <c r="EE69">
        <v>0.255202777777778</v>
      </c>
      <c r="EF69">
        <v>8.6622500000000002</v>
      </c>
      <c r="EG69">
        <v>13.404871871113601</v>
      </c>
      <c r="EH69">
        <v>3</v>
      </c>
      <c r="EI69">
        <v>0</v>
      </c>
      <c r="EJ69">
        <v>2.2521849999999999</v>
      </c>
      <c r="EK69">
        <v>1</v>
      </c>
      <c r="EL69">
        <v>0</v>
      </c>
      <c r="EM69">
        <v>30</v>
      </c>
      <c r="EN69">
        <v>1</v>
      </c>
      <c r="EO69">
        <v>4</v>
      </c>
      <c r="EP69">
        <v>8</v>
      </c>
      <c r="EQ69">
        <v>1</v>
      </c>
      <c r="ER69">
        <v>14.1987814663817</v>
      </c>
      <c r="ES69">
        <v>11.4661470910573</v>
      </c>
      <c r="ET69">
        <v>20.103168091057299</v>
      </c>
      <c r="EU69">
        <v>7.2471369425604699</v>
      </c>
      <c r="EV69">
        <v>9.4993219425604707</v>
      </c>
      <c r="EW69">
        <v>4.7240985999999996</v>
      </c>
      <c r="EX69">
        <v>9.6179390368499202</v>
      </c>
      <c r="EY69">
        <v>14.3420376368499</v>
      </c>
      <c r="EZ69">
        <v>2.2521849999999999</v>
      </c>
      <c r="FA69">
        <v>7.2471369425604699</v>
      </c>
      <c r="FB69">
        <v>9.4993219425604707</v>
      </c>
      <c r="FC69">
        <v>2.2521849999999999</v>
      </c>
      <c r="FD69">
        <v>7.2471369425604699</v>
      </c>
      <c r="FE69">
        <v>9.4993219425604707</v>
      </c>
      <c r="FF69">
        <v>2.6319982</v>
      </c>
      <c r="FG69">
        <v>7.66481776402986</v>
      </c>
      <c r="FH69">
        <v>10.2968159640299</v>
      </c>
    </row>
    <row r="70" spans="1:164" x14ac:dyDescent="0.2">
      <c r="A70">
        <v>69</v>
      </c>
      <c r="B70">
        <v>79</v>
      </c>
      <c r="C70">
        <v>129</v>
      </c>
      <c r="D70">
        <v>3</v>
      </c>
      <c r="E70">
        <v>12</v>
      </c>
      <c r="F70" t="s">
        <v>158</v>
      </c>
      <c r="G70" t="s">
        <v>247</v>
      </c>
      <c r="H70">
        <v>3</v>
      </c>
      <c r="I70">
        <v>3</v>
      </c>
      <c r="K70" t="s">
        <v>170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2</v>
      </c>
      <c r="AF70">
        <v>1</v>
      </c>
      <c r="AG70">
        <v>4</v>
      </c>
      <c r="AH70">
        <v>8</v>
      </c>
      <c r="AI70">
        <v>0.40377222222222198</v>
      </c>
      <c r="AJ70">
        <v>21.68085</v>
      </c>
      <c r="AK70">
        <v>0.37228611111111098</v>
      </c>
      <c r="AL70">
        <v>11.58466</v>
      </c>
      <c r="AM70">
        <v>0.26991111111111099</v>
      </c>
      <c r="AN70">
        <v>10.12307</v>
      </c>
      <c r="AO70">
        <v>0.255202777777778</v>
      </c>
      <c r="AP70">
        <v>8.6622500000000002</v>
      </c>
      <c r="AQ70">
        <v>0.31812777777777801</v>
      </c>
      <c r="AR70">
        <v>10.73414</v>
      </c>
      <c r="AS70">
        <v>0.31245000000000001</v>
      </c>
      <c r="AT70">
        <v>10.14893</v>
      </c>
      <c r="AU70">
        <v>0.30712499999999998</v>
      </c>
      <c r="AV70">
        <v>12.55533</v>
      </c>
      <c r="AW70">
        <v>0.32870277777777801</v>
      </c>
      <c r="AX70">
        <v>16.930879999999998</v>
      </c>
      <c r="AY70">
        <v>0.33868888888888898</v>
      </c>
      <c r="AZ70">
        <v>18.169609999999999</v>
      </c>
      <c r="BA70">
        <v>0.35203888888888901</v>
      </c>
      <c r="BB70">
        <v>19.490320000000001</v>
      </c>
      <c r="BC70">
        <v>0.41286666666666699</v>
      </c>
      <c r="BD70">
        <v>20.815020000000001</v>
      </c>
      <c r="BE70">
        <v>0.42388611111111102</v>
      </c>
      <c r="BF70">
        <v>27.191980000000001</v>
      </c>
      <c r="BG70">
        <v>0.48776111111111098</v>
      </c>
      <c r="BH70">
        <v>30.594830000000002</v>
      </c>
      <c r="BI70">
        <v>0.53158611111111098</v>
      </c>
      <c r="BJ70">
        <v>32.568750000000001</v>
      </c>
      <c r="BK70">
        <v>0.59972777777777797</v>
      </c>
      <c r="BL70">
        <v>39.384390000000003</v>
      </c>
      <c r="BM70">
        <v>0.64123055555555597</v>
      </c>
      <c r="BN70">
        <v>41.377070000000003</v>
      </c>
      <c r="BO70">
        <f t="shared" si="34"/>
        <v>0.255202777777778</v>
      </c>
      <c r="BP70">
        <v>3</v>
      </c>
      <c r="BQ70">
        <v>8.6622500000000002</v>
      </c>
      <c r="BR70">
        <f t="shared" si="35"/>
        <v>0</v>
      </c>
      <c r="BS70">
        <f t="shared" si="36"/>
        <v>0.255202777777778</v>
      </c>
      <c r="BT70">
        <f t="shared" si="37"/>
        <v>3</v>
      </c>
      <c r="BU70">
        <f t="shared" si="38"/>
        <v>8.6622500000000002</v>
      </c>
      <c r="BV70">
        <f t="shared" si="39"/>
        <v>0</v>
      </c>
      <c r="BW70">
        <f t="shared" si="40"/>
        <v>0.26991111111111099</v>
      </c>
      <c r="BX70">
        <v>2</v>
      </c>
      <c r="BY70">
        <v>10.12307</v>
      </c>
      <c r="BZ70">
        <f t="shared" si="43"/>
        <v>0</v>
      </c>
      <c r="CA70">
        <f t="shared" si="44"/>
        <v>0.255202777777778</v>
      </c>
      <c r="CB70">
        <f>IF(CA70=BO70,BP70,IF(CA70=BS70,BT70,IF(CA70=BW70,BX70,0)))</f>
        <v>3</v>
      </c>
      <c r="CC70">
        <f>IF(CA70=BO70,BQ70,IF(CA70=BS70,BU70,IF(CA70=BW70,BY70,0)))</f>
        <v>8.6622500000000002</v>
      </c>
      <c r="CD70">
        <f t="shared" si="45"/>
        <v>0</v>
      </c>
      <c r="CE70">
        <f t="shared" si="46"/>
        <v>0.255202777777778</v>
      </c>
      <c r="CF70">
        <f>IF(CE70=BO70,BP70,IF(CE70=BS70,BT70,IF(CE70=BW70,BX70,IF(CE70=CA70,CB70,0))))</f>
        <v>3</v>
      </c>
      <c r="CG70">
        <f>IF(CE70=BO70,BQ70,IF(CE70=BS70,BU70,IF(CE70=BW70,BY70,IF(CE70=CA70,CC70,0))))</f>
        <v>8.6622500000000002</v>
      </c>
      <c r="CH70">
        <f t="shared" si="47"/>
        <v>0</v>
      </c>
      <c r="CI70">
        <f t="shared" si="48"/>
        <v>0.255202777777778</v>
      </c>
      <c r="CJ70">
        <f>IF(CI70=BO70,BP70,IF(CI70=BS70,BT70,IF(CI70=BW70,BX70,IF(CI70=CA70,CB70,IF(CI70=CE70,CF70,0)))))</f>
        <v>3</v>
      </c>
      <c r="CK70">
        <f>IF(CI70=BO70,BQ70,IF(CI70=BS70,BU70,IF(CI70=BW70,BY70,IF(CI70=CA70,CC70,IF(CI70=CE70,CG70,0)))))</f>
        <v>8.6622500000000002</v>
      </c>
      <c r="CL70">
        <f t="shared" si="49"/>
        <v>0</v>
      </c>
      <c r="CM70">
        <f t="shared" si="50"/>
        <v>0.255202777777778</v>
      </c>
      <c r="CN70">
        <f>IF(CM70=BO70,BP70,IF(CM70=BS70,BT70,IF(CM70=BW70,BX70,IF(CM70=CA70,CB70,IF(CM70=CE70,CF70,IF(CM70=CI70,CJ70,0))))))</f>
        <v>3</v>
      </c>
      <c r="CO70">
        <f>IF(CM70=BO70,BQ70,IF(CM70=BS70,BU70,IF(CM70=BW70,BY70,IF(CM70=CA70,CC70,IF(CM70=CE70,CG70,IF(CM70=CI70,CK70,0))))))</f>
        <v>8.6622500000000002</v>
      </c>
      <c r="CP70">
        <f t="shared" si="51"/>
        <v>0</v>
      </c>
      <c r="CQ70">
        <f t="shared" si="52"/>
        <v>0.255202777777778</v>
      </c>
      <c r="CR70">
        <f>IF(CQ70=BO70,BP70,IF(CQ70=BS70,BT70,IF(CQ70=BW70,BX70,IF(CQ70=CA70,CB70,IF(CQ70=CE70,CF70,IF(CQ70=CI70,CJ70,IF(CQ70=CM70,CN70,0)))))))</f>
        <v>3</v>
      </c>
      <c r="CS70">
        <f>IF(CQ70=BO70,BQ70,IF(CQ70=BS70,BU70,IF(CQ70=BW70,BY70,IF(CQ70=CA70,CC70,IF(CQ70=CE70,CG70,IF(CQ70=CI70,CK70,IF(CQ70=CM70,CO70,0)))))))</f>
        <v>8.6622500000000002</v>
      </c>
      <c r="CT70">
        <f t="shared" si="53"/>
        <v>0</v>
      </c>
      <c r="CU70">
        <f t="shared" si="54"/>
        <v>0.255202777777778</v>
      </c>
      <c r="CV70">
        <f>IF(CU70=BO70,BP70,IF(CU70=BS70,BT70,IF(CU70=BW70,BX70,IF(CU70=CA70,CB70,IF(CU70=CE70,CF70,IF(CU70=CI70,CJ70,IF(CU70=CM70,CN70,IF(CU70=CQ70,CR70,0))))))))</f>
        <v>3</v>
      </c>
      <c r="CW70">
        <f>IF(CU70=BO70,BQ70,IF(CU70=BS70,BU70,IF(CU70=BW70,BY70,IF(CU70=CA70,CC70,IF(CU70=CE70,CG70,IF(CU70=CI70,CK70,IF(CU70=CM70,CO70,IF(CU70=CQ70,CS70,0))))))))</f>
        <v>8.6622500000000002</v>
      </c>
      <c r="CX70">
        <f t="shared" si="55"/>
        <v>0</v>
      </c>
      <c r="CY70">
        <f t="shared" si="56"/>
        <v>0.255202777777778</v>
      </c>
      <c r="CZ70">
        <f>IF(CY70=BO70,BP70,IF(CY70=BS70,BT70,IF(CY70=BW70,BX70,IF(CY70=CA70,CB70,IF(CY70=CE70,CF70,IF(CY70=CI70,CJ70,IF(CY70=CM70,CN70,IF(CY70=CQ70,CR70,IF(CY70=CU70,CV70,0)))))))))</f>
        <v>3</v>
      </c>
      <c r="DA70">
        <f>IF(CY70=BO70,BQ70,IF(CY70=BS70,BU70,IF(CY70=BW70,BY70,IF(CY70=CA70,CC70,IF(CY70=CE70,CG70,IF(CY70=CI70,CK70,IF(CY70=CM70,CO70,IF(CY70=CQ70,CS70,IF(CY70=CU70,CW70,0)))))))))</f>
        <v>8.6622500000000002</v>
      </c>
      <c r="DB70">
        <f t="shared" si="57"/>
        <v>0</v>
      </c>
      <c r="DC70">
        <f t="shared" si="58"/>
        <v>0.255202777777778</v>
      </c>
      <c r="DD70">
        <f>IF(DC70=BO70,BP70,IF(DC70=BS70,BT70,IF(DC70=BW70,BX70,IF(DC70=CA70,CB70,IF(DC70=CE70,CF70,IF(DC70=CI70,CJ70,IF(DC70=CM70,CN70,IF(DC70=CQ70,CR70,IF(DC70=CU70,CV70,IF(DC70=CY70,CZ70,0))))))))))</f>
        <v>3</v>
      </c>
      <c r="DE70">
        <f>IF(DC70=BO70,BQ70,IF(DC70=BS70,BU70,IF(DC70=BW70,BY70,IF(DC70=CA70,CC70,IF(DC70=CE70,CG70,IF(DC70=CI70,CK70,IF(DC70=CM70,CO70,IF(DC70=CQ70,CS70,IF(DC70=CU70,CW70,IF(DC70=CY70,DA70,0))))))))))</f>
        <v>8.6622500000000002</v>
      </c>
      <c r="DF70">
        <f t="shared" si="59"/>
        <v>0</v>
      </c>
      <c r="DG70">
        <f t="shared" si="60"/>
        <v>0.255202777777778</v>
      </c>
      <c r="DH70">
        <f>IF(DG70=BO70,BP70,IF(DG70=BS70,BT70,IF(DG70=BW70,BX70,IF(DG70=CA70,CB70,IF(DG70=CE70,CF70,IF(DG70=CI70,CJ70,IF(DG70=CM70,CN70,IF(DG70=CQ70,CR70,IF(DG70=CU70,CV70,IF(DG70=CY70,CZ70,IF(DG70=DC70,DD70,0)))))))))))</f>
        <v>3</v>
      </c>
      <c r="DI70">
        <f>IF(DG70=BO70,BQ70,IF(DG70=BS70,BU70,IF(DG70=BW70,BY70,IF(DG70=CA70,CC70,IF(DG70=CE70,CG70,IF(DG70=CI70,CK70,IF(DG70=CM70,CO70,IF(DG70=CQ70,CS70,IF(DG70=CU70,CW70,IF(DG70=CY70,DA70,IF(DG70=DC70,DE70,0)))))))))))</f>
        <v>8.6622500000000002</v>
      </c>
      <c r="DJ70">
        <f t="shared" si="61"/>
        <v>0</v>
      </c>
      <c r="DK70">
        <f t="shared" si="62"/>
        <v>0.255202777777778</v>
      </c>
      <c r="DL70">
        <f>IF(DK70=BO70,BP70,IF(DK70=BS70,BT70,IF(DK70=BW70,BX70,IF(DK70=CA70,CB70,IF(DK70=CE70,CF70,IF(DK70=CI70,CJ70,IF(DK70=CM70,CN70,IF(DK70=CQ70,CR70,IF(DK70=CU70,CV70,IF(DK70=CY70,CZ70,IF(DK70=DC70,DD70,IF(DK70=DG70,DH70,0))))))))))))</f>
        <v>3</v>
      </c>
      <c r="DM70">
        <f>IF(DK70=BO70,BQ70,IF(DK70=BS70,BU70,IF(DK70=BW70,BY70,IF(DK70=CA70,CC70,IF(DK70=CE70,CG70,IF(DK70=CI70,CK70,IF(DK70=CM70,CO70,IF(DK70=CQ70,CS70,IF(DK70=CU70,CW70,IF(DK70=CY70,DA70,IF(DK70=DC70,DE70,IF(DK70=DG70,DI70,0))))))))))))</f>
        <v>8.6622500000000002</v>
      </c>
      <c r="DN70">
        <f t="shared" si="63"/>
        <v>0</v>
      </c>
      <c r="DO70">
        <f t="shared" si="64"/>
        <v>0.255202777777778</v>
      </c>
      <c r="DP70">
        <f>IF(DO70=BO70,BP70,IF(DO70=BS70,BT70,IF(DO70=BW70,BX70,IF(DO70=CA70,CB70,IF(DO70=CE70,CF70,IF(DO70=CI70,CJ70,IF(DO70=CM70,CN70,IF(DO70=CQ70,CR70,IF(DO70=CU70,CV70,IF(DO70=CY70,CZ70,IF(DO70=DC70,DD70,IF(DO70=DG70,DH70,IF(DO70=DK70,DL70,0)))))))))))))</f>
        <v>3</v>
      </c>
      <c r="DQ70">
        <f>IF(DO70=BO70,BQ70,IF(DO70=BS70,BU70,IF(DO70=BW70,BY70,IF(DO70=CA70,CC70,IF(DO70=CE70,CG70,IF(DO70=CI70,CK70,IF(DO70=CM70,CO70,IF(DO70=CQ70,CS70,IF(DO70=CU70,CW70,IF(DO70=CY70,DA70,IF(DO70=DC70,DE70,IF(DO70=DG70,DI70,IF(DO70=DK70,DM70,0)))))))))))))</f>
        <v>8.6622500000000002</v>
      </c>
      <c r="DR70">
        <f t="shared" si="65"/>
        <v>0</v>
      </c>
      <c r="DS70">
        <f t="shared" si="66"/>
        <v>0.255202777777778</v>
      </c>
      <c r="DT70">
        <f>IF(DS70=BO70,BP70,IF(DS70=BS70,BT70,IF(DS70=BW70,BX70,IF(DS70=CA70,CB70,IF(DS70=CE70,CF70,IF(DS70=CI70,CJ70,IF(DS70=CM70,CN70,IF(DS70=CQ70,CR70,IF(DS70=CU70,CV70,IF(DS70=CY70,CZ70,IF(DS70=DC70,DD70,IF(DS70=DG70,DH70,IF(DS70=DK70,DL70,IF(DS70=DO70,DP70,0))))))))))))))</f>
        <v>3</v>
      </c>
      <c r="DU70">
        <f>IF(DS70=BO70,BQ70,IF(DS70=BS70,BU70,IF(DS70=BW70,BY70,IF(DS70=CA70,CC70,IF(DS70=CE70,CG70,IF(DS70=CI70,CK70,IF(DS70=CM70,CO70,IF(DS70=CQ70,CS70,IF(DS70=CU70,CW70,IF(DS70=CY70,DA70,IF(DS70=DC70,DE70,IF(DS70=DG70,DI70,IF(DS70=DK70,DM70,IF(DS70=DO70,DQ70,0))))))))))))))</f>
        <v>8.6622500000000002</v>
      </c>
      <c r="DV70">
        <f t="shared" si="67"/>
        <v>0</v>
      </c>
      <c r="DW70">
        <v>37501</v>
      </c>
      <c r="DX70">
        <v>2</v>
      </c>
      <c r="DY70">
        <v>35</v>
      </c>
      <c r="DZ70">
        <v>6</v>
      </c>
      <c r="EA70">
        <v>6</v>
      </c>
      <c r="EB70">
        <v>16.856907401857999</v>
      </c>
      <c r="EC70">
        <v>3</v>
      </c>
      <c r="ED70">
        <v>8.6370210000000007</v>
      </c>
      <c r="EE70">
        <v>0.255202777777778</v>
      </c>
      <c r="EF70">
        <v>8.6622500000000002</v>
      </c>
      <c r="EG70">
        <v>18.849988939837999</v>
      </c>
      <c r="EH70">
        <v>3</v>
      </c>
      <c r="EI70">
        <v>0</v>
      </c>
      <c r="EJ70">
        <v>2.2521849999999999</v>
      </c>
      <c r="EK70">
        <v>1</v>
      </c>
      <c r="EL70">
        <v>0</v>
      </c>
      <c r="EM70">
        <v>33</v>
      </c>
      <c r="EN70">
        <v>0</v>
      </c>
      <c r="EO70">
        <v>2</v>
      </c>
      <c r="EP70">
        <v>8</v>
      </c>
      <c r="EQ70">
        <v>1</v>
      </c>
      <c r="ER70">
        <v>14.1987814663817</v>
      </c>
      <c r="ES70">
        <v>11.4661470910573</v>
      </c>
      <c r="ET70">
        <v>20.103168091057299</v>
      </c>
      <c r="EU70">
        <v>7.2471369425604699</v>
      </c>
      <c r="EV70">
        <v>9.4993219425604707</v>
      </c>
      <c r="EW70">
        <v>4.7240985999999996</v>
      </c>
      <c r="EX70">
        <v>9.6179390368499202</v>
      </c>
      <c r="EY70">
        <v>14.3420376368499</v>
      </c>
      <c r="EZ70">
        <v>2.2521849999999999</v>
      </c>
      <c r="FA70">
        <v>7.2471369425604699</v>
      </c>
      <c r="FB70">
        <v>9.4993219425604707</v>
      </c>
      <c r="FC70">
        <v>2.2521849999999999</v>
      </c>
      <c r="FD70">
        <v>7.2471369425604699</v>
      </c>
      <c r="FE70">
        <v>9.4993219425604707</v>
      </c>
      <c r="FF70">
        <v>2.6319982</v>
      </c>
      <c r="FG70">
        <v>7.66481776402986</v>
      </c>
      <c r="FH70">
        <v>10.2968159640299</v>
      </c>
    </row>
    <row r="71" spans="1:164" x14ac:dyDescent="0.2">
      <c r="A71">
        <v>70</v>
      </c>
      <c r="B71">
        <v>80</v>
      </c>
      <c r="C71">
        <v>131</v>
      </c>
      <c r="D71">
        <v>1</v>
      </c>
      <c r="E71">
        <v>11</v>
      </c>
      <c r="F71" t="s">
        <v>228</v>
      </c>
      <c r="H71">
        <v>3</v>
      </c>
      <c r="I71">
        <v>6</v>
      </c>
      <c r="K71" t="s">
        <v>117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</v>
      </c>
      <c r="T71">
        <v>0</v>
      </c>
      <c r="U71">
        <v>5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1</v>
      </c>
      <c r="AD71">
        <v>0</v>
      </c>
      <c r="AE71">
        <v>10</v>
      </c>
      <c r="AF71">
        <v>5</v>
      </c>
      <c r="AG71">
        <v>7</v>
      </c>
      <c r="AH71">
        <v>3</v>
      </c>
      <c r="AI71">
        <v>0.28987777777777801</v>
      </c>
      <c r="AJ71">
        <v>12.136799999999999</v>
      </c>
      <c r="AK71">
        <v>0.45840277777777799</v>
      </c>
      <c r="AL71">
        <v>23.175879999999999</v>
      </c>
      <c r="AM71">
        <v>0.35251388888888902</v>
      </c>
      <c r="AN71">
        <v>20.705739999999999</v>
      </c>
      <c r="AO71">
        <v>0.348655555555556</v>
      </c>
      <c r="AP71">
        <v>18.332239999999999</v>
      </c>
      <c r="AQ71">
        <v>0.37195555555555598</v>
      </c>
      <c r="AR71">
        <v>18.660139999999998</v>
      </c>
      <c r="AS71">
        <v>0.33714166666666701</v>
      </c>
      <c r="AT71">
        <v>15.160270000000001</v>
      </c>
      <c r="AU71">
        <v>0.22090833333333301</v>
      </c>
      <c r="AV71">
        <v>8.9964999999999993</v>
      </c>
      <c r="AW71">
        <v>0.23708888888888899</v>
      </c>
      <c r="AX71">
        <v>10.373049999999999</v>
      </c>
      <c r="AY71">
        <v>0.22804722222222201</v>
      </c>
      <c r="AZ71">
        <v>10.564590000000001</v>
      </c>
      <c r="BA71">
        <v>0.213038888888889</v>
      </c>
      <c r="BB71">
        <v>9.9816199999999995</v>
      </c>
      <c r="BC71">
        <v>0.29693611111111101</v>
      </c>
      <c r="BD71">
        <v>12.423389999999999</v>
      </c>
      <c r="BE71">
        <v>0.32260555555555598</v>
      </c>
      <c r="BF71">
        <v>17.779039999999998</v>
      </c>
      <c r="BG71">
        <v>0.38647777777777798</v>
      </c>
      <c r="BH71">
        <v>21.181889999999999</v>
      </c>
      <c r="BI71">
        <v>0.430305555555556</v>
      </c>
      <c r="BJ71">
        <v>23.155809999999999</v>
      </c>
      <c r="BK71">
        <v>0.49844444444444402</v>
      </c>
      <c r="BL71">
        <v>29.97146</v>
      </c>
      <c r="BM71">
        <v>0.53995000000000004</v>
      </c>
      <c r="BN71">
        <v>31.96414</v>
      </c>
      <c r="BO71">
        <f t="shared" si="34"/>
        <v>0.213038888888889</v>
      </c>
      <c r="BP71">
        <v>3</v>
      </c>
      <c r="BQ71">
        <v>8.6622500000000002</v>
      </c>
      <c r="BR71">
        <f t="shared" si="35"/>
        <v>0</v>
      </c>
      <c r="BS71">
        <f t="shared" si="36"/>
        <v>0.213038888888889</v>
      </c>
      <c r="BT71">
        <f t="shared" si="37"/>
        <v>3</v>
      </c>
      <c r="BU71">
        <f t="shared" si="38"/>
        <v>8.6622500000000002</v>
      </c>
      <c r="BV71">
        <f t="shared" si="39"/>
        <v>0</v>
      </c>
      <c r="BW71">
        <f t="shared" si="40"/>
        <v>0.213038888888889</v>
      </c>
      <c r="BX71">
        <f t="shared" si="41"/>
        <v>3</v>
      </c>
      <c r="BY71">
        <f t="shared" si="42"/>
        <v>8.6622500000000002</v>
      </c>
      <c r="BZ71">
        <f t="shared" si="43"/>
        <v>0</v>
      </c>
      <c r="CA71">
        <f t="shared" si="44"/>
        <v>0.213038888888889</v>
      </c>
      <c r="CB71">
        <f>IF(CA71=BO71,BP71,IF(CA71=BS71,BT71,IF(CA71=BW71,BX71,0)))</f>
        <v>3</v>
      </c>
      <c r="CC71">
        <f>IF(CA71=BO71,BQ71,IF(CA71=BS71,BU71,IF(CA71=BW71,BY71,0)))</f>
        <v>8.6622500000000002</v>
      </c>
      <c r="CD71">
        <f t="shared" si="45"/>
        <v>0</v>
      </c>
      <c r="CE71">
        <f t="shared" si="46"/>
        <v>0.213038888888889</v>
      </c>
      <c r="CF71">
        <f>IF(CE71=BO71,BP71,IF(CE71=BS71,BT71,IF(CE71=BW71,BX71,IF(CE71=CA71,CB71,0))))</f>
        <v>3</v>
      </c>
      <c r="CG71">
        <f>IF(CE71=BO71,BQ71,IF(CE71=BS71,BU71,IF(CE71=BW71,BY71,IF(CE71=CA71,CC71,0))))</f>
        <v>8.6622500000000002</v>
      </c>
      <c r="CH71">
        <f t="shared" si="47"/>
        <v>0</v>
      </c>
      <c r="CI71">
        <f t="shared" si="48"/>
        <v>0.213038888888889</v>
      </c>
      <c r="CJ71">
        <f>IF(CI71=BO71,BP71,IF(CI71=BS71,BT71,IF(CI71=BW71,BX71,IF(CI71=CA71,CB71,IF(CI71=CE71,CF71,0)))))</f>
        <v>3</v>
      </c>
      <c r="CK71">
        <f>IF(CI71=BO71,BQ71,IF(CI71=BS71,BU71,IF(CI71=BW71,BY71,IF(CI71=CA71,CC71,IF(CI71=CE71,CG71,0)))))</f>
        <v>8.6622500000000002</v>
      </c>
      <c r="CL71">
        <f t="shared" si="49"/>
        <v>0</v>
      </c>
      <c r="CM71">
        <f t="shared" si="50"/>
        <v>0.213038888888889</v>
      </c>
      <c r="CN71">
        <f>IF(CM71=BO71,BP71,IF(CM71=BS71,BT71,IF(CM71=BW71,BX71,IF(CM71=CA71,CB71,IF(CM71=CE71,CF71,IF(CM71=CI71,CJ71,0))))))</f>
        <v>3</v>
      </c>
      <c r="CO71">
        <f>IF(CM71=BO71,BQ71,IF(CM71=BS71,BU71,IF(CM71=BW71,BY71,IF(CM71=CA71,CC71,IF(CM71=CE71,CG71,IF(CM71=CI71,CK71,0))))))</f>
        <v>8.6622500000000002</v>
      </c>
      <c r="CP71">
        <f t="shared" si="51"/>
        <v>0</v>
      </c>
      <c r="CQ71">
        <f t="shared" si="52"/>
        <v>0.213038888888889</v>
      </c>
      <c r="CR71">
        <f>IF(CQ71=BO71,BP71,IF(CQ71=BS71,BT71,IF(CQ71=BW71,BX71,IF(CQ71=CA71,CB71,IF(CQ71=CE71,CF71,IF(CQ71=CI71,CJ71,IF(CQ71=CM71,CN71,0)))))))</f>
        <v>3</v>
      </c>
      <c r="CS71">
        <f>IF(CQ71=BO71,BQ71,IF(CQ71=BS71,BU71,IF(CQ71=BW71,BY71,IF(CQ71=CA71,CC71,IF(CQ71=CE71,CG71,IF(CQ71=CI71,CK71,IF(CQ71=CM71,CO71,0)))))))</f>
        <v>8.6622500000000002</v>
      </c>
      <c r="CT71">
        <f t="shared" si="53"/>
        <v>0</v>
      </c>
      <c r="CU71">
        <f t="shared" si="54"/>
        <v>0.22090833333333301</v>
      </c>
      <c r="CV71">
        <v>6</v>
      </c>
      <c r="CW71">
        <v>8.9964999999999993</v>
      </c>
      <c r="CX71">
        <f t="shared" si="55"/>
        <v>0</v>
      </c>
      <c r="CY71">
        <f t="shared" si="56"/>
        <v>0.213038888888889</v>
      </c>
      <c r="CZ71">
        <f>IF(CY71=BO71,BP71,IF(CY71=BS71,BT71,IF(CY71=BW71,BX71,IF(CY71=CA71,CB71,IF(CY71=CE71,CF71,IF(CY71=CI71,CJ71,IF(CY71=CM71,CN71,IF(CY71=CQ71,CR71,IF(CY71=CU71,CV71,0)))))))))</f>
        <v>3</v>
      </c>
      <c r="DA71">
        <f>IF(CY71=BO71,BQ71,IF(CY71=BS71,BU71,IF(CY71=BW71,BY71,IF(CY71=CA71,CC71,IF(CY71=CE71,CG71,IF(CY71=CI71,CK71,IF(CY71=CM71,CO71,IF(CY71=CQ71,CS71,IF(CY71=CU71,CW71,0)))))))))</f>
        <v>8.6622500000000002</v>
      </c>
      <c r="DB71">
        <f t="shared" si="57"/>
        <v>0</v>
      </c>
      <c r="DC71">
        <f t="shared" si="58"/>
        <v>0.213038888888889</v>
      </c>
      <c r="DD71">
        <f>IF(DC71=BO71,BP71,IF(DC71=BS71,BT71,IF(DC71=BW71,BX71,IF(DC71=CA71,CB71,IF(DC71=CE71,CF71,IF(DC71=CI71,CJ71,IF(DC71=CM71,CN71,IF(DC71=CQ71,CR71,IF(DC71=CU71,CV71,IF(DC71=CY71,CZ71,0))))))))))</f>
        <v>3</v>
      </c>
      <c r="DE71">
        <f>IF(DC71=BO71,BQ71,IF(DC71=BS71,BU71,IF(DC71=BW71,BY71,IF(DC71=CA71,CC71,IF(DC71=CE71,CG71,IF(DC71=CI71,CK71,IF(DC71=CM71,CO71,IF(DC71=CQ71,CS71,IF(DC71=CU71,CW71,IF(DC71=CY71,DA71,0))))))))))</f>
        <v>8.6622500000000002</v>
      </c>
      <c r="DF71">
        <f t="shared" si="59"/>
        <v>0</v>
      </c>
      <c r="DG71">
        <f t="shared" si="60"/>
        <v>0.213038888888889</v>
      </c>
      <c r="DH71">
        <f>IF(DG71=BO71,BP71,IF(DG71=BS71,BT71,IF(DG71=BW71,BX71,IF(DG71=CA71,CB71,IF(DG71=CE71,CF71,IF(DG71=CI71,CJ71,IF(DG71=CM71,CN71,IF(DG71=CQ71,CR71,IF(DG71=CU71,CV71,IF(DG71=CY71,CZ71,IF(DG71=DC71,DD71,0)))))))))))</f>
        <v>3</v>
      </c>
      <c r="DI71">
        <f>IF(DG71=BO71,BQ71,IF(DG71=BS71,BU71,IF(DG71=BW71,BY71,IF(DG71=CA71,CC71,IF(DG71=CE71,CG71,IF(DG71=CI71,CK71,IF(DG71=CM71,CO71,IF(DG71=CQ71,CS71,IF(DG71=CU71,CW71,IF(DG71=CY71,DA71,IF(DG71=DC71,DE71,0)))))))))))</f>
        <v>8.6622500000000002</v>
      </c>
      <c r="DJ71">
        <f t="shared" si="61"/>
        <v>0</v>
      </c>
      <c r="DK71">
        <f t="shared" si="62"/>
        <v>0.213038888888889</v>
      </c>
      <c r="DL71">
        <f>IF(DK71=BO71,BP71,IF(DK71=BS71,BT71,IF(DK71=BW71,BX71,IF(DK71=CA71,CB71,IF(DK71=CE71,CF71,IF(DK71=CI71,CJ71,IF(DK71=CM71,CN71,IF(DK71=CQ71,CR71,IF(DK71=CU71,CV71,IF(DK71=CY71,CZ71,IF(DK71=DC71,DD71,IF(DK71=DG71,DH71,0))))))))))))</f>
        <v>3</v>
      </c>
      <c r="DM71">
        <f>IF(DK71=BO71,BQ71,IF(DK71=BS71,BU71,IF(DK71=BW71,BY71,IF(DK71=CA71,CC71,IF(DK71=CE71,CG71,IF(DK71=CI71,CK71,IF(DK71=CM71,CO71,IF(DK71=CQ71,CS71,IF(DK71=CU71,CW71,IF(DK71=CY71,DA71,IF(DK71=DC71,DE71,IF(DK71=DG71,DI71,0))))))))))))</f>
        <v>8.6622500000000002</v>
      </c>
      <c r="DN71">
        <f t="shared" si="63"/>
        <v>0</v>
      </c>
      <c r="DO71">
        <f t="shared" si="64"/>
        <v>0.213038888888889</v>
      </c>
      <c r="DP71">
        <f>IF(DO71=BO71,BP71,IF(DO71=BS71,BT71,IF(DO71=BW71,BX71,IF(DO71=CA71,CB71,IF(DO71=CE71,CF71,IF(DO71=CI71,CJ71,IF(DO71=CM71,CN71,IF(DO71=CQ71,CR71,IF(DO71=CU71,CV71,IF(DO71=CY71,CZ71,IF(DO71=DC71,DD71,IF(DO71=DG71,DH71,IF(DO71=DK71,DL71,0)))))))))))))</f>
        <v>3</v>
      </c>
      <c r="DQ71">
        <f>IF(DO71=BO71,BQ71,IF(DO71=BS71,BU71,IF(DO71=BW71,BY71,IF(DO71=CA71,CC71,IF(DO71=CE71,CG71,IF(DO71=CI71,CK71,IF(DO71=CM71,CO71,IF(DO71=CQ71,CS71,IF(DO71=CU71,CW71,IF(DO71=CY71,DA71,IF(DO71=DC71,DE71,IF(DO71=DG71,DI71,IF(DO71=DK71,DM71,0)))))))))))))</f>
        <v>8.6622500000000002</v>
      </c>
      <c r="DR71">
        <f t="shared" si="65"/>
        <v>0</v>
      </c>
      <c r="DS71">
        <f t="shared" si="66"/>
        <v>0.213038888888889</v>
      </c>
      <c r="DT71">
        <f>IF(DS71=BO71,BP71,IF(DS71=BS71,BT71,IF(DS71=BW71,BX71,IF(DS71=CA71,CB71,IF(DS71=CE71,CF71,IF(DS71=CI71,CJ71,IF(DS71=CM71,CN71,IF(DS71=CQ71,CR71,IF(DS71=CU71,CV71,IF(DS71=CY71,CZ71,IF(DS71=DC71,DD71,IF(DS71=DG71,DH71,IF(DS71=DK71,DL71,IF(DS71=DO71,DP71,0))))))))))))))</f>
        <v>3</v>
      </c>
      <c r="DU71">
        <f>IF(DS71=BO71,BQ71,IF(DS71=BS71,BU71,IF(DS71=BW71,BY71,IF(DS71=CA71,CC71,IF(DS71=CE71,CG71,IF(DS71=CI71,CK71,IF(DS71=CM71,CO71,IF(DS71=CQ71,CS71,IF(DS71=CU71,CW71,IF(DS71=CY71,DA71,IF(DS71=DC71,DE71,IF(DS71=DG71,DI71,IF(DS71=DK71,DM71,IF(DS71=DO71,DQ71,0))))))))))))))</f>
        <v>8.6622500000000002</v>
      </c>
      <c r="DV71">
        <f t="shared" si="67"/>
        <v>0</v>
      </c>
      <c r="DW71">
        <v>37501</v>
      </c>
      <c r="DX71">
        <v>5</v>
      </c>
      <c r="DY71">
        <v>31.5</v>
      </c>
      <c r="DZ71">
        <v>6</v>
      </c>
      <c r="EA71">
        <v>6</v>
      </c>
      <c r="EB71">
        <v>16.856907401857999</v>
      </c>
      <c r="EC71">
        <v>1.2</v>
      </c>
      <c r="ED71">
        <v>2.4622272000000001</v>
      </c>
      <c r="EE71">
        <v>0.213038888888889</v>
      </c>
      <c r="EF71">
        <v>9.9816199999999995</v>
      </c>
      <c r="EG71">
        <v>11.4738532528223</v>
      </c>
      <c r="EH71">
        <v>9</v>
      </c>
      <c r="EI71">
        <v>0</v>
      </c>
      <c r="EJ71">
        <v>1.0380884800000001</v>
      </c>
      <c r="EK71">
        <v>1</v>
      </c>
      <c r="EL71">
        <v>0</v>
      </c>
      <c r="EM71">
        <v>44</v>
      </c>
      <c r="EN71">
        <v>1</v>
      </c>
      <c r="EO71">
        <v>4</v>
      </c>
      <c r="EP71">
        <v>3</v>
      </c>
      <c r="EQ71">
        <v>5</v>
      </c>
      <c r="ER71">
        <v>14.1987814663817</v>
      </c>
      <c r="ES71">
        <v>8.2318224372540403</v>
      </c>
      <c r="ET71">
        <v>10.694049637254</v>
      </c>
      <c r="EU71">
        <v>6.04978525434821</v>
      </c>
      <c r="EV71">
        <v>7.0878737343482099</v>
      </c>
      <c r="EW71">
        <v>1.09871736</v>
      </c>
      <c r="EX71">
        <v>6.4759853446974196</v>
      </c>
      <c r="EY71">
        <v>7.5747027046974198</v>
      </c>
      <c r="EZ71">
        <v>1.0380884800000001</v>
      </c>
      <c r="FA71">
        <v>6.04978525434821</v>
      </c>
      <c r="FB71">
        <v>7.0878737343482099</v>
      </c>
      <c r="FC71">
        <v>1.90655296</v>
      </c>
      <c r="FD71">
        <v>9.9009680807464697</v>
      </c>
      <c r="FE71">
        <v>11.807521040746501</v>
      </c>
      <c r="FF71">
        <v>1.0380884800000001</v>
      </c>
      <c r="FG71">
        <v>6.04978525434821</v>
      </c>
      <c r="FH71">
        <v>7.0878737343482099</v>
      </c>
    </row>
    <row r="72" spans="1:164" x14ac:dyDescent="0.2">
      <c r="A72">
        <v>71</v>
      </c>
      <c r="B72">
        <v>81</v>
      </c>
      <c r="C72">
        <v>132</v>
      </c>
      <c r="D72">
        <v>3</v>
      </c>
      <c r="E72">
        <v>12</v>
      </c>
      <c r="F72" t="s">
        <v>101</v>
      </c>
      <c r="G72" t="s">
        <v>248</v>
      </c>
      <c r="H72">
        <v>3</v>
      </c>
      <c r="I72">
        <v>5</v>
      </c>
      <c r="K72" t="s">
        <v>170</v>
      </c>
      <c r="L72">
        <v>0</v>
      </c>
      <c r="M72">
        <v>0</v>
      </c>
      <c r="N72">
        <v>2</v>
      </c>
      <c r="O72">
        <v>0</v>
      </c>
      <c r="P72">
        <v>0</v>
      </c>
      <c r="Q72">
        <v>6</v>
      </c>
      <c r="R72">
        <v>0</v>
      </c>
      <c r="S72">
        <v>0</v>
      </c>
      <c r="T72">
        <v>0</v>
      </c>
      <c r="U72">
        <v>0</v>
      </c>
      <c r="V72">
        <v>5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0</v>
      </c>
      <c r="AD72">
        <v>28</v>
      </c>
      <c r="AE72">
        <v>42</v>
      </c>
      <c r="AF72">
        <v>21</v>
      </c>
      <c r="AG72">
        <v>26</v>
      </c>
      <c r="AH72">
        <v>7</v>
      </c>
      <c r="AI72">
        <v>0.40377222222222198</v>
      </c>
      <c r="AJ72">
        <v>21.68085</v>
      </c>
      <c r="AK72">
        <v>0.37228611111111098</v>
      </c>
      <c r="AL72">
        <v>11.58466</v>
      </c>
      <c r="AM72">
        <v>0.26991111111111099</v>
      </c>
      <c r="AN72">
        <v>10.12307</v>
      </c>
      <c r="AO72">
        <v>0.255202777777778</v>
      </c>
      <c r="AP72">
        <v>8.6622500000000002</v>
      </c>
      <c r="AQ72">
        <v>0.31812777777777801</v>
      </c>
      <c r="AR72">
        <v>10.73414</v>
      </c>
      <c r="AS72">
        <v>0.31245000000000001</v>
      </c>
      <c r="AT72">
        <v>10.14893</v>
      </c>
      <c r="AU72">
        <v>0.30712499999999998</v>
      </c>
      <c r="AV72">
        <v>12.55533</v>
      </c>
      <c r="AW72">
        <v>0.32870277777777801</v>
      </c>
      <c r="AX72">
        <v>16.930879999999998</v>
      </c>
      <c r="AY72">
        <v>0.33868888888888898</v>
      </c>
      <c r="AZ72">
        <v>18.169609999999999</v>
      </c>
      <c r="BA72">
        <v>0.35203888888888901</v>
      </c>
      <c r="BB72">
        <v>19.490320000000001</v>
      </c>
      <c r="BC72">
        <v>0.41286666666666699</v>
      </c>
      <c r="BD72">
        <v>20.815020000000001</v>
      </c>
      <c r="BE72">
        <v>0.42388611111111102</v>
      </c>
      <c r="BF72">
        <v>27.191980000000001</v>
      </c>
      <c r="BG72">
        <v>0.48776111111111098</v>
      </c>
      <c r="BH72">
        <v>30.594830000000002</v>
      </c>
      <c r="BI72">
        <v>0.53158611111111098</v>
      </c>
      <c r="BJ72">
        <v>32.568750000000001</v>
      </c>
      <c r="BK72">
        <v>0.59972777777777797</v>
      </c>
      <c r="BL72">
        <v>39.384390000000003</v>
      </c>
      <c r="BM72">
        <v>0.64123055555555597</v>
      </c>
      <c r="BN72">
        <v>41.377070000000003</v>
      </c>
      <c r="BO72">
        <f t="shared" si="34"/>
        <v>0.255202777777778</v>
      </c>
      <c r="BP72">
        <v>9</v>
      </c>
      <c r="BQ72">
        <v>9.9816199999999995</v>
      </c>
      <c r="BR72">
        <f t="shared" si="35"/>
        <v>0</v>
      </c>
      <c r="BS72">
        <f t="shared" si="36"/>
        <v>0.255202777777778</v>
      </c>
      <c r="BT72">
        <f t="shared" si="37"/>
        <v>9</v>
      </c>
      <c r="BU72">
        <f t="shared" si="38"/>
        <v>9.9816199999999995</v>
      </c>
      <c r="BV72">
        <f t="shared" si="39"/>
        <v>0</v>
      </c>
      <c r="BW72">
        <f t="shared" si="40"/>
        <v>0.26991111111111099</v>
      </c>
      <c r="BX72">
        <v>2</v>
      </c>
      <c r="BY72">
        <v>10.12307</v>
      </c>
      <c r="BZ72">
        <f t="shared" si="43"/>
        <v>0</v>
      </c>
      <c r="CA72">
        <f t="shared" si="44"/>
        <v>0.255202777777778</v>
      </c>
      <c r="CB72">
        <f>IF(CA72=BO72,BP72,IF(CA72=BS72,BT72,IF(CA72=BW72,BX72,0)))</f>
        <v>9</v>
      </c>
      <c r="CC72">
        <f>IF(CA72=BO72,BQ72,IF(CA72=BS72,BU72,IF(CA72=BW72,BY72,0)))</f>
        <v>9.9816199999999995</v>
      </c>
      <c r="CD72">
        <f t="shared" si="45"/>
        <v>0</v>
      </c>
      <c r="CE72">
        <f t="shared" si="46"/>
        <v>0.255202777777778</v>
      </c>
      <c r="CF72">
        <f>IF(CE72=BO72,BP72,IF(CE72=BS72,BT72,IF(CE72=BW72,BX72,IF(CE72=CA72,CB72,0))))</f>
        <v>9</v>
      </c>
      <c r="CG72">
        <f>IF(CE72=BO72,BQ72,IF(CE72=BS72,BU72,IF(CE72=BW72,BY72,IF(CE72=CA72,CC72,0))))</f>
        <v>9.9816199999999995</v>
      </c>
      <c r="CH72">
        <f t="shared" si="47"/>
        <v>0</v>
      </c>
      <c r="CI72">
        <f t="shared" si="48"/>
        <v>0.255202777777778</v>
      </c>
      <c r="CJ72">
        <f>IF(CI72=BO72,BP72,IF(CI72=BS72,BT72,IF(CI72=BW72,BX72,IF(CI72=CA72,CB72,IF(CI72=CE72,CF72,0)))))</f>
        <v>9</v>
      </c>
      <c r="CK72">
        <f>IF(CI72=BO72,BQ72,IF(CI72=BS72,BU72,IF(CI72=BW72,BY72,IF(CI72=CA72,CC72,IF(CI72=CE72,CG72,0)))))</f>
        <v>9.9816199999999995</v>
      </c>
      <c r="CL72">
        <f t="shared" si="49"/>
        <v>0</v>
      </c>
      <c r="CM72">
        <f t="shared" si="50"/>
        <v>0.255202777777778</v>
      </c>
      <c r="CN72">
        <f>IF(CM72=BO72,BP72,IF(CM72=BS72,BT72,IF(CM72=BW72,BX72,IF(CM72=CA72,CB72,IF(CM72=CE72,CF72,IF(CM72=CI72,CJ72,0))))))</f>
        <v>9</v>
      </c>
      <c r="CO72">
        <f>IF(CM72=BO72,BQ72,IF(CM72=BS72,BU72,IF(CM72=BW72,BY72,IF(CM72=CA72,CC72,IF(CM72=CE72,CG72,IF(CM72=CI72,CK72,0))))))</f>
        <v>9.9816199999999995</v>
      </c>
      <c r="CP72">
        <f t="shared" si="51"/>
        <v>0</v>
      </c>
      <c r="CQ72">
        <f t="shared" si="52"/>
        <v>0.255202777777778</v>
      </c>
      <c r="CR72">
        <f>IF(CQ72=BO72,BP72,IF(CQ72=BS72,BT72,IF(CQ72=BW72,BX72,IF(CQ72=CA72,CB72,IF(CQ72=CE72,CF72,IF(CQ72=CI72,CJ72,IF(CQ72=CM72,CN72,0)))))))</f>
        <v>9</v>
      </c>
      <c r="CS72">
        <f>IF(CQ72=BO72,BQ72,IF(CQ72=BS72,BU72,IF(CQ72=BW72,BY72,IF(CQ72=CA72,CC72,IF(CQ72=CE72,CG72,IF(CQ72=CI72,CK72,IF(CQ72=CM72,CO72,0)))))))</f>
        <v>9.9816199999999995</v>
      </c>
      <c r="CT72">
        <f t="shared" si="53"/>
        <v>0</v>
      </c>
      <c r="CU72">
        <f t="shared" si="54"/>
        <v>0.255202777777778</v>
      </c>
      <c r="CV72">
        <f>IF(CU72=BO72,BP72,IF(CU72=BS72,BT72,IF(CU72=BW72,BX72,IF(CU72=CA72,CB72,IF(CU72=CE72,CF72,IF(CU72=CI72,CJ72,IF(CU72=CM72,CN72,IF(CU72=CQ72,CR72,0))))))))</f>
        <v>9</v>
      </c>
      <c r="CW72">
        <f>IF(CU72=BO72,BQ72,IF(CU72=BS72,BU72,IF(CU72=BW72,BY72,IF(CU72=CA72,CC72,IF(CU72=CE72,CG72,IF(CU72=CI72,CK72,IF(CU72=CM72,CO72,IF(CU72=CQ72,CS72,0))))))))</f>
        <v>9.9816199999999995</v>
      </c>
      <c r="CX72">
        <f t="shared" si="55"/>
        <v>0</v>
      </c>
      <c r="CY72">
        <f t="shared" si="56"/>
        <v>0.255202777777778</v>
      </c>
      <c r="CZ72">
        <f>IF(CY72=BO72,BP72,IF(CY72=BS72,BT72,IF(CY72=BW72,BX72,IF(CY72=CA72,CB72,IF(CY72=CE72,CF72,IF(CY72=CI72,CJ72,IF(CY72=CM72,CN72,IF(CY72=CQ72,CR72,IF(CY72=CU72,CV72,0)))))))))</f>
        <v>9</v>
      </c>
      <c r="DA72">
        <f>IF(CY72=BO72,BQ72,IF(CY72=BS72,BU72,IF(CY72=BW72,BY72,IF(CY72=CA72,CC72,IF(CY72=CE72,CG72,IF(CY72=CI72,CK72,IF(CY72=CM72,CO72,IF(CY72=CQ72,CS72,IF(CY72=CU72,CW72,0)))))))))</f>
        <v>9.9816199999999995</v>
      </c>
      <c r="DB72">
        <f t="shared" si="57"/>
        <v>0</v>
      </c>
      <c r="DC72">
        <f t="shared" si="58"/>
        <v>0.255202777777778</v>
      </c>
      <c r="DD72">
        <f>IF(DC72=BO72,BP72,IF(DC72=BS72,BT72,IF(DC72=BW72,BX72,IF(DC72=CA72,CB72,IF(DC72=CE72,CF72,IF(DC72=CI72,CJ72,IF(DC72=CM72,CN72,IF(DC72=CQ72,CR72,IF(DC72=CU72,CV72,IF(DC72=CY72,CZ72,0))))))))))</f>
        <v>9</v>
      </c>
      <c r="DE72">
        <f>IF(DC72=BO72,BQ72,IF(DC72=BS72,BU72,IF(DC72=BW72,BY72,IF(DC72=CA72,CC72,IF(DC72=CE72,CG72,IF(DC72=CI72,CK72,IF(DC72=CM72,CO72,IF(DC72=CQ72,CS72,IF(DC72=CU72,CW72,IF(DC72=CY72,DA72,0))))))))))</f>
        <v>9.9816199999999995</v>
      </c>
      <c r="DF72">
        <f t="shared" si="59"/>
        <v>0</v>
      </c>
      <c r="DG72">
        <f t="shared" si="60"/>
        <v>0.255202777777778</v>
      </c>
      <c r="DH72">
        <f>IF(DG72=BO72,BP72,IF(DG72=BS72,BT72,IF(DG72=BW72,BX72,IF(DG72=CA72,CB72,IF(DG72=CE72,CF72,IF(DG72=CI72,CJ72,IF(DG72=CM72,CN72,IF(DG72=CQ72,CR72,IF(DG72=CU72,CV72,IF(DG72=CY72,CZ72,IF(DG72=DC72,DD72,0)))))))))))</f>
        <v>9</v>
      </c>
      <c r="DI72">
        <f>IF(DG72=BO72,BQ72,IF(DG72=BS72,BU72,IF(DG72=BW72,BY72,IF(DG72=CA72,CC72,IF(DG72=CE72,CG72,IF(DG72=CI72,CK72,IF(DG72=CM72,CO72,IF(DG72=CQ72,CS72,IF(DG72=CU72,CW72,IF(DG72=CY72,DA72,IF(DG72=DC72,DE72,0)))))))))))</f>
        <v>9.9816199999999995</v>
      </c>
      <c r="DJ72">
        <f t="shared" si="61"/>
        <v>0</v>
      </c>
      <c r="DK72">
        <f t="shared" si="62"/>
        <v>0.255202777777778</v>
      </c>
      <c r="DL72">
        <f>IF(DK72=BO72,BP72,IF(DK72=BS72,BT72,IF(DK72=BW72,BX72,IF(DK72=CA72,CB72,IF(DK72=CE72,CF72,IF(DK72=CI72,CJ72,IF(DK72=CM72,CN72,IF(DK72=CQ72,CR72,IF(DK72=CU72,CV72,IF(DK72=CY72,CZ72,IF(DK72=DC72,DD72,IF(DK72=DG72,DH72,0))))))))))))</f>
        <v>9</v>
      </c>
      <c r="DM72">
        <f>IF(DK72=BO72,BQ72,IF(DK72=BS72,BU72,IF(DK72=BW72,BY72,IF(DK72=CA72,CC72,IF(DK72=CE72,CG72,IF(DK72=CI72,CK72,IF(DK72=CM72,CO72,IF(DK72=CQ72,CS72,IF(DK72=CU72,CW72,IF(DK72=CY72,DA72,IF(DK72=DC72,DE72,IF(DK72=DG72,DI72,0))))))))))))</f>
        <v>9.9816199999999995</v>
      </c>
      <c r="DN72">
        <f t="shared" si="63"/>
        <v>0</v>
      </c>
      <c r="DO72">
        <f t="shared" si="64"/>
        <v>0.255202777777778</v>
      </c>
      <c r="DP72">
        <f>IF(DO72=BO72,BP72,IF(DO72=BS72,BT72,IF(DO72=BW72,BX72,IF(DO72=CA72,CB72,IF(DO72=CE72,CF72,IF(DO72=CI72,CJ72,IF(DO72=CM72,CN72,IF(DO72=CQ72,CR72,IF(DO72=CU72,CV72,IF(DO72=CY72,CZ72,IF(DO72=DC72,DD72,IF(DO72=DG72,DH72,IF(DO72=DK72,DL72,0)))))))))))))</f>
        <v>9</v>
      </c>
      <c r="DQ72">
        <f>IF(DO72=BO72,BQ72,IF(DO72=BS72,BU72,IF(DO72=BW72,BY72,IF(DO72=CA72,CC72,IF(DO72=CE72,CG72,IF(DO72=CI72,CK72,IF(DO72=CM72,CO72,IF(DO72=CQ72,CS72,IF(DO72=CU72,CW72,IF(DO72=CY72,DA72,IF(DO72=DC72,DE72,IF(DO72=DG72,DI72,IF(DO72=DK72,DM72,0)))))))))))))</f>
        <v>9.9816199999999995</v>
      </c>
      <c r="DR72">
        <f t="shared" si="65"/>
        <v>0</v>
      </c>
      <c r="DS72">
        <f t="shared" si="66"/>
        <v>0.255202777777778</v>
      </c>
      <c r="DT72">
        <f>IF(DS72=BO72,BP72,IF(DS72=BS72,BT72,IF(DS72=BW72,BX72,IF(DS72=CA72,CB72,IF(DS72=CE72,CF72,IF(DS72=CI72,CJ72,IF(DS72=CM72,CN72,IF(DS72=CQ72,CR72,IF(DS72=CU72,CV72,IF(DS72=CY72,CZ72,IF(DS72=DC72,DD72,IF(DS72=DG72,DH72,IF(DS72=DK72,DL72,IF(DS72=DO72,DP72,0))))))))))))))</f>
        <v>9</v>
      </c>
      <c r="DU72">
        <f>IF(DS72=BO72,BQ72,IF(DS72=BS72,BU72,IF(DS72=BW72,BY72,IF(DS72=CA72,CC72,IF(DS72=CE72,CG72,IF(DS72=CI72,CK72,IF(DS72=CM72,CO72,IF(DS72=CQ72,CS72,IF(DS72=CU72,CW72,IF(DS72=CY72,DA72,IF(DS72=DC72,DE72,IF(DS72=DG72,DI72,IF(DS72=DK72,DM72,IF(DS72=DO72,DQ72,0))))))))))))))</f>
        <v>9.9816199999999995</v>
      </c>
      <c r="DV72">
        <f t="shared" si="67"/>
        <v>0</v>
      </c>
      <c r="DW72">
        <v>7500</v>
      </c>
      <c r="DX72">
        <v>6</v>
      </c>
      <c r="DY72">
        <v>0</v>
      </c>
      <c r="DZ72">
        <v>12</v>
      </c>
      <c r="EA72">
        <v>12</v>
      </c>
      <c r="EB72">
        <v>3.37129157926281</v>
      </c>
      <c r="EC72">
        <v>2</v>
      </c>
      <c r="ED72">
        <v>3.8790070000000001</v>
      </c>
      <c r="EE72">
        <v>0.255202777777778</v>
      </c>
      <c r="EF72">
        <v>8.6622500000000002</v>
      </c>
      <c r="EG72">
        <v>5.4682301244204004</v>
      </c>
      <c r="EH72">
        <v>3</v>
      </c>
      <c r="EI72">
        <v>0</v>
      </c>
      <c r="EJ72">
        <v>0.750728333333333</v>
      </c>
      <c r="EK72">
        <v>1</v>
      </c>
      <c r="EL72">
        <v>4</v>
      </c>
      <c r="EM72">
        <v>49</v>
      </c>
      <c r="EN72">
        <v>0</v>
      </c>
      <c r="EO72">
        <v>2</v>
      </c>
      <c r="EP72">
        <v>7</v>
      </c>
      <c r="EQ72">
        <v>21</v>
      </c>
      <c r="ER72">
        <v>14.1987814663817</v>
      </c>
      <c r="ES72">
        <v>11.4661470910573</v>
      </c>
      <c r="ET72">
        <v>15.345154091057299</v>
      </c>
      <c r="EU72">
        <v>7.2471369425604699</v>
      </c>
      <c r="EV72">
        <v>7.99786527589381</v>
      </c>
      <c r="EW72">
        <v>1.57469953333333</v>
      </c>
      <c r="EX72">
        <v>9.6179390368499202</v>
      </c>
      <c r="EY72">
        <v>11.1926385701833</v>
      </c>
      <c r="EZ72">
        <v>0.750728333333333</v>
      </c>
      <c r="FA72">
        <v>7.2471369425604699</v>
      </c>
      <c r="FB72">
        <v>7.99786527589381</v>
      </c>
      <c r="FC72">
        <v>0.750728333333333</v>
      </c>
      <c r="FD72">
        <v>7.2471369425604699</v>
      </c>
      <c r="FE72">
        <v>7.99786527589381</v>
      </c>
      <c r="FF72">
        <v>0.87733273333333295</v>
      </c>
      <c r="FG72">
        <v>7.66481776402986</v>
      </c>
      <c r="FH72">
        <v>8.5421504973631901</v>
      </c>
    </row>
    <row r="73" spans="1:164" x14ac:dyDescent="0.2">
      <c r="A73">
        <v>72</v>
      </c>
      <c r="B73">
        <v>82</v>
      </c>
      <c r="C73">
        <v>133</v>
      </c>
      <c r="D73">
        <v>1</v>
      </c>
      <c r="E73">
        <v>11</v>
      </c>
      <c r="F73" t="s">
        <v>118</v>
      </c>
      <c r="G73" t="s">
        <v>249</v>
      </c>
      <c r="H73">
        <v>3</v>
      </c>
      <c r="I73">
        <v>5</v>
      </c>
      <c r="K73" t="s">
        <v>250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2</v>
      </c>
      <c r="W73">
        <v>0</v>
      </c>
      <c r="X73">
        <v>0</v>
      </c>
      <c r="Y73">
        <v>0</v>
      </c>
      <c r="Z73">
        <v>0</v>
      </c>
      <c r="AA73">
        <v>0</v>
      </c>
      <c r="AB73">
        <v>3</v>
      </c>
      <c r="AC73">
        <v>0</v>
      </c>
      <c r="AD73">
        <v>35</v>
      </c>
      <c r="AE73">
        <v>40</v>
      </c>
      <c r="AF73">
        <v>20</v>
      </c>
      <c r="AG73">
        <v>30</v>
      </c>
      <c r="AH73">
        <v>8</v>
      </c>
      <c r="AI73">
        <v>0.44164999999999999</v>
      </c>
      <c r="AJ73">
        <v>32.594499999999996</v>
      </c>
      <c r="AK73">
        <v>0.305263888888889</v>
      </c>
      <c r="AL73">
        <v>12.55621</v>
      </c>
      <c r="AM73">
        <v>0.225477777777778</v>
      </c>
      <c r="AN73">
        <v>13.208349999999999</v>
      </c>
      <c r="AO73">
        <v>0.27665833333333301</v>
      </c>
      <c r="AP73">
        <v>15.82246</v>
      </c>
      <c r="AQ73">
        <v>0.315991666666667</v>
      </c>
      <c r="AR73">
        <v>17.842949999999998</v>
      </c>
      <c r="AS73">
        <v>0.360569444444444</v>
      </c>
      <c r="AT73">
        <v>21.183630000000001</v>
      </c>
      <c r="AU73">
        <v>0.35702499999999998</v>
      </c>
      <c r="AV73">
        <v>24.918489999999998</v>
      </c>
      <c r="AW73">
        <v>0.36658055555555602</v>
      </c>
      <c r="AX73">
        <v>27.844529999999999</v>
      </c>
      <c r="AY73">
        <v>0.37656388888888898</v>
      </c>
      <c r="AZ73">
        <v>29.083259999999999</v>
      </c>
      <c r="BA73">
        <v>0.38991666666666702</v>
      </c>
      <c r="BB73">
        <v>30.403980000000001</v>
      </c>
      <c r="BC73">
        <v>0.450744444444444</v>
      </c>
      <c r="BD73">
        <v>31.728670000000001</v>
      </c>
      <c r="BE73">
        <v>0.46176388888888897</v>
      </c>
      <c r="BF73">
        <v>38.105629999999998</v>
      </c>
      <c r="BG73">
        <v>0.52563611111111097</v>
      </c>
      <c r="BH73">
        <v>41.508479999999999</v>
      </c>
      <c r="BI73">
        <v>0.56946388888888899</v>
      </c>
      <c r="BJ73">
        <v>43.482399999999998</v>
      </c>
      <c r="BK73">
        <v>0.63760277777777796</v>
      </c>
      <c r="BL73">
        <v>50.298050000000003</v>
      </c>
      <c r="BM73">
        <v>0.67910833333333298</v>
      </c>
      <c r="BN73">
        <v>52.290730000000003</v>
      </c>
      <c r="BO73">
        <f t="shared" si="34"/>
        <v>0.225477777777778</v>
      </c>
      <c r="BP73">
        <v>2</v>
      </c>
      <c r="BQ73">
        <v>13.208349999999999</v>
      </c>
      <c r="BR73">
        <f t="shared" si="35"/>
        <v>0</v>
      </c>
      <c r="BS73">
        <f t="shared" si="36"/>
        <v>0.27665833333333301</v>
      </c>
      <c r="BT73">
        <v>3</v>
      </c>
      <c r="BU73">
        <v>15.82246</v>
      </c>
      <c r="BV73">
        <f t="shared" si="39"/>
        <v>0</v>
      </c>
      <c r="BW73">
        <f t="shared" si="40"/>
        <v>0.225477777777778</v>
      </c>
      <c r="BX73">
        <f t="shared" si="41"/>
        <v>2</v>
      </c>
      <c r="BY73">
        <f t="shared" si="42"/>
        <v>13.208349999999999</v>
      </c>
      <c r="BZ73">
        <f t="shared" si="43"/>
        <v>0</v>
      </c>
      <c r="CA73">
        <f t="shared" si="44"/>
        <v>0.225477777777778</v>
      </c>
      <c r="CB73">
        <f>IF(CA73=BO73,BP73,IF(CA73=BS73,BT73,IF(CA73=BW73,BX73,0)))</f>
        <v>2</v>
      </c>
      <c r="CC73">
        <f>IF(CA73=BO73,BQ73,IF(CA73=BS73,BU73,IF(CA73=BW73,BY73,0)))</f>
        <v>13.208349999999999</v>
      </c>
      <c r="CD73">
        <f t="shared" si="45"/>
        <v>0</v>
      </c>
      <c r="CE73">
        <f t="shared" si="46"/>
        <v>0.225477777777778</v>
      </c>
      <c r="CF73">
        <f>IF(CE73=BO73,BP73,IF(CE73=BS73,BT73,IF(CE73=BW73,BX73,IF(CE73=CA73,CB73,0))))</f>
        <v>2</v>
      </c>
      <c r="CG73">
        <f>IF(CE73=BO73,BQ73,IF(CE73=BS73,BU73,IF(CE73=BW73,BY73,IF(CE73=CA73,CC73,0))))</f>
        <v>13.208349999999999</v>
      </c>
      <c r="CH73">
        <f t="shared" si="47"/>
        <v>0</v>
      </c>
      <c r="CI73">
        <f t="shared" si="48"/>
        <v>0.225477777777778</v>
      </c>
      <c r="CJ73">
        <f>IF(CI73=BO73,BP73,IF(CI73=BS73,BT73,IF(CI73=BW73,BX73,IF(CI73=CA73,CB73,IF(CI73=CE73,CF73,0)))))</f>
        <v>2</v>
      </c>
      <c r="CK73">
        <f>IF(CI73=BO73,BQ73,IF(CI73=BS73,BU73,IF(CI73=BW73,BY73,IF(CI73=CA73,CC73,IF(CI73=CE73,CG73,0)))))</f>
        <v>13.208349999999999</v>
      </c>
      <c r="CL73">
        <f t="shared" si="49"/>
        <v>0</v>
      </c>
      <c r="CM73">
        <f t="shared" si="50"/>
        <v>0.225477777777778</v>
      </c>
      <c r="CN73">
        <f>IF(CM73=BO73,BP73,IF(CM73=BS73,BT73,IF(CM73=BW73,BX73,IF(CM73=CA73,CB73,IF(CM73=CE73,CF73,IF(CM73=CI73,CJ73,0))))))</f>
        <v>2</v>
      </c>
      <c r="CO73">
        <f>IF(CM73=BO73,BQ73,IF(CM73=BS73,BU73,IF(CM73=BW73,BY73,IF(CM73=CA73,CC73,IF(CM73=CE73,CG73,IF(CM73=CI73,CK73,0))))))</f>
        <v>13.208349999999999</v>
      </c>
      <c r="CP73">
        <f t="shared" si="51"/>
        <v>0</v>
      </c>
      <c r="CQ73">
        <f t="shared" si="52"/>
        <v>0.225477777777778</v>
      </c>
      <c r="CR73">
        <f>IF(CQ73=BO73,BP73,IF(CQ73=BS73,BT73,IF(CQ73=BW73,BX73,IF(CQ73=CA73,CB73,IF(CQ73=CE73,CF73,IF(CQ73=CI73,CJ73,IF(CQ73=CM73,CN73,0)))))))</f>
        <v>2</v>
      </c>
      <c r="CS73">
        <f>IF(CQ73=BO73,BQ73,IF(CQ73=BS73,BU73,IF(CQ73=BW73,BY73,IF(CQ73=CA73,CC73,IF(CQ73=CE73,CG73,IF(CQ73=CI73,CK73,IF(CQ73=CM73,CO73,0)))))))</f>
        <v>13.208349999999999</v>
      </c>
      <c r="CT73">
        <f t="shared" si="53"/>
        <v>0</v>
      </c>
      <c r="CU73">
        <f t="shared" si="54"/>
        <v>0.225477777777778</v>
      </c>
      <c r="CV73">
        <f>IF(CU73=BO73,BP73,IF(CU73=BS73,BT73,IF(CU73=BW73,BX73,IF(CU73=CA73,CB73,IF(CU73=CE73,CF73,IF(CU73=CI73,CJ73,IF(CU73=CM73,CN73,IF(CU73=CQ73,CR73,0))))))))</f>
        <v>2</v>
      </c>
      <c r="CW73">
        <f>IF(CU73=BO73,BQ73,IF(CU73=BS73,BU73,IF(CU73=BW73,BY73,IF(CU73=CA73,CC73,IF(CU73=CE73,CG73,IF(CU73=CI73,CK73,IF(CU73=CM73,CO73,IF(CU73=CQ73,CS73,0))))))))</f>
        <v>13.208349999999999</v>
      </c>
      <c r="CX73">
        <f t="shared" si="55"/>
        <v>0</v>
      </c>
      <c r="CY73">
        <f t="shared" si="56"/>
        <v>0.225477777777778</v>
      </c>
      <c r="CZ73">
        <f>IF(CY73=BO73,BP73,IF(CY73=BS73,BT73,IF(CY73=BW73,BX73,IF(CY73=CA73,CB73,IF(CY73=CE73,CF73,IF(CY73=CI73,CJ73,IF(CY73=CM73,CN73,IF(CY73=CQ73,CR73,IF(CY73=CU73,CV73,0)))))))))</f>
        <v>2</v>
      </c>
      <c r="DA73">
        <f>IF(CY73=BO73,BQ73,IF(CY73=BS73,BU73,IF(CY73=BW73,BY73,IF(CY73=CA73,CC73,IF(CY73=CE73,CG73,IF(CY73=CI73,CK73,IF(CY73=CM73,CO73,IF(CY73=CQ73,CS73,IF(CY73=CU73,CW73,0)))))))))</f>
        <v>13.208349999999999</v>
      </c>
      <c r="DB73">
        <f t="shared" si="57"/>
        <v>0</v>
      </c>
      <c r="DC73">
        <f t="shared" si="58"/>
        <v>0.225477777777778</v>
      </c>
      <c r="DD73">
        <f>IF(DC73=BO73,BP73,IF(DC73=BS73,BT73,IF(DC73=BW73,BX73,IF(DC73=CA73,CB73,IF(DC73=CE73,CF73,IF(DC73=CI73,CJ73,IF(DC73=CM73,CN73,IF(DC73=CQ73,CR73,IF(DC73=CU73,CV73,IF(DC73=CY73,CZ73,0))))))))))</f>
        <v>2</v>
      </c>
      <c r="DE73">
        <f>IF(DC73=BO73,BQ73,IF(DC73=BS73,BU73,IF(DC73=BW73,BY73,IF(DC73=CA73,CC73,IF(DC73=CE73,CG73,IF(DC73=CI73,CK73,IF(DC73=CM73,CO73,IF(DC73=CQ73,CS73,IF(DC73=CU73,CW73,IF(DC73=CY73,DA73,0))))))))))</f>
        <v>13.208349999999999</v>
      </c>
      <c r="DF73">
        <f t="shared" si="59"/>
        <v>0</v>
      </c>
      <c r="DG73">
        <f t="shared" si="60"/>
        <v>0.225477777777778</v>
      </c>
      <c r="DH73">
        <f>IF(DG73=BO73,BP73,IF(DG73=BS73,BT73,IF(DG73=BW73,BX73,IF(DG73=CA73,CB73,IF(DG73=CE73,CF73,IF(DG73=CI73,CJ73,IF(DG73=CM73,CN73,IF(DG73=CQ73,CR73,IF(DG73=CU73,CV73,IF(DG73=CY73,CZ73,IF(DG73=DC73,DD73,0)))))))))))</f>
        <v>2</v>
      </c>
      <c r="DI73">
        <f>IF(DG73=BO73,BQ73,IF(DG73=BS73,BU73,IF(DG73=BW73,BY73,IF(DG73=CA73,CC73,IF(DG73=CE73,CG73,IF(DG73=CI73,CK73,IF(DG73=CM73,CO73,IF(DG73=CQ73,CS73,IF(DG73=CU73,CW73,IF(DG73=CY73,DA73,IF(DG73=DC73,DE73,0)))))))))))</f>
        <v>13.208349999999999</v>
      </c>
      <c r="DJ73">
        <f t="shared" si="61"/>
        <v>0</v>
      </c>
      <c r="DK73">
        <f t="shared" si="62"/>
        <v>0.225477777777778</v>
      </c>
      <c r="DL73">
        <f>IF(DK73=BO73,BP73,IF(DK73=BS73,BT73,IF(DK73=BW73,BX73,IF(DK73=CA73,CB73,IF(DK73=CE73,CF73,IF(DK73=CI73,CJ73,IF(DK73=CM73,CN73,IF(DK73=CQ73,CR73,IF(DK73=CU73,CV73,IF(DK73=CY73,CZ73,IF(DK73=DC73,DD73,IF(DK73=DG73,DH73,0))))))))))))</f>
        <v>2</v>
      </c>
      <c r="DM73">
        <f>IF(DK73=BO73,BQ73,IF(DK73=BS73,BU73,IF(DK73=BW73,BY73,IF(DK73=CA73,CC73,IF(DK73=CE73,CG73,IF(DK73=CI73,CK73,IF(DK73=CM73,CO73,IF(DK73=CQ73,CS73,IF(DK73=CU73,CW73,IF(DK73=CY73,DA73,IF(DK73=DC73,DE73,IF(DK73=DG73,DI73,0))))))))))))</f>
        <v>13.208349999999999</v>
      </c>
      <c r="DN73">
        <f t="shared" si="63"/>
        <v>0</v>
      </c>
      <c r="DO73">
        <f t="shared" si="64"/>
        <v>0.225477777777778</v>
      </c>
      <c r="DP73">
        <f>IF(DO73=BO73,BP73,IF(DO73=BS73,BT73,IF(DO73=BW73,BX73,IF(DO73=CA73,CB73,IF(DO73=CE73,CF73,IF(DO73=CI73,CJ73,IF(DO73=CM73,CN73,IF(DO73=CQ73,CR73,IF(DO73=CU73,CV73,IF(DO73=CY73,CZ73,IF(DO73=DC73,DD73,IF(DO73=DG73,DH73,IF(DO73=DK73,DL73,0)))))))))))))</f>
        <v>2</v>
      </c>
      <c r="DQ73">
        <f>IF(DO73=BO73,BQ73,IF(DO73=BS73,BU73,IF(DO73=BW73,BY73,IF(DO73=CA73,CC73,IF(DO73=CE73,CG73,IF(DO73=CI73,CK73,IF(DO73=CM73,CO73,IF(DO73=CQ73,CS73,IF(DO73=CU73,CW73,IF(DO73=CY73,DA73,IF(DO73=DC73,DE73,IF(DO73=DG73,DI73,IF(DO73=DK73,DM73,0)))))))))))))</f>
        <v>13.208349999999999</v>
      </c>
      <c r="DR73">
        <f t="shared" si="65"/>
        <v>0</v>
      </c>
      <c r="DS73">
        <f t="shared" si="66"/>
        <v>0.225477777777778</v>
      </c>
      <c r="DT73">
        <f>IF(DS73=BO73,BP73,IF(DS73=BS73,BT73,IF(DS73=BW73,BX73,IF(DS73=CA73,CB73,IF(DS73=CE73,CF73,IF(DS73=CI73,CJ73,IF(DS73=CM73,CN73,IF(DS73=CQ73,CR73,IF(DS73=CU73,CV73,IF(DS73=CY73,CZ73,IF(DS73=DC73,DD73,IF(DS73=DG73,DH73,IF(DS73=DK73,DL73,IF(DS73=DO73,DP73,0))))))))))))))</f>
        <v>2</v>
      </c>
      <c r="DU73">
        <f>IF(DS73=BO73,BQ73,IF(DS73=BS73,BU73,IF(DS73=BW73,BY73,IF(DS73=CA73,CC73,IF(DS73=CE73,CG73,IF(DS73=CI73,CK73,IF(DS73=CM73,CO73,IF(DS73=CQ73,CS73,IF(DS73=CU73,CW73,IF(DS73=CY73,DA73,IF(DS73=DC73,DE73,IF(DS73=DG73,DI73,IF(DS73=DK73,DM73,IF(DS73=DO73,DQ73,0))))))))))))))</f>
        <v>13.208349999999999</v>
      </c>
      <c r="DV73">
        <f t="shared" si="67"/>
        <v>0</v>
      </c>
      <c r="DW73">
        <v>31226.480769230799</v>
      </c>
      <c r="DX73">
        <v>5</v>
      </c>
      <c r="DY73">
        <v>0</v>
      </c>
      <c r="EA73">
        <v>4</v>
      </c>
      <c r="EB73">
        <v>14.0364762223093</v>
      </c>
      <c r="EC73">
        <v>0.8</v>
      </c>
      <c r="ED73">
        <v>4.1898280000000003</v>
      </c>
      <c r="EE73">
        <v>0.225477777777778</v>
      </c>
      <c r="EF73">
        <v>13.208349999999999</v>
      </c>
      <c r="EG73">
        <v>14.543814146618599</v>
      </c>
      <c r="EH73">
        <v>2</v>
      </c>
      <c r="EI73">
        <v>0</v>
      </c>
      <c r="EJ73">
        <v>1.3736683999999999</v>
      </c>
      <c r="EK73">
        <v>1</v>
      </c>
      <c r="EL73">
        <v>1</v>
      </c>
      <c r="EM73">
        <v>44</v>
      </c>
      <c r="EN73">
        <v>1</v>
      </c>
      <c r="EO73">
        <v>4</v>
      </c>
      <c r="EP73">
        <v>8</v>
      </c>
      <c r="EQ73">
        <v>20</v>
      </c>
      <c r="ER73">
        <v>14.1987814663817</v>
      </c>
      <c r="ES73">
        <v>12.541783669254899</v>
      </c>
      <c r="ET73">
        <v>16.7316116692549</v>
      </c>
      <c r="EU73">
        <v>6.4030193843840797</v>
      </c>
      <c r="EV73">
        <v>7.7766877843840803</v>
      </c>
      <c r="EW73">
        <v>3.02465904</v>
      </c>
      <c r="EX73">
        <v>10.693496732928301</v>
      </c>
      <c r="EY73">
        <v>13.7181557729283</v>
      </c>
      <c r="EZ73">
        <v>1.3736683999999999</v>
      </c>
      <c r="FA73">
        <v>6.4030193843840797</v>
      </c>
      <c r="FB73">
        <v>7.7766877843840803</v>
      </c>
      <c r="FC73">
        <v>1.64553584</v>
      </c>
      <c r="FD73">
        <v>7.8564224317067497</v>
      </c>
      <c r="FE73">
        <v>9.5019582717067497</v>
      </c>
      <c r="FF73">
        <v>1.3736683999999999</v>
      </c>
      <c r="FG73">
        <v>6.4030193843840797</v>
      </c>
      <c r="FH73">
        <v>7.7766877843840803</v>
      </c>
    </row>
    <row r="74" spans="1:164" x14ac:dyDescent="0.2">
      <c r="A74">
        <v>73</v>
      </c>
      <c r="B74">
        <v>83</v>
      </c>
      <c r="C74">
        <v>134</v>
      </c>
      <c r="D74">
        <v>3</v>
      </c>
      <c r="E74">
        <v>12</v>
      </c>
      <c r="F74" t="s">
        <v>251</v>
      </c>
      <c r="G74" t="s">
        <v>252</v>
      </c>
      <c r="H74">
        <v>3</v>
      </c>
      <c r="I74">
        <v>2</v>
      </c>
      <c r="K74" t="s">
        <v>253</v>
      </c>
      <c r="L74">
        <v>0</v>
      </c>
      <c r="M74">
        <v>0</v>
      </c>
      <c r="N74">
        <v>0</v>
      </c>
      <c r="O74">
        <v>0</v>
      </c>
      <c r="P74">
        <v>0</v>
      </c>
      <c r="Q74">
        <v>4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6</v>
      </c>
      <c r="AE74">
        <v>12</v>
      </c>
      <c r="AF74">
        <v>6</v>
      </c>
      <c r="AG74">
        <v>7</v>
      </c>
      <c r="AH74">
        <v>6</v>
      </c>
      <c r="AI74">
        <v>0.27310000000000001</v>
      </c>
      <c r="AJ74">
        <v>12.457269999999999</v>
      </c>
      <c r="AK74">
        <v>0.31895833333333301</v>
      </c>
      <c r="AL74">
        <v>12.90133</v>
      </c>
      <c r="AM74">
        <v>0.21306944444444401</v>
      </c>
      <c r="AN74">
        <v>10.431179999999999</v>
      </c>
      <c r="AO74">
        <v>0.20921111111111099</v>
      </c>
      <c r="AP74">
        <v>8.0576899999999991</v>
      </c>
      <c r="AQ74">
        <v>0.232511111111111</v>
      </c>
      <c r="AR74">
        <v>8.3855799999999991</v>
      </c>
      <c r="AS74">
        <v>0.196613888888889</v>
      </c>
      <c r="AT74">
        <v>4.1751800000000001</v>
      </c>
      <c r="AU74">
        <v>0.14550277777777801</v>
      </c>
      <c r="AV74">
        <v>4.1542300000000001</v>
      </c>
      <c r="AW74">
        <v>0.17301666666666701</v>
      </c>
      <c r="AX74">
        <v>6.3240699999999999</v>
      </c>
      <c r="AY74">
        <v>0.19482222222222201</v>
      </c>
      <c r="AZ74">
        <v>8.3903499999999998</v>
      </c>
      <c r="BA74">
        <v>0.20949444444444401</v>
      </c>
      <c r="BB74">
        <v>9.2242499999999996</v>
      </c>
      <c r="BC74">
        <v>0.26900000000000002</v>
      </c>
      <c r="BD74">
        <v>11.03576</v>
      </c>
      <c r="BE74">
        <v>0.293213888888889</v>
      </c>
      <c r="BF74">
        <v>17.968399999999999</v>
      </c>
      <c r="BG74">
        <v>0.35708611111111099</v>
      </c>
      <c r="BH74">
        <v>21.37125</v>
      </c>
      <c r="BI74">
        <v>0.40091388888888901</v>
      </c>
      <c r="BJ74">
        <v>23.34516</v>
      </c>
      <c r="BK74">
        <v>0.46905277777777798</v>
      </c>
      <c r="BL74">
        <v>30.160810000000001</v>
      </c>
      <c r="BM74">
        <v>0.510558333333333</v>
      </c>
      <c r="BN74">
        <v>32.153489999999998</v>
      </c>
      <c r="BO74">
        <f t="shared" si="34"/>
        <v>0.14550277777777801</v>
      </c>
      <c r="BP74">
        <v>6</v>
      </c>
      <c r="BQ74">
        <v>4.1542300000000001</v>
      </c>
      <c r="BR74">
        <f t="shared" si="35"/>
        <v>0</v>
      </c>
      <c r="BS74">
        <f t="shared" si="36"/>
        <v>0.14550277777777801</v>
      </c>
      <c r="BT74">
        <f t="shared" si="37"/>
        <v>6</v>
      </c>
      <c r="BU74">
        <f t="shared" si="38"/>
        <v>4.1542300000000001</v>
      </c>
      <c r="BV74">
        <f t="shared" si="39"/>
        <v>0</v>
      </c>
      <c r="BW74">
        <f t="shared" si="40"/>
        <v>0.14550277777777801</v>
      </c>
      <c r="BX74">
        <f t="shared" si="41"/>
        <v>6</v>
      </c>
      <c r="BY74">
        <f t="shared" si="42"/>
        <v>4.1542300000000001</v>
      </c>
      <c r="BZ74">
        <f t="shared" si="43"/>
        <v>0</v>
      </c>
      <c r="CA74">
        <f t="shared" si="44"/>
        <v>0.14550277777777801</v>
      </c>
      <c r="CB74">
        <f>IF(CA74=BO74,BP74,IF(CA74=BS74,BT74,IF(CA74=BW74,BX74,0)))</f>
        <v>6</v>
      </c>
      <c r="CC74">
        <f>IF(CA74=BO74,BQ74,IF(CA74=BS74,BU74,IF(CA74=BW74,BY74,0)))</f>
        <v>4.1542300000000001</v>
      </c>
      <c r="CD74">
        <f t="shared" si="45"/>
        <v>0</v>
      </c>
      <c r="CE74">
        <f t="shared" si="46"/>
        <v>0.14550277777777801</v>
      </c>
      <c r="CF74">
        <f>IF(CE74=BO74,BP74,IF(CE74=BS74,BT74,IF(CE74=BW74,BX74,IF(CE74=CA74,CB74,0))))</f>
        <v>6</v>
      </c>
      <c r="CG74">
        <f>IF(CE74=BO74,BQ74,IF(CE74=BS74,BU74,IF(CE74=BW74,BY74,IF(CE74=CA74,CC74,0))))</f>
        <v>4.1542300000000001</v>
      </c>
      <c r="CH74">
        <f t="shared" si="47"/>
        <v>0</v>
      </c>
      <c r="CI74">
        <f t="shared" si="48"/>
        <v>0.17301666666666701</v>
      </c>
      <c r="CJ74">
        <v>7</v>
      </c>
      <c r="CK74">
        <v>6.3240699999999999</v>
      </c>
      <c r="CL74">
        <f t="shared" si="49"/>
        <v>3</v>
      </c>
      <c r="CM74">
        <f t="shared" si="50"/>
        <v>0.14550277777777801</v>
      </c>
      <c r="CN74">
        <f>IF(CM74=BO74,BP74,IF(CM74=BS74,BT74,IF(CM74=BW74,BX74,IF(CM74=CA74,CB74,IF(CM74=CE74,CF74,IF(CM74=CI74,CJ74,0))))))</f>
        <v>6</v>
      </c>
      <c r="CO74">
        <f>IF(CM74=BO74,BQ74,IF(CM74=BS74,BU74,IF(CM74=BW74,BY74,IF(CM74=CA74,CC74,IF(CM74=CE74,CG74,IF(CM74=CI74,CK74,0))))))</f>
        <v>4.1542300000000001</v>
      </c>
      <c r="CP74">
        <f t="shared" si="51"/>
        <v>0</v>
      </c>
      <c r="CQ74">
        <f t="shared" si="52"/>
        <v>0.14550277777777801</v>
      </c>
      <c r="CR74">
        <f>IF(CQ74=BO74,BP74,IF(CQ74=BS74,BT74,IF(CQ74=BW74,BX74,IF(CQ74=CA74,CB74,IF(CQ74=CE74,CF74,IF(CQ74=CI74,CJ74,IF(CQ74=CM74,CN74,0)))))))</f>
        <v>6</v>
      </c>
      <c r="CS74">
        <f>IF(CQ74=BO74,BQ74,IF(CQ74=BS74,BU74,IF(CQ74=BW74,BY74,IF(CQ74=CA74,CC74,IF(CQ74=CE74,CG74,IF(CQ74=CI74,CK74,IF(CQ74=CM74,CO74,0)))))))</f>
        <v>4.1542300000000001</v>
      </c>
      <c r="CT74">
        <f t="shared" si="53"/>
        <v>0</v>
      </c>
      <c r="CU74">
        <f t="shared" si="54"/>
        <v>0.14550277777777801</v>
      </c>
      <c r="CV74">
        <f>IF(CU74=BO74,BP74,IF(CU74=BS74,BT74,IF(CU74=BW74,BX74,IF(CU74=CA74,CB74,IF(CU74=CE74,CF74,IF(CU74=CI74,CJ74,IF(CU74=CM74,CN74,IF(CU74=CQ74,CR74,0))))))))</f>
        <v>6</v>
      </c>
      <c r="CW74">
        <f>IF(CU74=BO74,BQ74,IF(CU74=BS74,BU74,IF(CU74=BW74,BY74,IF(CU74=CA74,CC74,IF(CU74=CE74,CG74,IF(CU74=CI74,CK74,IF(CU74=CM74,CO74,IF(CU74=CQ74,CS74,0))))))))</f>
        <v>4.1542300000000001</v>
      </c>
      <c r="CX74">
        <f t="shared" si="55"/>
        <v>0</v>
      </c>
      <c r="CY74">
        <f t="shared" si="56"/>
        <v>0.14550277777777801</v>
      </c>
      <c r="CZ74">
        <f>IF(CY74=BO74,BP74,IF(CY74=BS74,BT74,IF(CY74=BW74,BX74,IF(CY74=CA74,CB74,IF(CY74=CE74,CF74,IF(CY74=CI74,CJ74,IF(CY74=CM74,CN74,IF(CY74=CQ74,CR74,IF(CY74=CU74,CV74,0)))))))))</f>
        <v>6</v>
      </c>
      <c r="DA74">
        <f>IF(CY74=BO74,BQ74,IF(CY74=BS74,BU74,IF(CY74=BW74,BY74,IF(CY74=CA74,CC74,IF(CY74=CE74,CG74,IF(CY74=CI74,CK74,IF(CY74=CM74,CO74,IF(CY74=CQ74,CS74,IF(CY74=CU74,CW74,0)))))))))</f>
        <v>4.1542300000000001</v>
      </c>
      <c r="DB74">
        <f t="shared" si="57"/>
        <v>0</v>
      </c>
      <c r="DC74">
        <f t="shared" si="58"/>
        <v>0.14550277777777801</v>
      </c>
      <c r="DD74">
        <f>IF(DC74=BO74,BP74,IF(DC74=BS74,BT74,IF(DC74=BW74,BX74,IF(DC74=CA74,CB74,IF(DC74=CE74,CF74,IF(DC74=CI74,CJ74,IF(DC74=CM74,CN74,IF(DC74=CQ74,CR74,IF(DC74=CU74,CV74,IF(DC74=CY74,CZ74,0))))))))))</f>
        <v>6</v>
      </c>
      <c r="DE74">
        <f>IF(DC74=BO74,BQ74,IF(DC74=BS74,BU74,IF(DC74=BW74,BY74,IF(DC74=CA74,CC74,IF(DC74=CE74,CG74,IF(DC74=CI74,CK74,IF(DC74=CM74,CO74,IF(DC74=CQ74,CS74,IF(DC74=CU74,CW74,IF(DC74=CY74,DA74,0))))))))))</f>
        <v>4.1542300000000001</v>
      </c>
      <c r="DF74">
        <f t="shared" si="59"/>
        <v>0</v>
      </c>
      <c r="DG74">
        <f t="shared" si="60"/>
        <v>0.14550277777777801</v>
      </c>
      <c r="DH74">
        <f>IF(DG74=BO74,BP74,IF(DG74=BS74,BT74,IF(DG74=BW74,BX74,IF(DG74=CA74,CB74,IF(DG74=CE74,CF74,IF(DG74=CI74,CJ74,IF(DG74=CM74,CN74,IF(DG74=CQ74,CR74,IF(DG74=CU74,CV74,IF(DG74=CY74,CZ74,IF(DG74=DC74,DD74,0)))))))))))</f>
        <v>6</v>
      </c>
      <c r="DI74">
        <f>IF(DG74=BO74,BQ74,IF(DG74=BS74,BU74,IF(DG74=BW74,BY74,IF(DG74=CA74,CC74,IF(DG74=CE74,CG74,IF(DG74=CI74,CK74,IF(DG74=CM74,CO74,IF(DG74=CQ74,CS74,IF(DG74=CU74,CW74,IF(DG74=CY74,DA74,IF(DG74=DC74,DE74,0)))))))))))</f>
        <v>4.1542300000000001</v>
      </c>
      <c r="DJ74">
        <f t="shared" si="61"/>
        <v>0</v>
      </c>
      <c r="DK74">
        <f t="shared" si="62"/>
        <v>0.14550277777777801</v>
      </c>
      <c r="DL74">
        <f>IF(DK74=BO74,BP74,IF(DK74=BS74,BT74,IF(DK74=BW74,BX74,IF(DK74=CA74,CB74,IF(DK74=CE74,CF74,IF(DK74=CI74,CJ74,IF(DK74=CM74,CN74,IF(DK74=CQ74,CR74,IF(DK74=CU74,CV74,IF(DK74=CY74,CZ74,IF(DK74=DC74,DD74,IF(DK74=DG74,DH74,0))))))))))))</f>
        <v>6</v>
      </c>
      <c r="DM74">
        <f>IF(DK74=BO74,BQ74,IF(DK74=BS74,BU74,IF(DK74=BW74,BY74,IF(DK74=CA74,CC74,IF(DK74=CE74,CG74,IF(DK74=CI74,CK74,IF(DK74=CM74,CO74,IF(DK74=CQ74,CS74,IF(DK74=CU74,CW74,IF(DK74=CY74,DA74,IF(DK74=DC74,DE74,IF(DK74=DG74,DI74,0))))))))))))</f>
        <v>4.1542300000000001</v>
      </c>
      <c r="DN74">
        <f t="shared" si="63"/>
        <v>0</v>
      </c>
      <c r="DO74">
        <f t="shared" si="64"/>
        <v>0.14550277777777801</v>
      </c>
      <c r="DP74">
        <f>IF(DO74=BO74,BP74,IF(DO74=BS74,BT74,IF(DO74=BW74,BX74,IF(DO74=CA74,CB74,IF(DO74=CE74,CF74,IF(DO74=CI74,CJ74,IF(DO74=CM74,CN74,IF(DO74=CQ74,CR74,IF(DO74=CU74,CV74,IF(DO74=CY74,CZ74,IF(DO74=DC74,DD74,IF(DO74=DG74,DH74,IF(DO74=DK74,DL74,0)))))))))))))</f>
        <v>6</v>
      </c>
      <c r="DQ74">
        <f>IF(DO74=BO74,BQ74,IF(DO74=BS74,BU74,IF(DO74=BW74,BY74,IF(DO74=CA74,CC74,IF(DO74=CE74,CG74,IF(DO74=CI74,CK74,IF(DO74=CM74,CO74,IF(DO74=CQ74,CS74,IF(DO74=CU74,CW74,IF(DO74=CY74,DA74,IF(DO74=DC74,DE74,IF(DO74=DG74,DI74,IF(DO74=DK74,DM74,0)))))))))))))</f>
        <v>4.1542300000000001</v>
      </c>
      <c r="DR74">
        <f t="shared" si="65"/>
        <v>0</v>
      </c>
      <c r="DS74">
        <f t="shared" si="66"/>
        <v>0.14550277777777801</v>
      </c>
      <c r="DT74">
        <f>IF(DS74=BO74,BP74,IF(DS74=BS74,BT74,IF(DS74=BW74,BX74,IF(DS74=CA74,CB74,IF(DS74=CE74,CF74,IF(DS74=CI74,CJ74,IF(DS74=CM74,CN74,IF(DS74=CQ74,CR74,IF(DS74=CU74,CV74,IF(DS74=CY74,CZ74,IF(DS74=DC74,DD74,IF(DS74=DG74,DH74,IF(DS74=DK74,DL74,IF(DS74=DO74,DP74,0))))))))))))))</f>
        <v>6</v>
      </c>
      <c r="DU74">
        <f>IF(DS74=BO74,BQ74,IF(DS74=BS74,BU74,IF(DS74=BW74,BY74,IF(DS74=CA74,CC74,IF(DS74=CE74,CG74,IF(DS74=CI74,CK74,IF(DS74=CM74,CO74,IF(DS74=CQ74,CS74,IF(DS74=CU74,CW74,IF(DS74=CY74,DA74,IF(DS74=DC74,DE74,IF(DS74=DG74,DI74,IF(DS74=DK74,DM74,IF(DS74=DO74,DQ74,0))))))))))))))</f>
        <v>4.1542300000000001</v>
      </c>
      <c r="DV74">
        <f t="shared" si="67"/>
        <v>0</v>
      </c>
      <c r="DW74">
        <v>37501</v>
      </c>
      <c r="DX74">
        <v>6</v>
      </c>
      <c r="DY74">
        <v>0</v>
      </c>
      <c r="DZ74">
        <v>6</v>
      </c>
      <c r="EA74">
        <v>6</v>
      </c>
      <c r="EB74">
        <v>16.856907401857999</v>
      </c>
      <c r="EC74">
        <v>1</v>
      </c>
      <c r="ED74">
        <v>2.0796300666666698</v>
      </c>
      <c r="EE74">
        <v>0.14550277777777801</v>
      </c>
      <c r="EF74">
        <v>4.1542300000000001</v>
      </c>
      <c r="EG74">
        <v>10.635739067855701</v>
      </c>
      <c r="EH74">
        <v>6</v>
      </c>
      <c r="EI74">
        <v>0</v>
      </c>
      <c r="EJ74">
        <v>0.36003326666666702</v>
      </c>
      <c r="EK74">
        <v>1</v>
      </c>
      <c r="EL74">
        <v>0</v>
      </c>
      <c r="EM74">
        <v>60</v>
      </c>
      <c r="EN74">
        <v>1</v>
      </c>
      <c r="EO74">
        <v>4</v>
      </c>
      <c r="EP74">
        <v>6</v>
      </c>
      <c r="EQ74">
        <v>6</v>
      </c>
      <c r="ER74">
        <v>14.1987814663817</v>
      </c>
      <c r="ES74">
        <v>7.7553744369376698</v>
      </c>
      <c r="ET74">
        <v>9.8350045036043401</v>
      </c>
      <c r="EU74">
        <v>4.1319242888363297</v>
      </c>
      <c r="EV74">
        <v>4.4919575555030002</v>
      </c>
      <c r="EW74">
        <v>0.72716366666666699</v>
      </c>
      <c r="EX74">
        <v>5.5324763162563597</v>
      </c>
      <c r="EY74">
        <v>6.2596399829230203</v>
      </c>
      <c r="EZ74">
        <v>0.36003326666666702</v>
      </c>
      <c r="FA74">
        <v>4.1319242888363297</v>
      </c>
      <c r="FB74">
        <v>4.4919575555030002</v>
      </c>
      <c r="FC74">
        <v>0.69833313333333302</v>
      </c>
      <c r="FD74">
        <v>5.9410856940111199</v>
      </c>
      <c r="FE74">
        <v>6.6394188273444597</v>
      </c>
      <c r="FF74">
        <v>0.36003326666666702</v>
      </c>
      <c r="FG74">
        <v>4.1319242888363297</v>
      </c>
      <c r="FH74">
        <v>4.4919575555030002</v>
      </c>
    </row>
    <row r="75" spans="1:164" x14ac:dyDescent="0.2">
      <c r="A75">
        <v>74</v>
      </c>
      <c r="B75">
        <v>84</v>
      </c>
      <c r="C75">
        <v>135</v>
      </c>
      <c r="D75">
        <v>1</v>
      </c>
      <c r="E75">
        <v>11</v>
      </c>
      <c r="F75" t="s">
        <v>228</v>
      </c>
      <c r="G75" t="s">
        <v>228</v>
      </c>
      <c r="H75">
        <v>3</v>
      </c>
      <c r="I75">
        <v>3</v>
      </c>
      <c r="K75" t="s">
        <v>254</v>
      </c>
      <c r="L75">
        <v>0</v>
      </c>
      <c r="M75">
        <v>0</v>
      </c>
      <c r="N75">
        <v>0</v>
      </c>
      <c r="O75">
        <v>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2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6</v>
      </c>
      <c r="AE75">
        <v>10</v>
      </c>
      <c r="AF75">
        <v>5</v>
      </c>
      <c r="AG75">
        <v>7</v>
      </c>
      <c r="AH75">
        <v>6</v>
      </c>
      <c r="AI75">
        <v>0.44514166666666699</v>
      </c>
      <c r="AJ75">
        <v>19.71799</v>
      </c>
      <c r="AK75">
        <v>0.63081944444444404</v>
      </c>
      <c r="AL75">
        <v>25.06606</v>
      </c>
      <c r="AM75">
        <v>0.53396944444444405</v>
      </c>
      <c r="AN75">
        <v>24.267910000000001</v>
      </c>
      <c r="AO75">
        <v>0.51925833333333304</v>
      </c>
      <c r="AP75">
        <v>22.807089999999999</v>
      </c>
      <c r="AQ75">
        <v>0.57357222222222204</v>
      </c>
      <c r="AR75">
        <v>25.316130000000001</v>
      </c>
      <c r="AS75">
        <v>0.56002777777777801</v>
      </c>
      <c r="AT75">
        <v>23.951039999999999</v>
      </c>
      <c r="AU75">
        <v>0.44677222222222202</v>
      </c>
      <c r="AV75">
        <v>19.232869999999998</v>
      </c>
      <c r="AW75">
        <v>0.46295277777777799</v>
      </c>
      <c r="AX75">
        <v>20.60942</v>
      </c>
      <c r="AY75">
        <v>0.45391111111111099</v>
      </c>
      <c r="AZ75">
        <v>20.80096</v>
      </c>
      <c r="BA75">
        <v>0.43890277777777797</v>
      </c>
      <c r="BB75">
        <v>20.217980000000001</v>
      </c>
      <c r="BC75">
        <v>0.45772222222222197</v>
      </c>
      <c r="BD75">
        <v>20.229030000000002</v>
      </c>
      <c r="BE75">
        <v>0.48700555555555602</v>
      </c>
      <c r="BF75">
        <v>25.61534</v>
      </c>
      <c r="BG75">
        <v>0.54435555555555604</v>
      </c>
      <c r="BH75">
        <v>26.63813</v>
      </c>
      <c r="BI75">
        <v>0.58818333333333295</v>
      </c>
      <c r="BJ75">
        <v>28.61204</v>
      </c>
      <c r="BK75">
        <v>0.66284444444444401</v>
      </c>
      <c r="BL75">
        <v>37.807749999999999</v>
      </c>
      <c r="BM75">
        <v>0.699430555555556</v>
      </c>
      <c r="BN75">
        <v>33.135890000000003</v>
      </c>
      <c r="BO75">
        <f t="shared" si="34"/>
        <v>0.43890277777777797</v>
      </c>
      <c r="BP75">
        <v>9</v>
      </c>
      <c r="BQ75">
        <v>20.217980000000001</v>
      </c>
      <c r="BR75">
        <f t="shared" si="35"/>
        <v>0</v>
      </c>
      <c r="BS75">
        <f t="shared" si="36"/>
        <v>0.43890277777777797</v>
      </c>
      <c r="BT75">
        <f t="shared" si="37"/>
        <v>9</v>
      </c>
      <c r="BU75">
        <f t="shared" si="38"/>
        <v>20.217980000000001</v>
      </c>
      <c r="BV75">
        <f t="shared" si="39"/>
        <v>0</v>
      </c>
      <c r="BW75">
        <f t="shared" si="40"/>
        <v>0.43890277777777797</v>
      </c>
      <c r="BX75">
        <f t="shared" si="41"/>
        <v>9</v>
      </c>
      <c r="BY75">
        <f t="shared" si="42"/>
        <v>20.217980000000001</v>
      </c>
      <c r="BZ75">
        <f t="shared" si="43"/>
        <v>0</v>
      </c>
      <c r="CA75">
        <f t="shared" si="44"/>
        <v>0.43890277777777797</v>
      </c>
      <c r="CB75">
        <f>IF(CA75=BO75,BP75,IF(CA75=BS75,BT75,IF(CA75=BW75,BX75,0)))</f>
        <v>9</v>
      </c>
      <c r="CC75">
        <f>IF(CA75=BO75,BQ75,IF(CA75=BS75,BU75,IF(CA75=BW75,BY75,0)))</f>
        <v>20.217980000000001</v>
      </c>
      <c r="CD75">
        <f t="shared" si="45"/>
        <v>0</v>
      </c>
      <c r="CE75">
        <f t="shared" si="46"/>
        <v>0.43890277777777797</v>
      </c>
      <c r="CF75">
        <f>IF(CE75=BO75,BP75,IF(CE75=BS75,BT75,IF(CE75=BW75,BX75,IF(CE75=CA75,CB75,0))))</f>
        <v>9</v>
      </c>
      <c r="CG75">
        <f>IF(CE75=BO75,BQ75,IF(CE75=BS75,BU75,IF(CE75=BW75,BY75,IF(CE75=CA75,CC75,0))))</f>
        <v>20.217980000000001</v>
      </c>
      <c r="CH75">
        <f t="shared" si="47"/>
        <v>0</v>
      </c>
      <c r="CI75">
        <f t="shared" si="48"/>
        <v>0.43890277777777797</v>
      </c>
      <c r="CJ75">
        <f>IF(CI75=BO75,BP75,IF(CI75=BS75,BT75,IF(CI75=BW75,BX75,IF(CI75=CA75,CB75,IF(CI75=CE75,CF75,0)))))</f>
        <v>9</v>
      </c>
      <c r="CK75">
        <f>IF(CI75=BO75,BQ75,IF(CI75=BS75,BU75,IF(CI75=BW75,BY75,IF(CI75=CA75,CC75,IF(CI75=CE75,CG75,0)))))</f>
        <v>20.217980000000001</v>
      </c>
      <c r="CL75">
        <f t="shared" si="49"/>
        <v>0</v>
      </c>
      <c r="CM75">
        <f t="shared" si="50"/>
        <v>0.43890277777777797</v>
      </c>
      <c r="CN75">
        <f>IF(CM75=BO75,BP75,IF(CM75=BS75,BT75,IF(CM75=BW75,BX75,IF(CM75=CA75,CB75,IF(CM75=CE75,CF75,IF(CM75=CI75,CJ75,0))))))</f>
        <v>9</v>
      </c>
      <c r="CO75">
        <f>IF(CM75=BO75,BQ75,IF(CM75=BS75,BU75,IF(CM75=BW75,BY75,IF(CM75=CA75,CC75,IF(CM75=CE75,CG75,IF(CM75=CI75,CK75,0))))))</f>
        <v>20.217980000000001</v>
      </c>
      <c r="CP75">
        <f t="shared" si="51"/>
        <v>0</v>
      </c>
      <c r="CQ75">
        <f t="shared" si="52"/>
        <v>0.43890277777777797</v>
      </c>
      <c r="CR75">
        <f>IF(CQ75=BO75,BP75,IF(CQ75=BS75,BT75,IF(CQ75=BW75,BX75,IF(CQ75=CA75,CB75,IF(CQ75=CE75,CF75,IF(CQ75=CI75,CJ75,IF(CQ75=CM75,CN75,0)))))))</f>
        <v>9</v>
      </c>
      <c r="CS75">
        <f>IF(CQ75=BO75,BQ75,IF(CQ75=BS75,BU75,IF(CQ75=BW75,BY75,IF(CQ75=CA75,CC75,IF(CQ75=CE75,CG75,IF(CQ75=CI75,CK75,IF(CQ75=CM75,CO75,0)))))))</f>
        <v>20.217980000000001</v>
      </c>
      <c r="CT75">
        <f t="shared" si="53"/>
        <v>0</v>
      </c>
      <c r="CU75">
        <f t="shared" si="54"/>
        <v>0.44514166666666699</v>
      </c>
      <c r="CV75">
        <v>7</v>
      </c>
      <c r="CW75">
        <v>6.3240699999999999</v>
      </c>
      <c r="CX75">
        <f t="shared" si="55"/>
        <v>3</v>
      </c>
      <c r="CY75">
        <f t="shared" si="56"/>
        <v>0.43890277777777797</v>
      </c>
      <c r="CZ75">
        <f>IF(CY75=BO75,BP75,IF(CY75=BS75,BT75,IF(CY75=BW75,BX75,IF(CY75=CA75,CB75,IF(CY75=CE75,CF75,IF(CY75=CI75,CJ75,IF(CY75=CM75,CN75,IF(CY75=CQ75,CR75,IF(CY75=CU75,CV75,0)))))))))</f>
        <v>9</v>
      </c>
      <c r="DA75">
        <f>IF(CY75=BO75,BQ75,IF(CY75=BS75,BU75,IF(CY75=BW75,BY75,IF(CY75=CA75,CC75,IF(CY75=CE75,CG75,IF(CY75=CI75,CK75,IF(CY75=CM75,CO75,IF(CY75=CQ75,CS75,IF(CY75=CU75,CW75,0)))))))))</f>
        <v>20.217980000000001</v>
      </c>
      <c r="DB75">
        <f t="shared" si="57"/>
        <v>0</v>
      </c>
      <c r="DC75">
        <f t="shared" si="58"/>
        <v>0.43890277777777797</v>
      </c>
      <c r="DD75">
        <f>IF(DC75=BO75,BP75,IF(DC75=BS75,BT75,IF(DC75=BW75,BX75,IF(DC75=CA75,CB75,IF(DC75=CE75,CF75,IF(DC75=CI75,CJ75,IF(DC75=CM75,CN75,IF(DC75=CQ75,CR75,IF(DC75=CU75,CV75,IF(DC75=CY75,CZ75,0))))))))))</f>
        <v>9</v>
      </c>
      <c r="DE75">
        <f>IF(DC75=BO75,BQ75,IF(DC75=BS75,BU75,IF(DC75=BW75,BY75,IF(DC75=CA75,CC75,IF(DC75=CE75,CG75,IF(DC75=CI75,CK75,IF(DC75=CM75,CO75,IF(DC75=CQ75,CS75,IF(DC75=CU75,CW75,IF(DC75=CY75,DA75,0))))))))))</f>
        <v>20.217980000000001</v>
      </c>
      <c r="DF75">
        <f t="shared" si="59"/>
        <v>0</v>
      </c>
      <c r="DG75">
        <f t="shared" si="60"/>
        <v>0.43890277777777797</v>
      </c>
      <c r="DH75">
        <f>IF(DG75=BO75,BP75,IF(DG75=BS75,BT75,IF(DG75=BW75,BX75,IF(DG75=CA75,CB75,IF(DG75=CE75,CF75,IF(DG75=CI75,CJ75,IF(DG75=CM75,CN75,IF(DG75=CQ75,CR75,IF(DG75=CU75,CV75,IF(DG75=CY75,CZ75,IF(DG75=DC75,DD75,0)))))))))))</f>
        <v>9</v>
      </c>
      <c r="DI75">
        <f>IF(DG75=BO75,BQ75,IF(DG75=BS75,BU75,IF(DG75=BW75,BY75,IF(DG75=CA75,CC75,IF(DG75=CE75,CG75,IF(DG75=CI75,CK75,IF(DG75=CM75,CO75,IF(DG75=CQ75,CS75,IF(DG75=CU75,CW75,IF(DG75=CY75,DA75,IF(DG75=DC75,DE75,0)))))))))))</f>
        <v>20.217980000000001</v>
      </c>
      <c r="DJ75">
        <f t="shared" si="61"/>
        <v>0</v>
      </c>
      <c r="DK75">
        <f t="shared" si="62"/>
        <v>0.43890277777777797</v>
      </c>
      <c r="DL75">
        <f>IF(DK75=BO75,BP75,IF(DK75=BS75,BT75,IF(DK75=BW75,BX75,IF(DK75=CA75,CB75,IF(DK75=CE75,CF75,IF(DK75=CI75,CJ75,IF(DK75=CM75,CN75,IF(DK75=CQ75,CR75,IF(DK75=CU75,CV75,IF(DK75=CY75,CZ75,IF(DK75=DC75,DD75,IF(DK75=DG75,DH75,0))))))))))))</f>
        <v>9</v>
      </c>
      <c r="DM75">
        <f>IF(DK75=BO75,BQ75,IF(DK75=BS75,BU75,IF(DK75=BW75,BY75,IF(DK75=CA75,CC75,IF(DK75=CE75,CG75,IF(DK75=CI75,CK75,IF(DK75=CM75,CO75,IF(DK75=CQ75,CS75,IF(DK75=CU75,CW75,IF(DK75=CY75,DA75,IF(DK75=DC75,DE75,IF(DK75=DG75,DI75,0))))))))))))</f>
        <v>20.217980000000001</v>
      </c>
      <c r="DN75">
        <f t="shared" si="63"/>
        <v>0</v>
      </c>
      <c r="DO75">
        <f t="shared" si="64"/>
        <v>0.43890277777777797</v>
      </c>
      <c r="DP75">
        <f>IF(DO75=BO75,BP75,IF(DO75=BS75,BT75,IF(DO75=BW75,BX75,IF(DO75=CA75,CB75,IF(DO75=CE75,CF75,IF(DO75=CI75,CJ75,IF(DO75=CM75,CN75,IF(DO75=CQ75,CR75,IF(DO75=CU75,CV75,IF(DO75=CY75,CZ75,IF(DO75=DC75,DD75,IF(DO75=DG75,DH75,IF(DO75=DK75,DL75,0)))))))))))))</f>
        <v>9</v>
      </c>
      <c r="DQ75">
        <f>IF(DO75=BO75,BQ75,IF(DO75=BS75,BU75,IF(DO75=BW75,BY75,IF(DO75=CA75,CC75,IF(DO75=CE75,CG75,IF(DO75=CI75,CK75,IF(DO75=CM75,CO75,IF(DO75=CQ75,CS75,IF(DO75=CU75,CW75,IF(DO75=CY75,DA75,IF(DO75=DC75,DE75,IF(DO75=DG75,DI75,IF(DO75=DK75,DM75,0)))))))))))))</f>
        <v>20.217980000000001</v>
      </c>
      <c r="DR75">
        <f t="shared" si="65"/>
        <v>0</v>
      </c>
      <c r="DS75">
        <f t="shared" si="66"/>
        <v>0.43890277777777797</v>
      </c>
      <c r="DT75">
        <f>IF(DS75=BO75,BP75,IF(DS75=BS75,BT75,IF(DS75=BW75,BX75,IF(DS75=CA75,CB75,IF(DS75=CE75,CF75,IF(DS75=CI75,CJ75,IF(DS75=CM75,CN75,IF(DS75=CQ75,CR75,IF(DS75=CU75,CV75,IF(DS75=CY75,CZ75,IF(DS75=DC75,DD75,IF(DS75=DG75,DH75,IF(DS75=DK75,DL75,IF(DS75=DO75,DP75,0))))))))))))))</f>
        <v>9</v>
      </c>
      <c r="DU75">
        <f>IF(DS75=BO75,BQ75,IF(DS75=BS75,BU75,IF(DS75=BW75,BY75,IF(DS75=CA75,CC75,IF(DS75=CE75,CG75,IF(DS75=CI75,CK75,IF(DS75=CM75,CO75,IF(DS75=CQ75,CS75,IF(DS75=CU75,CW75,IF(DS75=CY75,DA75,IF(DS75=DC75,DE75,IF(DS75=DG75,DI75,IF(DS75=DK75,DM75,IF(DS75=DO75,DQ75,0))))))))))))))</f>
        <v>20.217980000000001</v>
      </c>
      <c r="DV75">
        <f t="shared" si="67"/>
        <v>0</v>
      </c>
      <c r="DW75">
        <v>22500.5</v>
      </c>
      <c r="DX75">
        <v>4</v>
      </c>
      <c r="DY75">
        <v>0</v>
      </c>
      <c r="DZ75">
        <v>6</v>
      </c>
      <c r="EA75">
        <v>6</v>
      </c>
      <c r="EB75">
        <v>10.114099490560401</v>
      </c>
      <c r="EC75">
        <v>1.5</v>
      </c>
      <c r="ED75">
        <v>4.0633387000000001</v>
      </c>
      <c r="EE75">
        <v>0.43890277777777797</v>
      </c>
      <c r="EF75">
        <v>20.217980000000001</v>
      </c>
      <c r="EG75">
        <v>11.521782139438599</v>
      </c>
      <c r="EH75">
        <v>9</v>
      </c>
      <c r="EI75">
        <v>0</v>
      </c>
      <c r="EJ75">
        <v>2.6283373999999999</v>
      </c>
      <c r="EK75">
        <v>1</v>
      </c>
      <c r="EL75">
        <v>1</v>
      </c>
      <c r="EM75">
        <v>42</v>
      </c>
      <c r="EN75">
        <v>0</v>
      </c>
      <c r="EO75">
        <v>4</v>
      </c>
      <c r="EP75">
        <v>6</v>
      </c>
      <c r="EQ75">
        <v>5</v>
      </c>
      <c r="ER75">
        <v>14.1987814663817</v>
      </c>
      <c r="ES75">
        <v>12.6409384931618</v>
      </c>
      <c r="ET75">
        <v>16.704277193161801</v>
      </c>
      <c r="EU75">
        <v>12.463769253309099</v>
      </c>
      <c r="EV75">
        <v>15.0921066533091</v>
      </c>
      <c r="EW75">
        <v>2.7041248000000002</v>
      </c>
      <c r="EX75">
        <v>12.889969343658301</v>
      </c>
      <c r="EY75">
        <v>15.5940941436583</v>
      </c>
      <c r="EZ75">
        <v>2.6283373999999999</v>
      </c>
      <c r="FA75">
        <v>12.463769253309099</v>
      </c>
      <c r="FB75">
        <v>15.0921066533091</v>
      </c>
      <c r="FC75">
        <v>2.9649217000000001</v>
      </c>
      <c r="FD75">
        <v>14.745671199195099</v>
      </c>
      <c r="FE75">
        <v>17.710592899195099</v>
      </c>
      <c r="FF75">
        <v>2.6283373999999999</v>
      </c>
      <c r="FG75">
        <v>12.463769253309099</v>
      </c>
      <c r="FH75">
        <v>15.0921066533091</v>
      </c>
    </row>
    <row r="76" spans="1:164" x14ac:dyDescent="0.2">
      <c r="A76">
        <v>75</v>
      </c>
      <c r="B76">
        <v>85</v>
      </c>
      <c r="C76">
        <v>136</v>
      </c>
      <c r="D76">
        <v>1</v>
      </c>
      <c r="E76">
        <v>11</v>
      </c>
      <c r="F76" t="s">
        <v>146</v>
      </c>
      <c r="G76" t="s">
        <v>255</v>
      </c>
      <c r="H76">
        <v>3</v>
      </c>
      <c r="I76">
        <v>5</v>
      </c>
      <c r="K76" t="s">
        <v>256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6</v>
      </c>
      <c r="AC76">
        <v>0</v>
      </c>
      <c r="AD76">
        <v>3</v>
      </c>
      <c r="AE76">
        <v>12</v>
      </c>
      <c r="AF76">
        <v>6</v>
      </c>
      <c r="AG76">
        <v>21</v>
      </c>
      <c r="AH76">
        <v>5</v>
      </c>
      <c r="AI76">
        <v>0.663605555555556</v>
      </c>
      <c r="AJ76">
        <v>45.119970000000002</v>
      </c>
      <c r="AK76">
        <v>0.94094444444444403</v>
      </c>
      <c r="AL76">
        <v>65.767129999999995</v>
      </c>
      <c r="AM76">
        <v>0.835055555555556</v>
      </c>
      <c r="AN76">
        <v>63.296990000000001</v>
      </c>
      <c r="AO76">
        <v>0.83119722222222203</v>
      </c>
      <c r="AP76">
        <v>60.923490000000001</v>
      </c>
      <c r="AQ76">
        <v>0.85449722222222202</v>
      </c>
      <c r="AR76">
        <v>61.251390000000001</v>
      </c>
      <c r="AS76">
        <v>0.81968333333333299</v>
      </c>
      <c r="AT76">
        <v>57.751519999999999</v>
      </c>
      <c r="AU76">
        <v>0.71902777777777804</v>
      </c>
      <c r="AV76">
        <v>52.215989999999998</v>
      </c>
      <c r="AW76">
        <v>0.69430277777777805</v>
      </c>
      <c r="AX76">
        <v>50.189810000000001</v>
      </c>
      <c r="AY76">
        <v>0.68379166666666702</v>
      </c>
      <c r="AZ76">
        <v>48.633389999999999</v>
      </c>
      <c r="BA76">
        <v>0.66878333333333295</v>
      </c>
      <c r="BB76">
        <v>48.050420000000003</v>
      </c>
      <c r="BC76">
        <v>0.67523888888888906</v>
      </c>
      <c r="BD76">
        <v>45.595680000000002</v>
      </c>
      <c r="BE76">
        <v>0.57288055555555595</v>
      </c>
      <c r="BF76">
        <v>39.110210000000002</v>
      </c>
      <c r="BG76">
        <v>0.59253333333333302</v>
      </c>
      <c r="BH76">
        <v>38.745710000000003</v>
      </c>
      <c r="BI76">
        <v>0.59819999999999995</v>
      </c>
      <c r="BJ76">
        <v>35.922460000000001</v>
      </c>
      <c r="BK76">
        <v>0.58125833333333299</v>
      </c>
      <c r="BL76">
        <v>35.1252</v>
      </c>
      <c r="BM76">
        <v>0.60383055555555598</v>
      </c>
      <c r="BN76">
        <v>34.712429999999998</v>
      </c>
      <c r="BO76">
        <f t="shared" si="34"/>
        <v>0.57288055555555595</v>
      </c>
      <c r="BP76">
        <v>14</v>
      </c>
      <c r="BQ76">
        <v>39.110210000000002</v>
      </c>
      <c r="BR76">
        <f t="shared" si="35"/>
        <v>0</v>
      </c>
      <c r="BS76">
        <f t="shared" si="36"/>
        <v>0.57288055555555595</v>
      </c>
      <c r="BT76">
        <f t="shared" si="37"/>
        <v>14</v>
      </c>
      <c r="BU76">
        <f t="shared" si="38"/>
        <v>39.110210000000002</v>
      </c>
      <c r="BV76">
        <f t="shared" si="39"/>
        <v>0</v>
      </c>
      <c r="BW76">
        <f t="shared" si="40"/>
        <v>0.57288055555555595</v>
      </c>
      <c r="BX76">
        <f t="shared" si="41"/>
        <v>14</v>
      </c>
      <c r="BY76">
        <f t="shared" si="42"/>
        <v>39.110210000000002</v>
      </c>
      <c r="BZ76">
        <f t="shared" si="43"/>
        <v>0</v>
      </c>
      <c r="CA76">
        <f t="shared" si="44"/>
        <v>0.57288055555555595</v>
      </c>
      <c r="CB76">
        <f>IF(CA76=BO76,BP76,IF(CA76=BS76,BT76,IF(CA76=BW76,BX76,0)))</f>
        <v>14</v>
      </c>
      <c r="CC76">
        <f>IF(CA76=BO76,BQ76,IF(CA76=BS76,BU76,IF(CA76=BW76,BY76,0)))</f>
        <v>39.110210000000002</v>
      </c>
      <c r="CD76">
        <f t="shared" si="45"/>
        <v>0</v>
      </c>
      <c r="CE76">
        <f t="shared" si="46"/>
        <v>0.57288055555555595</v>
      </c>
      <c r="CF76">
        <f>IF(CE76=BO76,BP76,IF(CE76=BS76,BT76,IF(CE76=BW76,BX76,IF(CE76=CA76,CB76,0))))</f>
        <v>14</v>
      </c>
      <c r="CG76">
        <f>IF(CE76=BO76,BQ76,IF(CE76=BS76,BU76,IF(CE76=BW76,BY76,IF(CE76=CA76,CC76,0))))</f>
        <v>39.110210000000002</v>
      </c>
      <c r="CH76">
        <f t="shared" si="47"/>
        <v>0</v>
      </c>
      <c r="CI76">
        <f t="shared" si="48"/>
        <v>0.57288055555555595</v>
      </c>
      <c r="CJ76">
        <f>IF(CI76=BO76,BP76,IF(CI76=BS76,BT76,IF(CI76=BW76,BX76,IF(CI76=CA76,CB76,IF(CI76=CE76,CF76,0)))))</f>
        <v>14</v>
      </c>
      <c r="CK76">
        <f>IF(CI76=BO76,BQ76,IF(CI76=BS76,BU76,IF(CI76=BW76,BY76,IF(CI76=CA76,CC76,IF(CI76=CE76,CG76,0)))))</f>
        <v>39.110210000000002</v>
      </c>
      <c r="CL76">
        <f t="shared" si="49"/>
        <v>0</v>
      </c>
      <c r="CM76">
        <f t="shared" si="50"/>
        <v>0.57288055555555595</v>
      </c>
      <c r="CN76">
        <f>IF(CM76=BO76,BP76,IF(CM76=BS76,BT76,IF(CM76=BW76,BX76,IF(CM76=CA76,CB76,IF(CM76=CE76,CF76,IF(CM76=CI76,CJ76,0))))))</f>
        <v>14</v>
      </c>
      <c r="CO76">
        <f>IF(CM76=BO76,BQ76,IF(CM76=BS76,BU76,IF(CM76=BW76,BY76,IF(CM76=CA76,CC76,IF(CM76=CE76,CG76,IF(CM76=CI76,CK76,0))))))</f>
        <v>39.110210000000002</v>
      </c>
      <c r="CP76">
        <f t="shared" si="51"/>
        <v>0</v>
      </c>
      <c r="CQ76">
        <f t="shared" si="52"/>
        <v>0.57288055555555595</v>
      </c>
      <c r="CR76">
        <f>IF(CQ76=BO76,BP76,IF(CQ76=BS76,BT76,IF(CQ76=BW76,BX76,IF(CQ76=CA76,CB76,IF(CQ76=CE76,CF76,IF(CQ76=CI76,CJ76,IF(CQ76=CM76,CN76,0)))))))</f>
        <v>14</v>
      </c>
      <c r="CS76">
        <f>IF(CQ76=BO76,BQ76,IF(CQ76=BS76,BU76,IF(CQ76=BW76,BY76,IF(CQ76=CA76,CC76,IF(CQ76=CE76,CG76,IF(CQ76=CI76,CK76,IF(CQ76=CM76,CO76,0)))))))</f>
        <v>39.110210000000002</v>
      </c>
      <c r="CT76">
        <f t="shared" si="53"/>
        <v>0</v>
      </c>
      <c r="CU76">
        <f t="shared" si="54"/>
        <v>0.57288055555555595</v>
      </c>
      <c r="CV76">
        <f>IF(CU76=BO76,BP76,IF(CU76=BS76,BT76,IF(CU76=BW76,BX76,IF(CU76=CA76,CB76,IF(CU76=CE76,CF76,IF(CU76=CI76,CJ76,IF(CU76=CM76,CN76,IF(CU76=CQ76,CR76,0))))))))</f>
        <v>14</v>
      </c>
      <c r="CW76">
        <f>IF(CU76=BO76,BQ76,IF(CU76=BS76,BU76,IF(CU76=BW76,BY76,IF(CU76=CA76,CC76,IF(CU76=CE76,CG76,IF(CU76=CI76,CK76,IF(CU76=CM76,CO76,IF(CU76=CQ76,CS76,0))))))))</f>
        <v>39.110210000000002</v>
      </c>
      <c r="CX76">
        <f t="shared" si="55"/>
        <v>0</v>
      </c>
      <c r="CY76">
        <f t="shared" si="56"/>
        <v>0.57288055555555595</v>
      </c>
      <c r="CZ76">
        <f>IF(CY76=BO76,BP76,IF(CY76=BS76,BT76,IF(CY76=BW76,BX76,IF(CY76=CA76,CB76,IF(CY76=CE76,CF76,IF(CY76=CI76,CJ76,IF(CY76=CM76,CN76,IF(CY76=CQ76,CR76,IF(CY76=CU76,CV76,0)))))))))</f>
        <v>14</v>
      </c>
      <c r="DA76">
        <f>IF(CY76=BO76,BQ76,IF(CY76=BS76,BU76,IF(CY76=BW76,BY76,IF(CY76=CA76,CC76,IF(CY76=CE76,CG76,IF(CY76=CI76,CK76,IF(CY76=CM76,CO76,IF(CY76=CQ76,CS76,IF(CY76=CU76,CW76,0)))))))))</f>
        <v>39.110210000000002</v>
      </c>
      <c r="DB76">
        <f t="shared" si="57"/>
        <v>0</v>
      </c>
      <c r="DC76">
        <f t="shared" si="58"/>
        <v>0.58125833333333299</v>
      </c>
      <c r="DD76">
        <v>17</v>
      </c>
      <c r="DE76">
        <v>35.1252</v>
      </c>
      <c r="DF76">
        <f t="shared" si="59"/>
        <v>0</v>
      </c>
      <c r="DG76">
        <f t="shared" si="60"/>
        <v>0.57288055555555595</v>
      </c>
      <c r="DH76">
        <f>IF(DG76=BO76,BP76,IF(DG76=BS76,BT76,IF(DG76=BW76,BX76,IF(DG76=CA76,CB76,IF(DG76=CE76,CF76,IF(DG76=CI76,CJ76,IF(DG76=CM76,CN76,IF(DG76=CQ76,CR76,IF(DG76=CU76,CV76,IF(DG76=CY76,CZ76,IF(DG76=DC76,DD76,0)))))))))))</f>
        <v>14</v>
      </c>
      <c r="DI76">
        <f>IF(DG76=BO76,BQ76,IF(DG76=BS76,BU76,IF(DG76=BW76,BY76,IF(DG76=CA76,CC76,IF(DG76=CE76,CG76,IF(DG76=CI76,CK76,IF(DG76=CM76,CO76,IF(DG76=CQ76,CS76,IF(DG76=CU76,CW76,IF(DG76=CY76,DA76,IF(DG76=DC76,DE76,0)))))))))))</f>
        <v>39.110210000000002</v>
      </c>
      <c r="DJ76">
        <f t="shared" si="61"/>
        <v>0</v>
      </c>
      <c r="DK76">
        <f t="shared" si="62"/>
        <v>0.57288055555555595</v>
      </c>
      <c r="DL76">
        <f>IF(DK76=BO76,BP76,IF(DK76=BS76,BT76,IF(DK76=BW76,BX76,IF(DK76=CA76,CB76,IF(DK76=CE76,CF76,IF(DK76=CI76,CJ76,IF(DK76=CM76,CN76,IF(DK76=CQ76,CR76,IF(DK76=CU76,CV76,IF(DK76=CY76,CZ76,IF(DK76=DC76,DD76,IF(DK76=DG76,DH76,0))))))))))))</f>
        <v>14</v>
      </c>
      <c r="DM76">
        <f>IF(DK76=BO76,BQ76,IF(DK76=BS76,BU76,IF(DK76=BW76,BY76,IF(DK76=CA76,CC76,IF(DK76=CE76,CG76,IF(DK76=CI76,CK76,IF(DK76=CM76,CO76,IF(DK76=CQ76,CS76,IF(DK76=CU76,CW76,IF(DK76=CY76,DA76,IF(DK76=DC76,DE76,IF(DK76=DG76,DI76,0))))))))))))</f>
        <v>39.110210000000002</v>
      </c>
      <c r="DN76">
        <f t="shared" si="63"/>
        <v>0</v>
      </c>
      <c r="DO76">
        <f t="shared" si="64"/>
        <v>0.57288055555555595</v>
      </c>
      <c r="DP76">
        <f>IF(DO76=BO76,BP76,IF(DO76=BS76,BT76,IF(DO76=BW76,BX76,IF(DO76=CA76,CB76,IF(DO76=CE76,CF76,IF(DO76=CI76,CJ76,IF(DO76=CM76,CN76,IF(DO76=CQ76,CR76,IF(DO76=CU76,CV76,IF(DO76=CY76,CZ76,IF(DO76=DC76,DD76,IF(DO76=DG76,DH76,IF(DO76=DK76,DL76,0)))))))))))))</f>
        <v>14</v>
      </c>
      <c r="DQ76">
        <f>IF(DO76=BO76,BQ76,IF(DO76=BS76,BU76,IF(DO76=BW76,BY76,IF(DO76=CA76,CC76,IF(DO76=CE76,CG76,IF(DO76=CI76,CK76,IF(DO76=CM76,CO76,IF(DO76=CQ76,CS76,IF(DO76=CU76,CW76,IF(DO76=CY76,DA76,IF(DO76=DC76,DE76,IF(DO76=DG76,DI76,IF(DO76=DK76,DM76,0)))))))))))))</f>
        <v>39.110210000000002</v>
      </c>
      <c r="DR76">
        <f t="shared" si="65"/>
        <v>0</v>
      </c>
      <c r="DS76">
        <f t="shared" si="66"/>
        <v>0.57288055555555595</v>
      </c>
      <c r="DT76">
        <f>IF(DS76=BO76,BP76,IF(DS76=BS76,BT76,IF(DS76=BW76,BX76,IF(DS76=CA76,CB76,IF(DS76=CE76,CF76,IF(DS76=CI76,CJ76,IF(DS76=CM76,CN76,IF(DS76=CQ76,CR76,IF(DS76=CU76,CV76,IF(DS76=CY76,CZ76,IF(DS76=DC76,DD76,IF(DS76=DG76,DH76,IF(DS76=DK76,DL76,IF(DS76=DO76,DP76,0))))))))))))))</f>
        <v>14</v>
      </c>
      <c r="DU76">
        <f>IF(DS76=BO76,BQ76,IF(DS76=BS76,BU76,IF(DS76=BW76,BY76,IF(DS76=CA76,CC76,IF(DS76=CE76,CG76,IF(DS76=CI76,CK76,IF(DS76=CM76,CO76,IF(DS76=CQ76,CS76,IF(DS76=CU76,CW76,IF(DS76=CY76,DA76,IF(DS76=DC76,DE76,IF(DS76=DG76,DI76,IF(DS76=DK76,DM76,IF(DS76=DO76,DQ76,0))))))))))))))</f>
        <v>39.110210000000002</v>
      </c>
      <c r="DV76">
        <f t="shared" si="67"/>
        <v>0</v>
      </c>
      <c r="DW76">
        <v>22500.5</v>
      </c>
      <c r="DX76">
        <v>6</v>
      </c>
      <c r="DY76">
        <v>0</v>
      </c>
      <c r="DZ76">
        <v>4</v>
      </c>
      <c r="EA76">
        <v>4</v>
      </c>
      <c r="EB76">
        <v>10.114099490560401</v>
      </c>
      <c r="EC76">
        <v>0.66666666666666696</v>
      </c>
      <c r="ED76">
        <v>4.5770640666666704</v>
      </c>
      <c r="EE76">
        <v>0.57288055555555595</v>
      </c>
      <c r="EF76">
        <v>39.110210000000002</v>
      </c>
      <c r="EG76">
        <v>15.642216278645501</v>
      </c>
      <c r="EH76">
        <v>14</v>
      </c>
      <c r="EI76">
        <v>0</v>
      </c>
      <c r="EJ76">
        <v>3.3895515333333299</v>
      </c>
      <c r="EK76">
        <v>1</v>
      </c>
      <c r="EL76">
        <v>0</v>
      </c>
      <c r="EM76">
        <v>52</v>
      </c>
      <c r="EN76">
        <v>1</v>
      </c>
      <c r="EO76">
        <v>4</v>
      </c>
      <c r="EP76">
        <v>5</v>
      </c>
      <c r="EQ76">
        <v>6</v>
      </c>
      <c r="ER76">
        <v>14.1987814663817</v>
      </c>
      <c r="ES76">
        <v>18.844780526420301</v>
      </c>
      <c r="ET76">
        <v>23.421844593086998</v>
      </c>
      <c r="EU76">
        <v>16.268411629345302</v>
      </c>
      <c r="EV76">
        <v>19.657963162678701</v>
      </c>
      <c r="EW76">
        <v>4.2148937999999996</v>
      </c>
      <c r="EX76">
        <v>19.4180168870658</v>
      </c>
      <c r="EY76">
        <v>23.632910687065799</v>
      </c>
      <c r="EZ76">
        <v>3.3895515333333299</v>
      </c>
      <c r="FA76">
        <v>16.268411629345302</v>
      </c>
      <c r="FB76">
        <v>19.657963162678701</v>
      </c>
      <c r="FC76">
        <v>5.2800358000000003</v>
      </c>
      <c r="FD76">
        <v>23.6039754275936</v>
      </c>
      <c r="FE76">
        <v>28.8840112275936</v>
      </c>
      <c r="FF76">
        <v>3.3895515333333299</v>
      </c>
      <c r="FG76">
        <v>16.268411629345302</v>
      </c>
      <c r="FH76">
        <v>19.657963162678701</v>
      </c>
    </row>
    <row r="77" spans="1:164" x14ac:dyDescent="0.2">
      <c r="A77">
        <v>76</v>
      </c>
      <c r="B77">
        <v>86</v>
      </c>
      <c r="C77">
        <v>137</v>
      </c>
      <c r="D77">
        <v>3</v>
      </c>
      <c r="E77">
        <v>12</v>
      </c>
      <c r="F77" t="s">
        <v>146</v>
      </c>
      <c r="G77" t="s">
        <v>257</v>
      </c>
      <c r="H77">
        <v>3</v>
      </c>
      <c r="I77">
        <v>5</v>
      </c>
      <c r="K77" t="s">
        <v>256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5</v>
      </c>
      <c r="AC77">
        <v>3</v>
      </c>
      <c r="AD77">
        <v>7</v>
      </c>
      <c r="AE77">
        <v>18</v>
      </c>
      <c r="AF77">
        <v>9</v>
      </c>
      <c r="AG77">
        <v>30</v>
      </c>
      <c r="AH77">
        <v>6</v>
      </c>
      <c r="AI77">
        <v>0.663605555555556</v>
      </c>
      <c r="AJ77">
        <v>45.119970000000002</v>
      </c>
      <c r="AK77">
        <v>0.94094444444444403</v>
      </c>
      <c r="AL77">
        <v>65.767129999999995</v>
      </c>
      <c r="AM77">
        <v>0.835055555555556</v>
      </c>
      <c r="AN77">
        <v>63.296990000000001</v>
      </c>
      <c r="AO77">
        <v>0.83119722222222203</v>
      </c>
      <c r="AP77">
        <v>60.923490000000001</v>
      </c>
      <c r="AQ77">
        <v>0.85449722222222202</v>
      </c>
      <c r="AR77">
        <v>61.251390000000001</v>
      </c>
      <c r="AS77">
        <v>0.81968333333333299</v>
      </c>
      <c r="AT77">
        <v>57.751519999999999</v>
      </c>
      <c r="AU77">
        <v>0.71902777777777804</v>
      </c>
      <c r="AV77">
        <v>52.215989999999998</v>
      </c>
      <c r="AW77">
        <v>0.69430277777777805</v>
      </c>
      <c r="AX77">
        <v>50.189810000000001</v>
      </c>
      <c r="AY77">
        <v>0.68379166666666702</v>
      </c>
      <c r="AZ77">
        <v>48.633389999999999</v>
      </c>
      <c r="BA77">
        <v>0.66878333333333295</v>
      </c>
      <c r="BB77">
        <v>48.050420000000003</v>
      </c>
      <c r="BC77">
        <v>0.67523888888888906</v>
      </c>
      <c r="BD77">
        <v>45.595680000000002</v>
      </c>
      <c r="BE77">
        <v>0.57288055555555595</v>
      </c>
      <c r="BF77">
        <v>39.110210000000002</v>
      </c>
      <c r="BG77">
        <v>0.59253333333333302</v>
      </c>
      <c r="BH77">
        <v>38.745710000000003</v>
      </c>
      <c r="BI77">
        <v>0.59819999999999995</v>
      </c>
      <c r="BJ77">
        <v>35.922460000000001</v>
      </c>
      <c r="BK77">
        <v>0.58125833333333299</v>
      </c>
      <c r="BL77">
        <v>35.1252</v>
      </c>
      <c r="BM77">
        <v>0.60383055555555598</v>
      </c>
      <c r="BN77">
        <v>34.712429999999998</v>
      </c>
      <c r="BO77">
        <f t="shared" si="34"/>
        <v>0.57288055555555595</v>
      </c>
      <c r="BP77">
        <v>14</v>
      </c>
      <c r="BQ77">
        <v>39.110210000000002</v>
      </c>
      <c r="BR77">
        <f t="shared" si="35"/>
        <v>0</v>
      </c>
      <c r="BS77">
        <f t="shared" si="36"/>
        <v>0.57288055555555595</v>
      </c>
      <c r="BT77">
        <f t="shared" si="37"/>
        <v>14</v>
      </c>
      <c r="BU77">
        <f t="shared" si="38"/>
        <v>39.110210000000002</v>
      </c>
      <c r="BV77">
        <f t="shared" si="39"/>
        <v>0</v>
      </c>
      <c r="BW77">
        <f t="shared" si="40"/>
        <v>0.57288055555555595</v>
      </c>
      <c r="BX77">
        <f t="shared" si="41"/>
        <v>14</v>
      </c>
      <c r="BY77">
        <f t="shared" si="42"/>
        <v>39.110210000000002</v>
      </c>
      <c r="BZ77">
        <f t="shared" si="43"/>
        <v>0</v>
      </c>
      <c r="CA77">
        <f t="shared" si="44"/>
        <v>0.57288055555555595</v>
      </c>
      <c r="CB77">
        <f>IF(CA77=BO77,BP77,IF(CA77=BS77,BT77,IF(CA77=BW77,BX77,0)))</f>
        <v>14</v>
      </c>
      <c r="CC77">
        <f>IF(CA77=BO77,BQ77,IF(CA77=BS77,BU77,IF(CA77=BW77,BY77,0)))</f>
        <v>39.110210000000002</v>
      </c>
      <c r="CD77">
        <f t="shared" si="45"/>
        <v>0</v>
      </c>
      <c r="CE77">
        <f t="shared" si="46"/>
        <v>0.57288055555555595</v>
      </c>
      <c r="CF77">
        <f>IF(CE77=BO77,BP77,IF(CE77=BS77,BT77,IF(CE77=BW77,BX77,IF(CE77=CA77,CB77,0))))</f>
        <v>14</v>
      </c>
      <c r="CG77">
        <f>IF(CE77=BO77,BQ77,IF(CE77=BS77,BU77,IF(CE77=BW77,BY77,IF(CE77=CA77,CC77,0))))</f>
        <v>39.110210000000002</v>
      </c>
      <c r="CH77">
        <f t="shared" si="47"/>
        <v>0</v>
      </c>
      <c r="CI77">
        <f t="shared" si="48"/>
        <v>0.57288055555555595</v>
      </c>
      <c r="CJ77">
        <f>IF(CI77=BO77,BP77,IF(CI77=BS77,BT77,IF(CI77=BW77,BX77,IF(CI77=CA77,CB77,IF(CI77=CE77,CF77,0)))))</f>
        <v>14</v>
      </c>
      <c r="CK77">
        <f>IF(CI77=BO77,BQ77,IF(CI77=BS77,BU77,IF(CI77=BW77,BY77,IF(CI77=CA77,CC77,IF(CI77=CE77,CG77,0)))))</f>
        <v>39.110210000000002</v>
      </c>
      <c r="CL77">
        <f t="shared" si="49"/>
        <v>0</v>
      </c>
      <c r="CM77">
        <f t="shared" si="50"/>
        <v>0.57288055555555595</v>
      </c>
      <c r="CN77">
        <f>IF(CM77=BO77,BP77,IF(CM77=BS77,BT77,IF(CM77=BW77,BX77,IF(CM77=CA77,CB77,IF(CM77=CE77,CF77,IF(CM77=CI77,CJ77,0))))))</f>
        <v>14</v>
      </c>
      <c r="CO77">
        <f>IF(CM77=BO77,BQ77,IF(CM77=BS77,BU77,IF(CM77=BW77,BY77,IF(CM77=CA77,CC77,IF(CM77=CE77,CG77,IF(CM77=CI77,CK77,0))))))</f>
        <v>39.110210000000002</v>
      </c>
      <c r="CP77">
        <f t="shared" si="51"/>
        <v>0</v>
      </c>
      <c r="CQ77">
        <f t="shared" si="52"/>
        <v>0.57288055555555595</v>
      </c>
      <c r="CR77">
        <f>IF(CQ77=BO77,BP77,IF(CQ77=BS77,BT77,IF(CQ77=BW77,BX77,IF(CQ77=CA77,CB77,IF(CQ77=CE77,CF77,IF(CQ77=CI77,CJ77,IF(CQ77=CM77,CN77,0)))))))</f>
        <v>14</v>
      </c>
      <c r="CS77">
        <f>IF(CQ77=BO77,BQ77,IF(CQ77=BS77,BU77,IF(CQ77=BW77,BY77,IF(CQ77=CA77,CC77,IF(CQ77=CE77,CG77,IF(CQ77=CI77,CK77,IF(CQ77=CM77,CO77,0)))))))</f>
        <v>39.110210000000002</v>
      </c>
      <c r="CT77">
        <f t="shared" si="53"/>
        <v>0</v>
      </c>
      <c r="CU77">
        <f t="shared" si="54"/>
        <v>0.57288055555555595</v>
      </c>
      <c r="CV77">
        <f>IF(CU77=BO77,BP77,IF(CU77=BS77,BT77,IF(CU77=BW77,BX77,IF(CU77=CA77,CB77,IF(CU77=CE77,CF77,IF(CU77=CI77,CJ77,IF(CU77=CM77,CN77,IF(CU77=CQ77,CR77,0))))))))</f>
        <v>14</v>
      </c>
      <c r="CW77">
        <f>IF(CU77=BO77,BQ77,IF(CU77=BS77,BU77,IF(CU77=BW77,BY77,IF(CU77=CA77,CC77,IF(CU77=CE77,CG77,IF(CU77=CI77,CK77,IF(CU77=CM77,CO77,IF(CU77=CQ77,CS77,0))))))))</f>
        <v>39.110210000000002</v>
      </c>
      <c r="CX77">
        <f t="shared" si="55"/>
        <v>0</v>
      </c>
      <c r="CY77">
        <f t="shared" si="56"/>
        <v>0.57288055555555595</v>
      </c>
      <c r="CZ77">
        <f>IF(CY77=BO77,BP77,IF(CY77=BS77,BT77,IF(CY77=BW77,BX77,IF(CY77=CA77,CB77,IF(CY77=CE77,CF77,IF(CY77=CI77,CJ77,IF(CY77=CM77,CN77,IF(CY77=CQ77,CR77,IF(CY77=CU77,CV77,0)))))))))</f>
        <v>14</v>
      </c>
      <c r="DA77">
        <f>IF(CY77=BO77,BQ77,IF(CY77=BS77,BU77,IF(CY77=BW77,BY77,IF(CY77=CA77,CC77,IF(CY77=CE77,CG77,IF(CY77=CI77,CK77,IF(CY77=CM77,CO77,IF(CY77=CQ77,CS77,IF(CY77=CU77,CW77,0)))))))))</f>
        <v>39.110210000000002</v>
      </c>
      <c r="DB77">
        <f t="shared" si="57"/>
        <v>0</v>
      </c>
      <c r="DC77">
        <f t="shared" si="58"/>
        <v>0.58125833333333299</v>
      </c>
      <c r="DD77">
        <v>17</v>
      </c>
      <c r="DE77">
        <v>35.1252</v>
      </c>
      <c r="DF77">
        <f t="shared" si="59"/>
        <v>0</v>
      </c>
      <c r="DG77">
        <f t="shared" si="60"/>
        <v>0.57288055555555595</v>
      </c>
      <c r="DH77">
        <f>IF(DG77=BO77,BP77,IF(DG77=BS77,BT77,IF(DG77=BW77,BX77,IF(DG77=CA77,CB77,IF(DG77=CE77,CF77,IF(DG77=CI77,CJ77,IF(DG77=CM77,CN77,IF(DG77=CQ77,CR77,IF(DG77=CU77,CV77,IF(DG77=CY77,CZ77,IF(DG77=DC77,DD77,0)))))))))))</f>
        <v>14</v>
      </c>
      <c r="DI77">
        <f>IF(DG77=BO77,BQ77,IF(DG77=BS77,BU77,IF(DG77=BW77,BY77,IF(DG77=CA77,CC77,IF(DG77=CE77,CG77,IF(DG77=CI77,CK77,IF(DG77=CM77,CO77,IF(DG77=CQ77,CS77,IF(DG77=CU77,CW77,IF(DG77=CY77,DA77,IF(DG77=DC77,DE77,0)))))))))))</f>
        <v>39.110210000000002</v>
      </c>
      <c r="DJ77">
        <f t="shared" si="61"/>
        <v>0</v>
      </c>
      <c r="DK77">
        <f t="shared" si="62"/>
        <v>0.57288055555555595</v>
      </c>
      <c r="DL77">
        <f>IF(DK77=BO77,BP77,IF(DK77=BS77,BT77,IF(DK77=BW77,BX77,IF(DK77=CA77,CB77,IF(DK77=CE77,CF77,IF(DK77=CI77,CJ77,IF(DK77=CM77,CN77,IF(DK77=CQ77,CR77,IF(DK77=CU77,CV77,IF(DK77=CY77,CZ77,IF(DK77=DC77,DD77,IF(DK77=DG77,DH77,0))))))))))))</f>
        <v>14</v>
      </c>
      <c r="DM77">
        <f>IF(DK77=BO77,BQ77,IF(DK77=BS77,BU77,IF(DK77=BW77,BY77,IF(DK77=CA77,CC77,IF(DK77=CE77,CG77,IF(DK77=CI77,CK77,IF(DK77=CM77,CO77,IF(DK77=CQ77,CS77,IF(DK77=CU77,CW77,IF(DK77=CY77,DA77,IF(DK77=DC77,DE77,IF(DK77=DG77,DI77,0))))))))))))</f>
        <v>39.110210000000002</v>
      </c>
      <c r="DN77">
        <f t="shared" si="63"/>
        <v>0</v>
      </c>
      <c r="DO77">
        <f t="shared" si="64"/>
        <v>0.57288055555555595</v>
      </c>
      <c r="DP77">
        <f>IF(DO77=BO77,BP77,IF(DO77=BS77,BT77,IF(DO77=BW77,BX77,IF(DO77=CA77,CB77,IF(DO77=CE77,CF77,IF(DO77=CI77,CJ77,IF(DO77=CM77,CN77,IF(DO77=CQ77,CR77,IF(DO77=CU77,CV77,IF(DO77=CY77,CZ77,IF(DO77=DC77,DD77,IF(DO77=DG77,DH77,IF(DO77=DK77,DL77,0)))))))))))))</f>
        <v>14</v>
      </c>
      <c r="DQ77">
        <f>IF(DO77=BO77,BQ77,IF(DO77=BS77,BU77,IF(DO77=BW77,BY77,IF(DO77=CA77,CC77,IF(DO77=CE77,CG77,IF(DO77=CI77,CK77,IF(DO77=CM77,CO77,IF(DO77=CQ77,CS77,IF(DO77=CU77,CW77,IF(DO77=CY77,DA77,IF(DO77=DC77,DE77,IF(DO77=DG77,DI77,IF(DO77=DK77,DM77,0)))))))))))))</f>
        <v>39.110210000000002</v>
      </c>
      <c r="DR77">
        <f t="shared" si="65"/>
        <v>0</v>
      </c>
      <c r="DS77">
        <f t="shared" si="66"/>
        <v>0.57288055555555595</v>
      </c>
      <c r="DT77">
        <f>IF(DS77=BO77,BP77,IF(DS77=BS77,BT77,IF(DS77=BW77,BX77,IF(DS77=CA77,CB77,IF(DS77=CE77,CF77,IF(DS77=CI77,CJ77,IF(DS77=CM77,CN77,IF(DS77=CQ77,CR77,IF(DS77=CU77,CV77,IF(DS77=CY77,CZ77,IF(DS77=DC77,DD77,IF(DS77=DG77,DH77,IF(DS77=DK77,DL77,IF(DS77=DO77,DP77,0))))))))))))))</f>
        <v>14</v>
      </c>
      <c r="DU77">
        <f>IF(DS77=BO77,BQ77,IF(DS77=BS77,BU77,IF(DS77=BW77,BY77,IF(DS77=CA77,CC77,IF(DS77=CE77,CG77,IF(DS77=CI77,CK77,IF(DS77=CM77,CO77,IF(DS77=CQ77,CS77,IF(DS77=CU77,CW77,IF(DS77=CY77,DA77,IF(DS77=DC77,DE77,IF(DS77=DG77,DI77,IF(DS77=DK77,DM77,IF(DS77=DO77,DQ77,0))))))))))))))</f>
        <v>39.110210000000002</v>
      </c>
      <c r="DV77">
        <f t="shared" si="67"/>
        <v>0</v>
      </c>
      <c r="DW77">
        <v>31226.480769230799</v>
      </c>
      <c r="DX77">
        <v>5</v>
      </c>
      <c r="DY77">
        <v>0</v>
      </c>
      <c r="DZ77">
        <v>6</v>
      </c>
      <c r="EA77">
        <v>6</v>
      </c>
      <c r="EB77">
        <v>14.0364762223093</v>
      </c>
      <c r="EC77">
        <v>1.2</v>
      </c>
      <c r="ED77">
        <v>5.8924768800000002</v>
      </c>
      <c r="EE77">
        <v>0.57288055555555595</v>
      </c>
      <c r="EF77">
        <v>39.110210000000002</v>
      </c>
      <c r="EG77">
        <v>21.691772470164501</v>
      </c>
      <c r="EH77">
        <v>14</v>
      </c>
      <c r="EI77">
        <v>0</v>
      </c>
      <c r="EJ77">
        <v>4.06746184</v>
      </c>
      <c r="EK77">
        <v>1</v>
      </c>
      <c r="EL77">
        <v>0</v>
      </c>
      <c r="EM77">
        <v>19</v>
      </c>
      <c r="EN77">
        <v>1</v>
      </c>
      <c r="EO77">
        <v>2</v>
      </c>
      <c r="EP77">
        <v>6</v>
      </c>
      <c r="EQ77">
        <v>9</v>
      </c>
      <c r="ER77">
        <v>14.1987814663817</v>
      </c>
      <c r="ES77">
        <v>18.844780526420301</v>
      </c>
      <c r="ET77">
        <v>24.737257406420301</v>
      </c>
      <c r="EU77">
        <v>16.268411629345302</v>
      </c>
      <c r="EV77">
        <v>20.335873469345302</v>
      </c>
      <c r="EW77">
        <v>5.0578725599999999</v>
      </c>
      <c r="EX77">
        <v>19.4180168870658</v>
      </c>
      <c r="EY77">
        <v>24.4758894470658</v>
      </c>
      <c r="EZ77">
        <v>4.06746184</v>
      </c>
      <c r="FA77">
        <v>16.268411629345302</v>
      </c>
      <c r="FB77">
        <v>20.335873469345302</v>
      </c>
      <c r="FC77">
        <v>6.3360429600000003</v>
      </c>
      <c r="FD77">
        <v>23.6039754275936</v>
      </c>
      <c r="FE77">
        <v>29.9400183875936</v>
      </c>
      <c r="FF77">
        <v>4.06746184</v>
      </c>
      <c r="FG77">
        <v>16.268411629345302</v>
      </c>
      <c r="FH77">
        <v>20.335873469345302</v>
      </c>
    </row>
    <row r="78" spans="1:164" x14ac:dyDescent="0.2">
      <c r="A78">
        <v>77</v>
      </c>
      <c r="B78">
        <v>87</v>
      </c>
      <c r="C78">
        <v>138</v>
      </c>
      <c r="D78">
        <v>1</v>
      </c>
      <c r="E78">
        <v>11</v>
      </c>
      <c r="F78" t="s">
        <v>146</v>
      </c>
      <c r="G78" t="s">
        <v>257</v>
      </c>
      <c r="H78">
        <v>3</v>
      </c>
      <c r="I78">
        <v>5</v>
      </c>
      <c r="K78" t="s">
        <v>256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2</v>
      </c>
      <c r="W78">
        <v>0</v>
      </c>
      <c r="X78">
        <v>0</v>
      </c>
      <c r="Y78">
        <v>0</v>
      </c>
      <c r="Z78">
        <v>0</v>
      </c>
      <c r="AA78">
        <v>0</v>
      </c>
      <c r="AB78">
        <v>5</v>
      </c>
      <c r="AC78">
        <v>3</v>
      </c>
      <c r="AD78">
        <v>4</v>
      </c>
      <c r="AE78">
        <v>16</v>
      </c>
      <c r="AF78">
        <v>8</v>
      </c>
      <c r="AG78">
        <v>29</v>
      </c>
      <c r="AH78">
        <v>6</v>
      </c>
      <c r="AI78">
        <v>0.663605555555556</v>
      </c>
      <c r="AJ78">
        <v>45.119970000000002</v>
      </c>
      <c r="AK78">
        <v>0.94094444444444403</v>
      </c>
      <c r="AL78">
        <v>65.767129999999995</v>
      </c>
      <c r="AM78">
        <v>0.835055555555556</v>
      </c>
      <c r="AN78">
        <v>63.296990000000001</v>
      </c>
      <c r="AO78">
        <v>0.83119722222222203</v>
      </c>
      <c r="AP78">
        <v>60.923490000000001</v>
      </c>
      <c r="AQ78">
        <v>0.85449722222222202</v>
      </c>
      <c r="AR78">
        <v>61.251390000000001</v>
      </c>
      <c r="AS78">
        <v>0.81968333333333299</v>
      </c>
      <c r="AT78">
        <v>57.751519999999999</v>
      </c>
      <c r="AU78">
        <v>0.71902777777777804</v>
      </c>
      <c r="AV78">
        <v>52.215989999999998</v>
      </c>
      <c r="AW78">
        <v>0.69430277777777805</v>
      </c>
      <c r="AX78">
        <v>50.189810000000001</v>
      </c>
      <c r="AY78">
        <v>0.68379166666666702</v>
      </c>
      <c r="AZ78">
        <v>48.633389999999999</v>
      </c>
      <c r="BA78">
        <v>0.66878333333333295</v>
      </c>
      <c r="BB78">
        <v>48.050420000000003</v>
      </c>
      <c r="BC78">
        <v>0.67523888888888906</v>
      </c>
      <c r="BD78">
        <v>45.595680000000002</v>
      </c>
      <c r="BE78">
        <v>0.57288055555555595</v>
      </c>
      <c r="BF78">
        <v>39.110210000000002</v>
      </c>
      <c r="BG78">
        <v>0.59253333333333302</v>
      </c>
      <c r="BH78">
        <v>38.745710000000003</v>
      </c>
      <c r="BI78">
        <v>0.59819999999999995</v>
      </c>
      <c r="BJ78">
        <v>35.922460000000001</v>
      </c>
      <c r="BK78">
        <v>0.58125833333333299</v>
      </c>
      <c r="BL78">
        <v>35.1252</v>
      </c>
      <c r="BM78">
        <v>0.60383055555555598</v>
      </c>
      <c r="BN78">
        <v>34.712429999999998</v>
      </c>
      <c r="BO78">
        <f t="shared" si="34"/>
        <v>0.57288055555555595</v>
      </c>
      <c r="BP78">
        <v>14</v>
      </c>
      <c r="BQ78">
        <v>39.110210000000002</v>
      </c>
      <c r="BR78">
        <f t="shared" si="35"/>
        <v>0</v>
      </c>
      <c r="BS78">
        <f t="shared" si="36"/>
        <v>0.57288055555555595</v>
      </c>
      <c r="BT78">
        <f t="shared" si="37"/>
        <v>14</v>
      </c>
      <c r="BU78">
        <f t="shared" si="38"/>
        <v>39.110210000000002</v>
      </c>
      <c r="BV78">
        <f t="shared" si="39"/>
        <v>0</v>
      </c>
      <c r="BW78">
        <f t="shared" si="40"/>
        <v>0.57288055555555595</v>
      </c>
      <c r="BX78">
        <f t="shared" si="41"/>
        <v>14</v>
      </c>
      <c r="BY78">
        <f t="shared" si="42"/>
        <v>39.110210000000002</v>
      </c>
      <c r="BZ78">
        <f t="shared" si="43"/>
        <v>0</v>
      </c>
      <c r="CA78">
        <f t="shared" si="44"/>
        <v>0.57288055555555595</v>
      </c>
      <c r="CB78">
        <f>IF(CA78=BO78,BP78,IF(CA78=BS78,BT78,IF(CA78=BW78,BX78,0)))</f>
        <v>14</v>
      </c>
      <c r="CC78">
        <f>IF(CA78=BO78,BQ78,IF(CA78=BS78,BU78,IF(CA78=BW78,BY78,0)))</f>
        <v>39.110210000000002</v>
      </c>
      <c r="CD78">
        <f t="shared" si="45"/>
        <v>0</v>
      </c>
      <c r="CE78">
        <f t="shared" si="46"/>
        <v>0.57288055555555595</v>
      </c>
      <c r="CF78">
        <f>IF(CE78=BO78,BP78,IF(CE78=BS78,BT78,IF(CE78=BW78,BX78,IF(CE78=CA78,CB78,0))))</f>
        <v>14</v>
      </c>
      <c r="CG78">
        <f>IF(CE78=BO78,BQ78,IF(CE78=BS78,BU78,IF(CE78=BW78,BY78,IF(CE78=CA78,CC78,0))))</f>
        <v>39.110210000000002</v>
      </c>
      <c r="CH78">
        <f t="shared" si="47"/>
        <v>0</v>
      </c>
      <c r="CI78">
        <f t="shared" si="48"/>
        <v>0.57288055555555595</v>
      </c>
      <c r="CJ78">
        <f>IF(CI78=BO78,BP78,IF(CI78=BS78,BT78,IF(CI78=BW78,BX78,IF(CI78=CA78,CB78,IF(CI78=CE78,CF78,0)))))</f>
        <v>14</v>
      </c>
      <c r="CK78">
        <f>IF(CI78=BO78,BQ78,IF(CI78=BS78,BU78,IF(CI78=BW78,BY78,IF(CI78=CA78,CC78,IF(CI78=CE78,CG78,0)))))</f>
        <v>39.110210000000002</v>
      </c>
      <c r="CL78">
        <f t="shared" si="49"/>
        <v>0</v>
      </c>
      <c r="CM78">
        <f t="shared" si="50"/>
        <v>0.57288055555555595</v>
      </c>
      <c r="CN78">
        <f>IF(CM78=BO78,BP78,IF(CM78=BS78,BT78,IF(CM78=BW78,BX78,IF(CM78=CA78,CB78,IF(CM78=CE78,CF78,IF(CM78=CI78,CJ78,0))))))</f>
        <v>14</v>
      </c>
      <c r="CO78">
        <f>IF(CM78=BO78,BQ78,IF(CM78=BS78,BU78,IF(CM78=BW78,BY78,IF(CM78=CA78,CC78,IF(CM78=CE78,CG78,IF(CM78=CI78,CK78,0))))))</f>
        <v>39.110210000000002</v>
      </c>
      <c r="CP78">
        <f t="shared" si="51"/>
        <v>0</v>
      </c>
      <c r="CQ78">
        <f t="shared" si="52"/>
        <v>0.57288055555555595</v>
      </c>
      <c r="CR78">
        <f>IF(CQ78=BO78,BP78,IF(CQ78=BS78,BT78,IF(CQ78=BW78,BX78,IF(CQ78=CA78,CB78,IF(CQ78=CE78,CF78,IF(CQ78=CI78,CJ78,IF(CQ78=CM78,CN78,0)))))))</f>
        <v>14</v>
      </c>
      <c r="CS78">
        <f>IF(CQ78=BO78,BQ78,IF(CQ78=BS78,BU78,IF(CQ78=BW78,BY78,IF(CQ78=CA78,CC78,IF(CQ78=CE78,CG78,IF(CQ78=CI78,CK78,IF(CQ78=CM78,CO78,0)))))))</f>
        <v>39.110210000000002</v>
      </c>
      <c r="CT78">
        <f t="shared" si="53"/>
        <v>0</v>
      </c>
      <c r="CU78">
        <f t="shared" si="54"/>
        <v>0.57288055555555595</v>
      </c>
      <c r="CV78">
        <f>IF(CU78=BO78,BP78,IF(CU78=BS78,BT78,IF(CU78=BW78,BX78,IF(CU78=CA78,CB78,IF(CU78=CE78,CF78,IF(CU78=CI78,CJ78,IF(CU78=CM78,CN78,IF(CU78=CQ78,CR78,0))))))))</f>
        <v>14</v>
      </c>
      <c r="CW78">
        <f>IF(CU78=BO78,BQ78,IF(CU78=BS78,BU78,IF(CU78=BW78,BY78,IF(CU78=CA78,CC78,IF(CU78=CE78,CG78,IF(CU78=CI78,CK78,IF(CU78=CM78,CO78,IF(CU78=CQ78,CS78,0))))))))</f>
        <v>39.110210000000002</v>
      </c>
      <c r="CX78">
        <f t="shared" si="55"/>
        <v>0</v>
      </c>
      <c r="CY78">
        <f t="shared" si="56"/>
        <v>0.57288055555555595</v>
      </c>
      <c r="CZ78">
        <f>IF(CY78=BO78,BP78,IF(CY78=BS78,BT78,IF(CY78=BW78,BX78,IF(CY78=CA78,CB78,IF(CY78=CE78,CF78,IF(CY78=CI78,CJ78,IF(CY78=CM78,CN78,IF(CY78=CQ78,CR78,IF(CY78=CU78,CV78,0)))))))))</f>
        <v>14</v>
      </c>
      <c r="DA78">
        <f>IF(CY78=BO78,BQ78,IF(CY78=BS78,BU78,IF(CY78=BW78,BY78,IF(CY78=CA78,CC78,IF(CY78=CE78,CG78,IF(CY78=CI78,CK78,IF(CY78=CM78,CO78,IF(CY78=CQ78,CS78,IF(CY78=CU78,CW78,0)))))))))</f>
        <v>39.110210000000002</v>
      </c>
      <c r="DB78">
        <f t="shared" si="57"/>
        <v>0</v>
      </c>
      <c r="DC78">
        <f t="shared" si="58"/>
        <v>0.58125833333333299</v>
      </c>
      <c r="DD78">
        <v>17</v>
      </c>
      <c r="DE78">
        <v>35.1252</v>
      </c>
      <c r="DF78">
        <f t="shared" si="59"/>
        <v>0</v>
      </c>
      <c r="DG78">
        <f t="shared" si="60"/>
        <v>0.57288055555555595</v>
      </c>
      <c r="DH78">
        <f>IF(DG78=BO78,BP78,IF(DG78=BS78,BT78,IF(DG78=BW78,BX78,IF(DG78=CA78,CB78,IF(DG78=CE78,CF78,IF(DG78=CI78,CJ78,IF(DG78=CM78,CN78,IF(DG78=CQ78,CR78,IF(DG78=CU78,CV78,IF(DG78=CY78,CZ78,IF(DG78=DC78,DD78,0)))))))))))</f>
        <v>14</v>
      </c>
      <c r="DI78">
        <f>IF(DG78=BO78,BQ78,IF(DG78=BS78,BU78,IF(DG78=BW78,BY78,IF(DG78=CA78,CC78,IF(DG78=CE78,CG78,IF(DG78=CI78,CK78,IF(DG78=CM78,CO78,IF(DG78=CQ78,CS78,IF(DG78=CU78,CW78,IF(DG78=CY78,DA78,IF(DG78=DC78,DE78,0)))))))))))</f>
        <v>39.110210000000002</v>
      </c>
      <c r="DJ78">
        <f t="shared" si="61"/>
        <v>0</v>
      </c>
      <c r="DK78">
        <f t="shared" si="62"/>
        <v>0.57288055555555595</v>
      </c>
      <c r="DL78">
        <f>IF(DK78=BO78,BP78,IF(DK78=BS78,BT78,IF(DK78=BW78,BX78,IF(DK78=CA78,CB78,IF(DK78=CE78,CF78,IF(DK78=CI78,CJ78,IF(DK78=CM78,CN78,IF(DK78=CQ78,CR78,IF(DK78=CU78,CV78,IF(DK78=CY78,CZ78,IF(DK78=DC78,DD78,IF(DK78=DG78,DH78,0))))))))))))</f>
        <v>14</v>
      </c>
      <c r="DM78">
        <f>IF(DK78=BO78,BQ78,IF(DK78=BS78,BU78,IF(DK78=BW78,BY78,IF(DK78=CA78,CC78,IF(DK78=CE78,CG78,IF(DK78=CI78,CK78,IF(DK78=CM78,CO78,IF(DK78=CQ78,CS78,IF(DK78=CU78,CW78,IF(DK78=CY78,DA78,IF(DK78=DC78,DE78,IF(DK78=DG78,DI78,0))))))))))))</f>
        <v>39.110210000000002</v>
      </c>
      <c r="DN78">
        <f t="shared" si="63"/>
        <v>0</v>
      </c>
      <c r="DO78">
        <f t="shared" si="64"/>
        <v>0.57288055555555595</v>
      </c>
      <c r="DP78">
        <f>IF(DO78=BO78,BP78,IF(DO78=BS78,BT78,IF(DO78=BW78,BX78,IF(DO78=CA78,CB78,IF(DO78=CE78,CF78,IF(DO78=CI78,CJ78,IF(DO78=CM78,CN78,IF(DO78=CQ78,CR78,IF(DO78=CU78,CV78,IF(DO78=CY78,CZ78,IF(DO78=DC78,DD78,IF(DO78=DG78,DH78,IF(DO78=DK78,DL78,0)))))))))))))</f>
        <v>14</v>
      </c>
      <c r="DQ78">
        <f>IF(DO78=BO78,BQ78,IF(DO78=BS78,BU78,IF(DO78=BW78,BY78,IF(DO78=CA78,CC78,IF(DO78=CE78,CG78,IF(DO78=CI78,CK78,IF(DO78=CM78,CO78,IF(DO78=CQ78,CS78,IF(DO78=CU78,CW78,IF(DO78=CY78,DA78,IF(DO78=DC78,DE78,IF(DO78=DG78,DI78,IF(DO78=DK78,DM78,0)))))))))))))</f>
        <v>39.110210000000002</v>
      </c>
      <c r="DR78">
        <f t="shared" si="65"/>
        <v>0</v>
      </c>
      <c r="DS78">
        <f t="shared" si="66"/>
        <v>0.57288055555555595</v>
      </c>
      <c r="DT78">
        <f>IF(DS78=BO78,BP78,IF(DS78=BS78,BT78,IF(DS78=BW78,BX78,IF(DS78=CA78,CB78,IF(DS78=CE78,CF78,IF(DS78=CI78,CJ78,IF(DS78=CM78,CN78,IF(DS78=CQ78,CR78,IF(DS78=CU78,CV78,IF(DS78=CY78,CZ78,IF(DS78=DC78,DD78,IF(DS78=DG78,DH78,IF(DS78=DK78,DL78,IF(DS78=DO78,DP78,0))))))))))))))</f>
        <v>14</v>
      </c>
      <c r="DU78">
        <f>IF(DS78=BO78,BQ78,IF(DS78=BS78,BU78,IF(DS78=BW78,BY78,IF(DS78=CA78,CC78,IF(DS78=CE78,CG78,IF(DS78=CI78,CK78,IF(DS78=CM78,CO78,IF(DS78=CQ78,CS78,IF(DS78=CU78,CW78,IF(DS78=CY78,DA78,IF(DS78=DC78,DE78,IF(DS78=DG78,DI78,IF(DS78=DK78,DM78,IF(DS78=DO78,DQ78,0))))))))))))))</f>
        <v>39.110210000000002</v>
      </c>
      <c r="DV78">
        <f t="shared" si="67"/>
        <v>0</v>
      </c>
      <c r="DW78">
        <v>31226.480769230799</v>
      </c>
      <c r="DX78">
        <v>5</v>
      </c>
      <c r="DY78">
        <v>0</v>
      </c>
      <c r="DZ78">
        <v>6</v>
      </c>
      <c r="EA78">
        <v>6</v>
      </c>
      <c r="EB78">
        <v>14.0364762223093</v>
      </c>
      <c r="EC78">
        <v>1.2</v>
      </c>
      <c r="ED78">
        <v>5.8924768800000002</v>
      </c>
      <c r="EE78">
        <v>0.57288055555555595</v>
      </c>
      <c r="EF78">
        <v>39.110210000000002</v>
      </c>
      <c r="EG78">
        <v>21.691772470164501</v>
      </c>
      <c r="EH78">
        <v>14</v>
      </c>
      <c r="EI78">
        <v>0</v>
      </c>
      <c r="EJ78">
        <v>4.06746184</v>
      </c>
      <c r="EK78">
        <v>1</v>
      </c>
      <c r="EL78">
        <v>1</v>
      </c>
      <c r="EM78">
        <v>19</v>
      </c>
      <c r="EN78">
        <v>1</v>
      </c>
      <c r="EO78">
        <v>3</v>
      </c>
      <c r="EP78">
        <v>6</v>
      </c>
      <c r="EQ78">
        <v>8</v>
      </c>
      <c r="ER78">
        <v>14.1987814663817</v>
      </c>
      <c r="ES78">
        <v>18.844780526420301</v>
      </c>
      <c r="ET78">
        <v>24.737257406420301</v>
      </c>
      <c r="EU78">
        <v>16.268411629345302</v>
      </c>
      <c r="EV78">
        <v>20.335873469345302</v>
      </c>
      <c r="EW78">
        <v>5.0578725599999999</v>
      </c>
      <c r="EX78">
        <v>19.4180168870658</v>
      </c>
      <c r="EY78">
        <v>24.4758894470658</v>
      </c>
      <c r="EZ78">
        <v>4.06746184</v>
      </c>
      <c r="FA78">
        <v>16.268411629345302</v>
      </c>
      <c r="FB78">
        <v>20.335873469345302</v>
      </c>
      <c r="FC78">
        <v>6.3360429600000003</v>
      </c>
      <c r="FD78">
        <v>23.6039754275936</v>
      </c>
      <c r="FE78">
        <v>29.9400183875936</v>
      </c>
      <c r="FF78">
        <v>4.06746184</v>
      </c>
      <c r="FG78">
        <v>16.268411629345302</v>
      </c>
      <c r="FH78">
        <v>20.335873469345302</v>
      </c>
    </row>
    <row r="79" spans="1:164" x14ac:dyDescent="0.2">
      <c r="A79">
        <v>78</v>
      </c>
      <c r="B79">
        <v>88</v>
      </c>
      <c r="C79">
        <v>139</v>
      </c>
      <c r="D79">
        <v>3</v>
      </c>
      <c r="E79">
        <v>12</v>
      </c>
      <c r="F79" t="s">
        <v>258</v>
      </c>
      <c r="G79" t="s">
        <v>122</v>
      </c>
      <c r="H79">
        <v>3</v>
      </c>
      <c r="I79">
        <v>3</v>
      </c>
      <c r="K79" t="s">
        <v>170</v>
      </c>
      <c r="L79">
        <v>0</v>
      </c>
      <c r="M79">
        <v>0</v>
      </c>
      <c r="N79">
        <v>1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6</v>
      </c>
      <c r="AD79">
        <v>2</v>
      </c>
      <c r="AE79">
        <v>12</v>
      </c>
      <c r="AF79">
        <v>6</v>
      </c>
      <c r="AG79">
        <v>7</v>
      </c>
      <c r="AH79">
        <v>8</v>
      </c>
      <c r="AI79">
        <v>0.40377222222222198</v>
      </c>
      <c r="AJ79">
        <v>21.68085</v>
      </c>
      <c r="AK79">
        <v>0.37228611111111098</v>
      </c>
      <c r="AL79">
        <v>11.58466</v>
      </c>
      <c r="AM79">
        <v>0.26991111111111099</v>
      </c>
      <c r="AN79">
        <v>10.12307</v>
      </c>
      <c r="AO79">
        <v>0.255202777777778</v>
      </c>
      <c r="AP79">
        <v>8.6622500000000002</v>
      </c>
      <c r="AQ79">
        <v>0.31812777777777801</v>
      </c>
      <c r="AR79">
        <v>10.73414</v>
      </c>
      <c r="AS79">
        <v>0.31245000000000001</v>
      </c>
      <c r="AT79">
        <v>10.14893</v>
      </c>
      <c r="AU79">
        <v>0.30712499999999998</v>
      </c>
      <c r="AV79">
        <v>12.55533</v>
      </c>
      <c r="AW79">
        <v>0.32870277777777801</v>
      </c>
      <c r="AX79">
        <v>16.930879999999998</v>
      </c>
      <c r="AY79">
        <v>0.33868888888888898</v>
      </c>
      <c r="AZ79">
        <v>18.169609999999999</v>
      </c>
      <c r="BA79">
        <v>0.35203888888888901</v>
      </c>
      <c r="BB79">
        <v>19.490320000000001</v>
      </c>
      <c r="BC79">
        <v>0.41286666666666699</v>
      </c>
      <c r="BD79">
        <v>20.815020000000001</v>
      </c>
      <c r="BE79">
        <v>0.42388611111111102</v>
      </c>
      <c r="BF79">
        <v>27.191980000000001</v>
      </c>
      <c r="BG79">
        <v>0.48776111111111098</v>
      </c>
      <c r="BH79">
        <v>30.594830000000002</v>
      </c>
      <c r="BI79">
        <v>0.53158611111111098</v>
      </c>
      <c r="BJ79">
        <v>32.568750000000001</v>
      </c>
      <c r="BK79">
        <v>0.59972777777777797</v>
      </c>
      <c r="BL79">
        <v>39.384390000000003</v>
      </c>
      <c r="BM79">
        <v>0.64123055555555597</v>
      </c>
      <c r="BN79">
        <v>41.377070000000003</v>
      </c>
      <c r="BO79">
        <f t="shared" si="34"/>
        <v>0.255202777777778</v>
      </c>
      <c r="BP79">
        <v>3</v>
      </c>
      <c r="BQ79">
        <v>8.6622500000000002</v>
      </c>
      <c r="BR79">
        <f t="shared" si="35"/>
        <v>0</v>
      </c>
      <c r="BS79">
        <f t="shared" si="36"/>
        <v>0.255202777777778</v>
      </c>
      <c r="BT79">
        <f t="shared" si="37"/>
        <v>3</v>
      </c>
      <c r="BU79">
        <f t="shared" si="38"/>
        <v>8.6622500000000002</v>
      </c>
      <c r="BV79">
        <f t="shared" si="39"/>
        <v>0</v>
      </c>
      <c r="BW79">
        <f t="shared" si="40"/>
        <v>0.26991111111111099</v>
      </c>
      <c r="BX79">
        <v>2</v>
      </c>
      <c r="BY79">
        <v>10.12307</v>
      </c>
      <c r="BZ79">
        <f t="shared" si="43"/>
        <v>0</v>
      </c>
      <c r="CA79">
        <f t="shared" si="44"/>
        <v>0.255202777777778</v>
      </c>
      <c r="CB79">
        <f>IF(CA79=BO79,BP79,IF(CA79=BS79,BT79,IF(CA79=BW79,BX79,0)))</f>
        <v>3</v>
      </c>
      <c r="CC79">
        <f>IF(CA79=BO79,BQ79,IF(CA79=BS79,BU79,IF(CA79=BW79,BY79,0)))</f>
        <v>8.6622500000000002</v>
      </c>
      <c r="CD79">
        <f t="shared" si="45"/>
        <v>0</v>
      </c>
      <c r="CE79">
        <f t="shared" si="46"/>
        <v>0.255202777777778</v>
      </c>
      <c r="CF79">
        <f>IF(CE79=BO79,BP79,IF(CE79=BS79,BT79,IF(CE79=BW79,BX79,IF(CE79=CA79,CB79,0))))</f>
        <v>3</v>
      </c>
      <c r="CG79">
        <f>IF(CE79=BO79,BQ79,IF(CE79=BS79,BU79,IF(CE79=BW79,BY79,IF(CE79=CA79,CC79,0))))</f>
        <v>8.6622500000000002</v>
      </c>
      <c r="CH79">
        <f t="shared" si="47"/>
        <v>0</v>
      </c>
      <c r="CI79">
        <f t="shared" si="48"/>
        <v>0.255202777777778</v>
      </c>
      <c r="CJ79">
        <f>IF(CI79=BO79,BP79,IF(CI79=BS79,BT79,IF(CI79=BW79,BX79,IF(CI79=CA79,CB79,IF(CI79=CE79,CF79,0)))))</f>
        <v>3</v>
      </c>
      <c r="CK79">
        <f>IF(CI79=BO79,BQ79,IF(CI79=BS79,BU79,IF(CI79=BW79,BY79,IF(CI79=CA79,CC79,IF(CI79=CE79,CG79,0)))))</f>
        <v>8.6622500000000002</v>
      </c>
      <c r="CL79">
        <f t="shared" si="49"/>
        <v>0</v>
      </c>
      <c r="CM79">
        <f t="shared" si="50"/>
        <v>0.255202777777778</v>
      </c>
      <c r="CN79">
        <f>IF(CM79=BO79,BP79,IF(CM79=BS79,BT79,IF(CM79=BW79,BX79,IF(CM79=CA79,CB79,IF(CM79=CE79,CF79,IF(CM79=CI79,CJ79,0))))))</f>
        <v>3</v>
      </c>
      <c r="CO79">
        <f>IF(CM79=BO79,BQ79,IF(CM79=BS79,BU79,IF(CM79=BW79,BY79,IF(CM79=CA79,CC79,IF(CM79=CE79,CG79,IF(CM79=CI79,CK79,0))))))</f>
        <v>8.6622500000000002</v>
      </c>
      <c r="CP79">
        <f t="shared" si="51"/>
        <v>0</v>
      </c>
      <c r="CQ79">
        <f t="shared" si="52"/>
        <v>0.255202777777778</v>
      </c>
      <c r="CR79">
        <f>IF(CQ79=BO79,BP79,IF(CQ79=BS79,BT79,IF(CQ79=BW79,BX79,IF(CQ79=CA79,CB79,IF(CQ79=CE79,CF79,IF(CQ79=CI79,CJ79,IF(CQ79=CM79,CN79,0)))))))</f>
        <v>3</v>
      </c>
      <c r="CS79">
        <f>IF(CQ79=BO79,BQ79,IF(CQ79=BS79,BU79,IF(CQ79=BW79,BY79,IF(CQ79=CA79,CC79,IF(CQ79=CE79,CG79,IF(CQ79=CI79,CK79,IF(CQ79=CM79,CO79,0)))))))</f>
        <v>8.6622500000000002</v>
      </c>
      <c r="CT79">
        <f t="shared" si="53"/>
        <v>0</v>
      </c>
      <c r="CU79">
        <f t="shared" si="54"/>
        <v>0.255202777777778</v>
      </c>
      <c r="CV79">
        <f>IF(CU79=BO79,BP79,IF(CU79=BS79,BT79,IF(CU79=BW79,BX79,IF(CU79=CA79,CB79,IF(CU79=CE79,CF79,IF(CU79=CI79,CJ79,IF(CU79=CM79,CN79,IF(CU79=CQ79,CR79,0))))))))</f>
        <v>3</v>
      </c>
      <c r="CW79">
        <f>IF(CU79=BO79,BQ79,IF(CU79=BS79,BU79,IF(CU79=BW79,BY79,IF(CU79=CA79,CC79,IF(CU79=CE79,CG79,IF(CU79=CI79,CK79,IF(CU79=CM79,CO79,IF(CU79=CQ79,CS79,0))))))))</f>
        <v>8.6622500000000002</v>
      </c>
      <c r="CX79">
        <f t="shared" si="55"/>
        <v>0</v>
      </c>
      <c r="CY79">
        <f t="shared" si="56"/>
        <v>0.255202777777778</v>
      </c>
      <c r="CZ79">
        <f>IF(CY79=BO79,BP79,IF(CY79=BS79,BT79,IF(CY79=BW79,BX79,IF(CY79=CA79,CB79,IF(CY79=CE79,CF79,IF(CY79=CI79,CJ79,IF(CY79=CM79,CN79,IF(CY79=CQ79,CR79,IF(CY79=CU79,CV79,0)))))))))</f>
        <v>3</v>
      </c>
      <c r="DA79">
        <f>IF(CY79=BO79,BQ79,IF(CY79=BS79,BU79,IF(CY79=BW79,BY79,IF(CY79=CA79,CC79,IF(CY79=CE79,CG79,IF(CY79=CI79,CK79,IF(CY79=CM79,CO79,IF(CY79=CQ79,CS79,IF(CY79=CU79,CW79,0)))))))))</f>
        <v>8.6622500000000002</v>
      </c>
      <c r="DB79">
        <f t="shared" si="57"/>
        <v>0</v>
      </c>
      <c r="DC79">
        <f t="shared" si="58"/>
        <v>0.255202777777778</v>
      </c>
      <c r="DD79">
        <f>IF(DC79=BO79,BP79,IF(DC79=BS79,BT79,IF(DC79=BW79,BX79,IF(DC79=CA79,CB79,IF(DC79=CE79,CF79,IF(DC79=CI79,CJ79,IF(DC79=CM79,CN79,IF(DC79=CQ79,CR79,IF(DC79=CU79,CV79,IF(DC79=CY79,CZ79,0))))))))))</f>
        <v>3</v>
      </c>
      <c r="DE79">
        <f>IF(DC79=BO79,BQ79,IF(DC79=BS79,BU79,IF(DC79=BW79,BY79,IF(DC79=CA79,CC79,IF(DC79=CE79,CG79,IF(DC79=CI79,CK79,IF(DC79=CM79,CO79,IF(DC79=CQ79,CS79,IF(DC79=CU79,CW79,IF(DC79=CY79,DA79,0))))))))))</f>
        <v>8.6622500000000002</v>
      </c>
      <c r="DF79">
        <f t="shared" si="59"/>
        <v>0</v>
      </c>
      <c r="DG79">
        <f t="shared" si="60"/>
        <v>0.255202777777778</v>
      </c>
      <c r="DH79">
        <f>IF(DG79=BO79,BP79,IF(DG79=BS79,BT79,IF(DG79=BW79,BX79,IF(DG79=CA79,CB79,IF(DG79=CE79,CF79,IF(DG79=CI79,CJ79,IF(DG79=CM79,CN79,IF(DG79=CQ79,CR79,IF(DG79=CU79,CV79,IF(DG79=CY79,CZ79,IF(DG79=DC79,DD79,0)))))))))))</f>
        <v>3</v>
      </c>
      <c r="DI79">
        <f>IF(DG79=BO79,BQ79,IF(DG79=BS79,BU79,IF(DG79=BW79,BY79,IF(DG79=CA79,CC79,IF(DG79=CE79,CG79,IF(DG79=CI79,CK79,IF(DG79=CM79,CO79,IF(DG79=CQ79,CS79,IF(DG79=CU79,CW79,IF(DG79=CY79,DA79,IF(DG79=DC79,DE79,0)))))))))))</f>
        <v>8.6622500000000002</v>
      </c>
      <c r="DJ79">
        <f t="shared" si="61"/>
        <v>0</v>
      </c>
      <c r="DK79">
        <f t="shared" si="62"/>
        <v>0.255202777777778</v>
      </c>
      <c r="DL79">
        <f>IF(DK79=BO79,BP79,IF(DK79=BS79,BT79,IF(DK79=BW79,BX79,IF(DK79=CA79,CB79,IF(DK79=CE79,CF79,IF(DK79=CI79,CJ79,IF(DK79=CM79,CN79,IF(DK79=CQ79,CR79,IF(DK79=CU79,CV79,IF(DK79=CY79,CZ79,IF(DK79=DC79,DD79,IF(DK79=DG79,DH79,0))))))))))))</f>
        <v>3</v>
      </c>
      <c r="DM79">
        <f>IF(DK79=BO79,BQ79,IF(DK79=BS79,BU79,IF(DK79=BW79,BY79,IF(DK79=CA79,CC79,IF(DK79=CE79,CG79,IF(DK79=CI79,CK79,IF(DK79=CM79,CO79,IF(DK79=CQ79,CS79,IF(DK79=CU79,CW79,IF(DK79=CY79,DA79,IF(DK79=DC79,DE79,IF(DK79=DG79,DI79,0))))))))))))</f>
        <v>8.6622500000000002</v>
      </c>
      <c r="DN79">
        <f t="shared" si="63"/>
        <v>0</v>
      </c>
      <c r="DO79">
        <f t="shared" si="64"/>
        <v>0.255202777777778</v>
      </c>
      <c r="DP79">
        <f>IF(DO79=BO79,BP79,IF(DO79=BS79,BT79,IF(DO79=BW79,BX79,IF(DO79=CA79,CB79,IF(DO79=CE79,CF79,IF(DO79=CI79,CJ79,IF(DO79=CM79,CN79,IF(DO79=CQ79,CR79,IF(DO79=CU79,CV79,IF(DO79=CY79,CZ79,IF(DO79=DC79,DD79,IF(DO79=DG79,DH79,IF(DO79=DK79,DL79,0)))))))))))))</f>
        <v>3</v>
      </c>
      <c r="DQ79">
        <f>IF(DO79=BO79,BQ79,IF(DO79=BS79,BU79,IF(DO79=BW79,BY79,IF(DO79=CA79,CC79,IF(DO79=CE79,CG79,IF(DO79=CI79,CK79,IF(DO79=CM79,CO79,IF(DO79=CQ79,CS79,IF(DO79=CU79,CW79,IF(DO79=CY79,DA79,IF(DO79=DC79,DE79,IF(DO79=DG79,DI79,IF(DO79=DK79,DM79,0)))))))))))))</f>
        <v>8.6622500000000002</v>
      </c>
      <c r="DR79">
        <f t="shared" si="65"/>
        <v>0</v>
      </c>
      <c r="DS79">
        <f t="shared" si="66"/>
        <v>0.255202777777778</v>
      </c>
      <c r="DT79">
        <f>IF(DS79=BO79,BP79,IF(DS79=BS79,BT79,IF(DS79=BW79,BX79,IF(DS79=CA79,CB79,IF(DS79=CE79,CF79,IF(DS79=CI79,CJ79,IF(DS79=CM79,CN79,IF(DS79=CQ79,CR79,IF(DS79=CU79,CV79,IF(DS79=CY79,CZ79,IF(DS79=DC79,DD79,IF(DS79=DG79,DH79,IF(DS79=DK79,DL79,IF(DS79=DO79,DP79,0))))))))))))))</f>
        <v>3</v>
      </c>
      <c r="DU79">
        <f>IF(DS79=BO79,BQ79,IF(DS79=BS79,BU79,IF(DS79=BW79,BY79,IF(DS79=CA79,CC79,IF(DS79=CE79,CG79,IF(DS79=CI79,CK79,IF(DS79=CM79,CO79,IF(DS79=CQ79,CS79,IF(DS79=CU79,CW79,IF(DS79=CY79,DA79,IF(DS79=DC79,DE79,IF(DS79=DG79,DI79,IF(DS79=DK79,DM79,IF(DS79=DO79,DQ79,0))))))))))))))</f>
        <v>8.6622500000000002</v>
      </c>
      <c r="DV79">
        <f t="shared" si="67"/>
        <v>0</v>
      </c>
      <c r="DW79">
        <v>127500.5</v>
      </c>
      <c r="DX79">
        <v>3</v>
      </c>
      <c r="DY79">
        <v>0</v>
      </c>
      <c r="DZ79">
        <v>6</v>
      </c>
      <c r="EA79">
        <v>6</v>
      </c>
      <c r="EB79">
        <v>57.312181600239697</v>
      </c>
      <c r="EC79">
        <v>2</v>
      </c>
      <c r="ED79">
        <v>5.7580140000000002</v>
      </c>
      <c r="EE79">
        <v>0.255202777777778</v>
      </c>
      <c r="EF79">
        <v>8.6622500000000002</v>
      </c>
      <c r="EG79">
        <v>49.773658528233398</v>
      </c>
      <c r="EH79">
        <v>3</v>
      </c>
      <c r="EI79">
        <v>0</v>
      </c>
      <c r="EJ79">
        <v>1.50145666666667</v>
      </c>
      <c r="EK79">
        <v>1</v>
      </c>
      <c r="EL79">
        <v>0</v>
      </c>
      <c r="EM79">
        <v>37</v>
      </c>
      <c r="EN79">
        <v>0</v>
      </c>
      <c r="EO79">
        <v>2</v>
      </c>
      <c r="EP79">
        <v>8</v>
      </c>
      <c r="EQ79">
        <v>6</v>
      </c>
      <c r="ER79">
        <v>14.1987814663817</v>
      </c>
      <c r="ES79">
        <v>11.4661470910573</v>
      </c>
      <c r="ET79">
        <v>17.224161091057301</v>
      </c>
      <c r="EU79">
        <v>7.2471369425604699</v>
      </c>
      <c r="EV79">
        <v>8.7485936092271395</v>
      </c>
      <c r="EW79">
        <v>3.1493990666666698</v>
      </c>
      <c r="EX79">
        <v>9.6179390368499202</v>
      </c>
      <c r="EY79">
        <v>12.7673381035166</v>
      </c>
      <c r="EZ79">
        <v>1.50145666666667</v>
      </c>
      <c r="FA79">
        <v>7.2471369425604699</v>
      </c>
      <c r="FB79">
        <v>8.7485936092271395</v>
      </c>
      <c r="FC79">
        <v>1.50145666666667</v>
      </c>
      <c r="FD79">
        <v>7.2471369425604699</v>
      </c>
      <c r="FE79">
        <v>8.7485936092271395</v>
      </c>
      <c r="FF79">
        <v>1.7546654666666699</v>
      </c>
      <c r="FG79">
        <v>7.66481776402986</v>
      </c>
      <c r="FH79">
        <v>9.4194832306965193</v>
      </c>
    </row>
    <row r="80" spans="1:164" x14ac:dyDescent="0.2">
      <c r="A80">
        <v>79</v>
      </c>
      <c r="B80">
        <v>89</v>
      </c>
      <c r="C80">
        <v>140</v>
      </c>
      <c r="D80">
        <v>3</v>
      </c>
      <c r="E80">
        <v>12</v>
      </c>
      <c r="F80" t="s">
        <v>146</v>
      </c>
      <c r="G80" t="s">
        <v>259</v>
      </c>
      <c r="H80">
        <v>3</v>
      </c>
      <c r="I80">
        <v>1</v>
      </c>
      <c r="K80" t="s">
        <v>220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  <c r="R80">
        <v>1</v>
      </c>
      <c r="S80">
        <v>1</v>
      </c>
      <c r="T80">
        <v>0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</v>
      </c>
      <c r="AD80">
        <v>5</v>
      </c>
      <c r="AE80">
        <v>10</v>
      </c>
      <c r="AF80">
        <v>5</v>
      </c>
      <c r="AG80">
        <v>14</v>
      </c>
      <c r="AH80">
        <v>3</v>
      </c>
      <c r="AI80">
        <v>0.15404166666666699</v>
      </c>
      <c r="AJ80">
        <v>5.4118199999999996</v>
      </c>
      <c r="AK80">
        <v>0.37381111111111098</v>
      </c>
      <c r="AL80">
        <v>20.388739999999999</v>
      </c>
      <c r="AM80">
        <v>0.26792222222222201</v>
      </c>
      <c r="AN80">
        <v>17.918600000000001</v>
      </c>
      <c r="AO80">
        <v>0.26406388888888899</v>
      </c>
      <c r="AP80">
        <v>15.5451</v>
      </c>
      <c r="AQ80">
        <v>0.28736388888888897</v>
      </c>
      <c r="AR80">
        <v>15.872999999999999</v>
      </c>
      <c r="AS80">
        <v>0.25255</v>
      </c>
      <c r="AT80">
        <v>12.37313</v>
      </c>
      <c r="AU80">
        <v>0.14968888888888901</v>
      </c>
      <c r="AV80">
        <v>6.6999599999999999</v>
      </c>
      <c r="AW80">
        <v>0.114469444444444</v>
      </c>
      <c r="AX80">
        <v>3.58779</v>
      </c>
      <c r="AY80">
        <v>1.47388888888889E-2</v>
      </c>
      <c r="AZ80">
        <v>0.44144</v>
      </c>
      <c r="BA80">
        <v>3.0536111111111101E-2</v>
      </c>
      <c r="BB80">
        <v>0.97511000000000003</v>
      </c>
      <c r="BC80">
        <v>0.134163888888889</v>
      </c>
      <c r="BD80">
        <v>3.3732099999999998</v>
      </c>
      <c r="BE80">
        <v>0.21928611111111099</v>
      </c>
      <c r="BF80">
        <v>11.962580000000001</v>
      </c>
      <c r="BG80">
        <v>0.28315833333333301</v>
      </c>
      <c r="BH80">
        <v>15.36543</v>
      </c>
      <c r="BI80">
        <v>0.32698611111111098</v>
      </c>
      <c r="BJ80">
        <v>17.33935</v>
      </c>
      <c r="BK80">
        <v>0.395125</v>
      </c>
      <c r="BL80">
        <v>24.155000000000001</v>
      </c>
      <c r="BM80">
        <v>0.43663055555555602</v>
      </c>
      <c r="BN80">
        <v>26.147680000000001</v>
      </c>
      <c r="BO80">
        <f t="shared" si="34"/>
        <v>1.47388888888889E-2</v>
      </c>
      <c r="BP80">
        <v>8</v>
      </c>
      <c r="BQ80">
        <v>0.44144</v>
      </c>
      <c r="BR80">
        <f t="shared" si="35"/>
        <v>0</v>
      </c>
      <c r="BS80">
        <f t="shared" si="36"/>
        <v>1.47388888888889E-2</v>
      </c>
      <c r="BT80">
        <f t="shared" si="37"/>
        <v>8</v>
      </c>
      <c r="BU80">
        <f t="shared" si="38"/>
        <v>0.44144</v>
      </c>
      <c r="BV80">
        <f t="shared" si="39"/>
        <v>0</v>
      </c>
      <c r="BW80">
        <f t="shared" si="40"/>
        <v>1.47388888888889E-2</v>
      </c>
      <c r="BX80">
        <f t="shared" si="41"/>
        <v>8</v>
      </c>
      <c r="BY80">
        <f t="shared" si="42"/>
        <v>0.44144</v>
      </c>
      <c r="BZ80">
        <f t="shared" si="43"/>
        <v>0</v>
      </c>
      <c r="CA80">
        <f t="shared" si="44"/>
        <v>1.47388888888889E-2</v>
      </c>
      <c r="CB80">
        <f>IF(CA80=BO80,BP80,IF(CA80=BS80,BT80,IF(CA80=BW80,BX80,0)))</f>
        <v>8</v>
      </c>
      <c r="CC80">
        <f>IF(CA80=BO80,BQ80,IF(CA80=BS80,BU80,IF(CA80=BW80,BY80,0)))</f>
        <v>0.44144</v>
      </c>
      <c r="CD80">
        <f t="shared" si="45"/>
        <v>0</v>
      </c>
      <c r="CE80">
        <f t="shared" si="46"/>
        <v>1.47388888888889E-2</v>
      </c>
      <c r="CF80">
        <f>IF(CE80=BO80,BP80,IF(CE80=BS80,BT80,IF(CE80=BW80,BX80,IF(CE80=CA80,CB80,0))))</f>
        <v>8</v>
      </c>
      <c r="CG80">
        <f>IF(CE80=BO80,BQ80,IF(CE80=BS80,BU80,IF(CE80=BW80,BY80,IF(CE80=CA80,CC80,0))))</f>
        <v>0.44144</v>
      </c>
      <c r="CH80">
        <f t="shared" si="47"/>
        <v>0</v>
      </c>
      <c r="CI80">
        <f t="shared" si="48"/>
        <v>1.47388888888889E-2</v>
      </c>
      <c r="CJ80">
        <f>IF(CI80=BO80,BP80,IF(CI80=BS80,BT80,IF(CI80=BW80,BX80,IF(CI80=CA80,CB80,IF(CI80=CE80,CF80,0)))))</f>
        <v>8</v>
      </c>
      <c r="CK80">
        <f>IF(CI80=BO80,BQ80,IF(CI80=BS80,BU80,IF(CI80=BW80,BY80,IF(CI80=CA80,CC80,IF(CI80=CE80,CG80,0)))))</f>
        <v>0.44144</v>
      </c>
      <c r="CL80">
        <f t="shared" si="49"/>
        <v>0</v>
      </c>
      <c r="CM80">
        <f t="shared" si="50"/>
        <v>1.47388888888889E-2</v>
      </c>
      <c r="CN80">
        <f>IF(CM80=BO80,BP80,IF(CM80=BS80,BT80,IF(CM80=BW80,BX80,IF(CM80=CA80,CB80,IF(CM80=CE80,CF80,IF(CM80=CI80,CJ80,0))))))</f>
        <v>8</v>
      </c>
      <c r="CO80">
        <f>IF(CM80=BO80,BQ80,IF(CM80=BS80,BU80,IF(CM80=BW80,BY80,IF(CM80=CA80,CC80,IF(CM80=CE80,CG80,IF(CM80=CI80,CK80,0))))))</f>
        <v>0.44144</v>
      </c>
      <c r="CP80">
        <f t="shared" si="51"/>
        <v>0</v>
      </c>
      <c r="CQ80">
        <f t="shared" si="52"/>
        <v>3.0536111111111101E-2</v>
      </c>
      <c r="CR80">
        <v>9</v>
      </c>
      <c r="CS80">
        <v>0.97511000000000003</v>
      </c>
      <c r="CT80">
        <f t="shared" si="53"/>
        <v>0</v>
      </c>
      <c r="CU80">
        <f t="shared" si="54"/>
        <v>1.47388888888889E-2</v>
      </c>
      <c r="CV80">
        <f>IF(CU80=BO80,BP80,IF(CU80=BS80,BT80,IF(CU80=BW80,BX80,IF(CU80=CA80,CB80,IF(CU80=CE80,CF80,IF(CU80=CI80,CJ80,IF(CU80=CM80,CN80,IF(CU80=CQ80,CR80,0))))))))</f>
        <v>8</v>
      </c>
      <c r="CW80">
        <f>IF(CU80=BO80,BQ80,IF(CU80=BS80,BU80,IF(CU80=BW80,BY80,IF(CU80=CA80,CC80,IF(CU80=CE80,CG80,IF(CU80=CI80,CK80,IF(CU80=CM80,CO80,IF(CU80=CQ80,CS80,0))))))))</f>
        <v>0.44144</v>
      </c>
      <c r="CX80">
        <f t="shared" si="55"/>
        <v>0</v>
      </c>
      <c r="CY80">
        <f t="shared" si="56"/>
        <v>1.47388888888889E-2</v>
      </c>
      <c r="CZ80">
        <f>IF(CY80=BO80,BP80,IF(CY80=BS80,BT80,IF(CY80=BW80,BX80,IF(CY80=CA80,CB80,IF(CY80=CE80,CF80,IF(CY80=CI80,CJ80,IF(CY80=CM80,CN80,IF(CY80=CQ80,CR80,IF(CY80=CU80,CV80,0)))))))))</f>
        <v>8</v>
      </c>
      <c r="DA80">
        <f>IF(CY80=BO80,BQ80,IF(CY80=BS80,BU80,IF(CY80=BW80,BY80,IF(CY80=CA80,CC80,IF(CY80=CE80,CG80,IF(CY80=CI80,CK80,IF(CY80=CM80,CO80,IF(CY80=CQ80,CS80,IF(CY80=CU80,CW80,0)))))))))</f>
        <v>0.44144</v>
      </c>
      <c r="DB80">
        <f t="shared" si="57"/>
        <v>0</v>
      </c>
      <c r="DC80">
        <f t="shared" si="58"/>
        <v>1.47388888888889E-2</v>
      </c>
      <c r="DD80">
        <f>IF(DC80=BO80,BP80,IF(DC80=BS80,BT80,IF(DC80=BW80,BX80,IF(DC80=CA80,CB80,IF(DC80=CE80,CF80,IF(DC80=CI80,CJ80,IF(DC80=CM80,CN80,IF(DC80=CQ80,CR80,IF(DC80=CU80,CV80,IF(DC80=CY80,CZ80,0))))))))))</f>
        <v>8</v>
      </c>
      <c r="DE80">
        <f>IF(DC80=BO80,BQ80,IF(DC80=BS80,BU80,IF(DC80=BW80,BY80,IF(DC80=CA80,CC80,IF(DC80=CE80,CG80,IF(DC80=CI80,CK80,IF(DC80=CM80,CO80,IF(DC80=CQ80,CS80,IF(DC80=CU80,CW80,IF(DC80=CY80,DA80,0))))))))))</f>
        <v>0.44144</v>
      </c>
      <c r="DF80">
        <f t="shared" si="59"/>
        <v>0</v>
      </c>
      <c r="DG80">
        <f t="shared" si="60"/>
        <v>1.47388888888889E-2</v>
      </c>
      <c r="DH80">
        <f>IF(DG80=BO80,BP80,IF(DG80=BS80,BT80,IF(DG80=BW80,BX80,IF(DG80=CA80,CB80,IF(DG80=CE80,CF80,IF(DG80=CI80,CJ80,IF(DG80=CM80,CN80,IF(DG80=CQ80,CR80,IF(DG80=CU80,CV80,IF(DG80=CY80,CZ80,IF(DG80=DC80,DD80,0)))))))))))</f>
        <v>8</v>
      </c>
      <c r="DI80">
        <f>IF(DG80=BO80,BQ80,IF(DG80=BS80,BU80,IF(DG80=BW80,BY80,IF(DG80=CA80,CC80,IF(DG80=CE80,CG80,IF(DG80=CI80,CK80,IF(DG80=CM80,CO80,IF(DG80=CQ80,CS80,IF(DG80=CU80,CW80,IF(DG80=CY80,DA80,IF(DG80=DC80,DE80,0)))))))))))</f>
        <v>0.44144</v>
      </c>
      <c r="DJ80">
        <f t="shared" si="61"/>
        <v>0</v>
      </c>
      <c r="DK80">
        <f t="shared" si="62"/>
        <v>1.47388888888889E-2</v>
      </c>
      <c r="DL80">
        <f>IF(DK80=BO80,BP80,IF(DK80=BS80,BT80,IF(DK80=BW80,BX80,IF(DK80=CA80,CB80,IF(DK80=CE80,CF80,IF(DK80=CI80,CJ80,IF(DK80=CM80,CN80,IF(DK80=CQ80,CR80,IF(DK80=CU80,CV80,IF(DK80=CY80,CZ80,IF(DK80=DC80,DD80,IF(DK80=DG80,DH80,0))))))))))))</f>
        <v>8</v>
      </c>
      <c r="DM80">
        <f>IF(DK80=BO80,BQ80,IF(DK80=BS80,BU80,IF(DK80=BW80,BY80,IF(DK80=CA80,CC80,IF(DK80=CE80,CG80,IF(DK80=CI80,CK80,IF(DK80=CM80,CO80,IF(DK80=CQ80,CS80,IF(DK80=CU80,CW80,IF(DK80=CY80,DA80,IF(DK80=DC80,DE80,IF(DK80=DG80,DI80,0))))))))))))</f>
        <v>0.44144</v>
      </c>
      <c r="DN80">
        <f t="shared" si="63"/>
        <v>0</v>
      </c>
      <c r="DO80">
        <f t="shared" si="64"/>
        <v>1.47388888888889E-2</v>
      </c>
      <c r="DP80">
        <f>IF(DO80=BO80,BP80,IF(DO80=BS80,BT80,IF(DO80=BW80,BX80,IF(DO80=CA80,CB80,IF(DO80=CE80,CF80,IF(DO80=CI80,CJ80,IF(DO80=CM80,CN80,IF(DO80=CQ80,CR80,IF(DO80=CU80,CV80,IF(DO80=CY80,CZ80,IF(DO80=DC80,DD80,IF(DO80=DG80,DH80,IF(DO80=DK80,DL80,0)))))))))))))</f>
        <v>8</v>
      </c>
      <c r="DQ80">
        <f>IF(DO80=BO80,BQ80,IF(DO80=BS80,BU80,IF(DO80=BW80,BY80,IF(DO80=CA80,CC80,IF(DO80=CE80,CG80,IF(DO80=CI80,CK80,IF(DO80=CM80,CO80,IF(DO80=CQ80,CS80,IF(DO80=CU80,CW80,IF(DO80=CY80,DA80,IF(DO80=DC80,DE80,IF(DO80=DG80,DI80,IF(DO80=DK80,DM80,0)))))))))))))</f>
        <v>0.44144</v>
      </c>
      <c r="DR80">
        <f t="shared" si="65"/>
        <v>0</v>
      </c>
      <c r="DS80">
        <f t="shared" si="66"/>
        <v>1.47388888888889E-2</v>
      </c>
      <c r="DT80">
        <f>IF(DS80=BO80,BP80,IF(DS80=BS80,BT80,IF(DS80=BW80,BX80,IF(DS80=CA80,CB80,IF(DS80=CE80,CF80,IF(DS80=CI80,CJ80,IF(DS80=CM80,CN80,IF(DS80=CQ80,CR80,IF(DS80=CU80,CV80,IF(DS80=CY80,CZ80,IF(DS80=DC80,DD80,IF(DS80=DG80,DH80,IF(DS80=DK80,DL80,IF(DS80=DO80,DP80,0))))))))))))))</f>
        <v>8</v>
      </c>
      <c r="DU80">
        <f>IF(DS80=BO80,BQ80,IF(DS80=BS80,BU80,IF(DS80=BW80,BY80,IF(DS80=CA80,CC80,IF(DS80=CE80,CG80,IF(DS80=CI80,CK80,IF(DS80=CM80,CO80,IF(DS80=CQ80,CS80,IF(DS80=CU80,CW80,IF(DS80=CY80,DA80,IF(DS80=DC80,DE80,IF(DS80=DG80,DI80,IF(DS80=DK80,DM80,IF(DS80=DO80,DQ80,0))))))))))))))</f>
        <v>0.44144</v>
      </c>
      <c r="DV80">
        <f t="shared" si="67"/>
        <v>0</v>
      </c>
      <c r="DW80">
        <v>31226.480769230799</v>
      </c>
      <c r="DX80">
        <v>5</v>
      </c>
      <c r="DY80">
        <v>0</v>
      </c>
      <c r="DZ80">
        <v>6</v>
      </c>
      <c r="EA80">
        <v>6</v>
      </c>
      <c r="EB80">
        <v>14.0364762223093</v>
      </c>
      <c r="EC80">
        <v>1.2</v>
      </c>
      <c r="ED80">
        <v>1.7628292800000001</v>
      </c>
      <c r="EE80">
        <v>1.47388888888889E-2</v>
      </c>
      <c r="EF80">
        <v>0.44144</v>
      </c>
      <c r="EG80">
        <v>5.7477866694786401</v>
      </c>
      <c r="EH80">
        <v>8</v>
      </c>
      <c r="EI80">
        <v>0</v>
      </c>
      <c r="EJ80">
        <v>4.5909760000000001E-2</v>
      </c>
      <c r="EK80">
        <v>1</v>
      </c>
      <c r="EL80">
        <v>0</v>
      </c>
      <c r="EM80">
        <v>62</v>
      </c>
      <c r="EN80">
        <v>0</v>
      </c>
      <c r="EO80">
        <v>4</v>
      </c>
      <c r="EP80">
        <v>3</v>
      </c>
      <c r="EQ80">
        <v>5</v>
      </c>
      <c r="ER80">
        <v>14.1987814663817</v>
      </c>
      <c r="ES80">
        <v>4.37440792343443</v>
      </c>
      <c r="ET80">
        <v>6.13723720343443</v>
      </c>
      <c r="EU80">
        <v>0.418548524781229</v>
      </c>
      <c r="EV80">
        <v>0.46445828478122902</v>
      </c>
      <c r="EW80">
        <v>4.5909760000000001E-2</v>
      </c>
      <c r="EX80">
        <v>0.418548524781229</v>
      </c>
      <c r="EY80">
        <v>0.46445828478122902</v>
      </c>
      <c r="EZ80">
        <v>0.10141144000000001</v>
      </c>
      <c r="FA80">
        <v>0.86715113699963198</v>
      </c>
      <c r="FB80">
        <v>0.968562576999632</v>
      </c>
      <c r="FC80">
        <v>1.6166904</v>
      </c>
      <c r="FD80">
        <v>7.4987709029924599</v>
      </c>
      <c r="FE80">
        <v>9.1154613029924594</v>
      </c>
      <c r="FF80">
        <v>4.5909760000000001E-2</v>
      </c>
      <c r="FG80">
        <v>0.418548524781229</v>
      </c>
      <c r="FH80">
        <v>0.46445828478122902</v>
      </c>
    </row>
    <row r="81" spans="1:164" x14ac:dyDescent="0.2">
      <c r="A81">
        <v>80</v>
      </c>
      <c r="B81">
        <v>90</v>
      </c>
      <c r="C81">
        <v>141</v>
      </c>
      <c r="D81">
        <v>3</v>
      </c>
      <c r="E81">
        <v>12</v>
      </c>
      <c r="F81" t="s">
        <v>260</v>
      </c>
      <c r="G81" t="s">
        <v>261</v>
      </c>
      <c r="H81">
        <v>3</v>
      </c>
      <c r="I81">
        <v>4</v>
      </c>
      <c r="K81" t="s">
        <v>117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>
        <v>2</v>
      </c>
      <c r="AE81">
        <v>4</v>
      </c>
      <c r="AF81">
        <v>2</v>
      </c>
      <c r="AG81">
        <v>3</v>
      </c>
      <c r="AH81">
        <v>3</v>
      </c>
      <c r="AI81">
        <v>0.28987777777777801</v>
      </c>
      <c r="AJ81">
        <v>12.136799999999999</v>
      </c>
      <c r="AK81">
        <v>0.45840277777777799</v>
      </c>
      <c r="AL81">
        <v>23.175879999999999</v>
      </c>
      <c r="AM81">
        <v>0.35251388888888902</v>
      </c>
      <c r="AN81">
        <v>20.705739999999999</v>
      </c>
      <c r="AO81">
        <v>0.348655555555556</v>
      </c>
      <c r="AP81">
        <v>18.332239999999999</v>
      </c>
      <c r="AQ81">
        <v>0.37195555555555598</v>
      </c>
      <c r="AR81">
        <v>18.660139999999998</v>
      </c>
      <c r="AS81">
        <v>0.33714166666666701</v>
      </c>
      <c r="AT81">
        <v>15.160270000000001</v>
      </c>
      <c r="AU81">
        <v>0.22090833333333301</v>
      </c>
      <c r="AV81">
        <v>8.9964999999999993</v>
      </c>
      <c r="AW81">
        <v>0.23708888888888899</v>
      </c>
      <c r="AX81">
        <v>10.373049999999999</v>
      </c>
      <c r="AY81">
        <v>0.22804722222222201</v>
      </c>
      <c r="AZ81">
        <v>10.564590000000001</v>
      </c>
      <c r="BA81">
        <v>0.213038888888889</v>
      </c>
      <c r="BB81">
        <v>9.9816199999999995</v>
      </c>
      <c r="BC81">
        <v>0.29693611111111101</v>
      </c>
      <c r="BD81">
        <v>12.423389999999999</v>
      </c>
      <c r="BE81">
        <v>0.32260555555555598</v>
      </c>
      <c r="BF81">
        <v>17.779039999999998</v>
      </c>
      <c r="BG81">
        <v>0.38647777777777798</v>
      </c>
      <c r="BH81">
        <v>21.181889999999999</v>
      </c>
      <c r="BI81">
        <v>0.430305555555556</v>
      </c>
      <c r="BJ81">
        <v>23.155809999999999</v>
      </c>
      <c r="BK81">
        <v>0.49844444444444402</v>
      </c>
      <c r="BL81">
        <v>29.97146</v>
      </c>
      <c r="BM81">
        <v>0.53995000000000004</v>
      </c>
      <c r="BN81">
        <v>31.96414</v>
      </c>
      <c r="BO81">
        <f t="shared" si="34"/>
        <v>0.213038888888889</v>
      </c>
      <c r="BP81">
        <v>9</v>
      </c>
      <c r="BQ81">
        <v>9.9816199999999995</v>
      </c>
      <c r="BR81">
        <f t="shared" si="35"/>
        <v>0</v>
      </c>
      <c r="BS81">
        <f t="shared" si="36"/>
        <v>0.213038888888889</v>
      </c>
      <c r="BT81">
        <f t="shared" si="37"/>
        <v>9</v>
      </c>
      <c r="BU81">
        <f t="shared" si="38"/>
        <v>9.9816199999999995</v>
      </c>
      <c r="BV81">
        <f t="shared" si="39"/>
        <v>0</v>
      </c>
      <c r="BW81">
        <f t="shared" si="40"/>
        <v>0.213038888888889</v>
      </c>
      <c r="BX81">
        <f t="shared" si="41"/>
        <v>9</v>
      </c>
      <c r="BY81">
        <f t="shared" si="42"/>
        <v>9.9816199999999995</v>
      </c>
      <c r="BZ81">
        <f t="shared" si="43"/>
        <v>0</v>
      </c>
      <c r="CA81">
        <f t="shared" si="44"/>
        <v>0.213038888888889</v>
      </c>
      <c r="CB81">
        <f>IF(CA81=BO81,BP81,IF(CA81=BS81,BT81,IF(CA81=BW81,BX81,0)))</f>
        <v>9</v>
      </c>
      <c r="CC81">
        <f>IF(CA81=BO81,BQ81,IF(CA81=BS81,BU81,IF(CA81=BW81,BY81,0)))</f>
        <v>9.9816199999999995</v>
      </c>
      <c r="CD81">
        <f t="shared" si="45"/>
        <v>0</v>
      </c>
      <c r="CE81">
        <f t="shared" si="46"/>
        <v>0.213038888888889</v>
      </c>
      <c r="CF81">
        <f>IF(CE81=BO81,BP81,IF(CE81=BS81,BT81,IF(CE81=BW81,BX81,IF(CE81=CA81,CB81,0))))</f>
        <v>9</v>
      </c>
      <c r="CG81">
        <f>IF(CE81=BO81,BQ81,IF(CE81=BS81,BU81,IF(CE81=BW81,BY81,IF(CE81=CA81,CC81,0))))</f>
        <v>9.9816199999999995</v>
      </c>
      <c r="CH81">
        <f t="shared" si="47"/>
        <v>0</v>
      </c>
      <c r="CI81">
        <f t="shared" si="48"/>
        <v>0.213038888888889</v>
      </c>
      <c r="CJ81">
        <f>IF(CI81=BO81,BP81,IF(CI81=BS81,BT81,IF(CI81=BW81,BX81,IF(CI81=CA81,CB81,IF(CI81=CE81,CF81,0)))))</f>
        <v>9</v>
      </c>
      <c r="CK81">
        <f>IF(CI81=BO81,BQ81,IF(CI81=BS81,BU81,IF(CI81=BW81,BY81,IF(CI81=CA81,CC81,IF(CI81=CE81,CG81,0)))))</f>
        <v>9.9816199999999995</v>
      </c>
      <c r="CL81">
        <f t="shared" si="49"/>
        <v>0</v>
      </c>
      <c r="CM81">
        <f t="shared" si="50"/>
        <v>0.213038888888889</v>
      </c>
      <c r="CN81">
        <f>IF(CM81=BO81,BP81,IF(CM81=BS81,BT81,IF(CM81=BW81,BX81,IF(CM81=CA81,CB81,IF(CM81=CE81,CF81,IF(CM81=CI81,CJ81,0))))))</f>
        <v>9</v>
      </c>
      <c r="CO81">
        <f>IF(CM81=BO81,BQ81,IF(CM81=BS81,BU81,IF(CM81=BW81,BY81,IF(CM81=CA81,CC81,IF(CM81=CE81,CG81,IF(CM81=CI81,CK81,0))))))</f>
        <v>9.9816199999999995</v>
      </c>
      <c r="CP81">
        <f t="shared" si="51"/>
        <v>0</v>
      </c>
      <c r="CQ81">
        <f t="shared" si="52"/>
        <v>0.213038888888889</v>
      </c>
      <c r="CR81">
        <f>IF(CQ81=BO81,BP81,IF(CQ81=BS81,BT81,IF(CQ81=BW81,BX81,IF(CQ81=CA81,CB81,IF(CQ81=CE81,CF81,IF(CQ81=CI81,CJ81,IF(CQ81=CM81,CN81,0)))))))</f>
        <v>9</v>
      </c>
      <c r="CS81">
        <f>IF(CQ81=BO81,BQ81,IF(CQ81=BS81,BU81,IF(CQ81=BW81,BY81,IF(CQ81=CA81,CC81,IF(CQ81=CE81,CG81,IF(CQ81=CI81,CK81,IF(CQ81=CM81,CO81,0)))))))</f>
        <v>9.9816199999999995</v>
      </c>
      <c r="CT81">
        <f t="shared" si="53"/>
        <v>0</v>
      </c>
      <c r="CU81">
        <f t="shared" si="54"/>
        <v>0.22090833333333301</v>
      </c>
      <c r="CV81">
        <v>6</v>
      </c>
      <c r="CW81">
        <v>8.9964999999999993</v>
      </c>
      <c r="CX81">
        <f t="shared" si="55"/>
        <v>0</v>
      </c>
      <c r="CY81">
        <f t="shared" si="56"/>
        <v>0.213038888888889</v>
      </c>
      <c r="CZ81">
        <f>IF(CY81=BO81,BP81,IF(CY81=BS81,BT81,IF(CY81=BW81,BX81,IF(CY81=CA81,CB81,IF(CY81=CE81,CF81,IF(CY81=CI81,CJ81,IF(CY81=CM81,CN81,IF(CY81=CQ81,CR81,IF(CY81=CU81,CV81,0)))))))))</f>
        <v>9</v>
      </c>
      <c r="DA81">
        <f>IF(CY81=BO81,BQ81,IF(CY81=BS81,BU81,IF(CY81=BW81,BY81,IF(CY81=CA81,CC81,IF(CY81=CE81,CG81,IF(CY81=CI81,CK81,IF(CY81=CM81,CO81,IF(CY81=CQ81,CS81,IF(CY81=CU81,CW81,0)))))))))</f>
        <v>9.9816199999999995</v>
      </c>
      <c r="DB81">
        <f t="shared" si="57"/>
        <v>0</v>
      </c>
      <c r="DC81">
        <f t="shared" si="58"/>
        <v>0.213038888888889</v>
      </c>
      <c r="DD81">
        <f>IF(DC81=BO81,BP81,IF(DC81=BS81,BT81,IF(DC81=BW81,BX81,IF(DC81=CA81,CB81,IF(DC81=CE81,CF81,IF(DC81=CI81,CJ81,IF(DC81=CM81,CN81,IF(DC81=CQ81,CR81,IF(DC81=CU81,CV81,IF(DC81=CY81,CZ81,0))))))))))</f>
        <v>9</v>
      </c>
      <c r="DE81">
        <f>IF(DC81=BO81,BQ81,IF(DC81=BS81,BU81,IF(DC81=BW81,BY81,IF(DC81=CA81,CC81,IF(DC81=CE81,CG81,IF(DC81=CI81,CK81,IF(DC81=CM81,CO81,IF(DC81=CQ81,CS81,IF(DC81=CU81,CW81,IF(DC81=CY81,DA81,0))))))))))</f>
        <v>9.9816199999999995</v>
      </c>
      <c r="DF81">
        <f t="shared" si="59"/>
        <v>0</v>
      </c>
      <c r="DG81">
        <f t="shared" si="60"/>
        <v>0.213038888888889</v>
      </c>
      <c r="DH81">
        <f>IF(DG81=BO81,BP81,IF(DG81=BS81,BT81,IF(DG81=BW81,BX81,IF(DG81=CA81,CB81,IF(DG81=CE81,CF81,IF(DG81=CI81,CJ81,IF(DG81=CM81,CN81,IF(DG81=CQ81,CR81,IF(DG81=CU81,CV81,IF(DG81=CY81,CZ81,IF(DG81=DC81,DD81,0)))))))))))</f>
        <v>9</v>
      </c>
      <c r="DI81">
        <f>IF(DG81=BO81,BQ81,IF(DG81=BS81,BU81,IF(DG81=BW81,BY81,IF(DG81=CA81,CC81,IF(DG81=CE81,CG81,IF(DG81=CI81,CK81,IF(DG81=CM81,CO81,IF(DG81=CQ81,CS81,IF(DG81=CU81,CW81,IF(DG81=CY81,DA81,IF(DG81=DC81,DE81,0)))))))))))</f>
        <v>9.9816199999999995</v>
      </c>
      <c r="DJ81">
        <f t="shared" si="61"/>
        <v>0</v>
      </c>
      <c r="DK81">
        <f t="shared" si="62"/>
        <v>0.213038888888889</v>
      </c>
      <c r="DL81">
        <f>IF(DK81=BO81,BP81,IF(DK81=BS81,BT81,IF(DK81=BW81,BX81,IF(DK81=CA81,CB81,IF(DK81=CE81,CF81,IF(DK81=CI81,CJ81,IF(DK81=CM81,CN81,IF(DK81=CQ81,CR81,IF(DK81=CU81,CV81,IF(DK81=CY81,CZ81,IF(DK81=DC81,DD81,IF(DK81=DG81,DH81,0))))))))))))</f>
        <v>9</v>
      </c>
      <c r="DM81">
        <f>IF(DK81=BO81,BQ81,IF(DK81=BS81,BU81,IF(DK81=BW81,BY81,IF(DK81=CA81,CC81,IF(DK81=CE81,CG81,IF(DK81=CI81,CK81,IF(DK81=CM81,CO81,IF(DK81=CQ81,CS81,IF(DK81=CU81,CW81,IF(DK81=CY81,DA81,IF(DK81=DC81,DE81,IF(DK81=DG81,DI81,0))))))))))))</f>
        <v>9.9816199999999995</v>
      </c>
      <c r="DN81">
        <f t="shared" si="63"/>
        <v>0</v>
      </c>
      <c r="DO81">
        <f t="shared" si="64"/>
        <v>0.213038888888889</v>
      </c>
      <c r="DP81">
        <f>IF(DO81=BO81,BP81,IF(DO81=BS81,BT81,IF(DO81=BW81,BX81,IF(DO81=CA81,CB81,IF(DO81=CE81,CF81,IF(DO81=CI81,CJ81,IF(DO81=CM81,CN81,IF(DO81=CQ81,CR81,IF(DO81=CU81,CV81,IF(DO81=CY81,CZ81,IF(DO81=DC81,DD81,IF(DO81=DG81,DH81,IF(DO81=DK81,DL81,0)))))))))))))</f>
        <v>9</v>
      </c>
      <c r="DQ81">
        <f>IF(DO81=BO81,BQ81,IF(DO81=BS81,BU81,IF(DO81=BW81,BY81,IF(DO81=CA81,CC81,IF(DO81=CE81,CG81,IF(DO81=CI81,CK81,IF(DO81=CM81,CO81,IF(DO81=CQ81,CS81,IF(DO81=CU81,CW81,IF(DO81=CY81,DA81,IF(DO81=DC81,DE81,IF(DO81=DG81,DI81,IF(DO81=DK81,DM81,0)))))))))))))</f>
        <v>9.9816199999999995</v>
      </c>
      <c r="DR81">
        <f t="shared" si="65"/>
        <v>0</v>
      </c>
      <c r="DS81">
        <f t="shared" si="66"/>
        <v>0.213038888888889</v>
      </c>
      <c r="DT81">
        <f>IF(DS81=BO81,BP81,IF(DS81=BS81,BT81,IF(DS81=BW81,BX81,IF(DS81=CA81,CB81,IF(DS81=CE81,CF81,IF(DS81=CI81,CJ81,IF(DS81=CM81,CN81,IF(DS81=CQ81,CR81,IF(DS81=CU81,CV81,IF(DS81=CY81,CZ81,IF(DS81=DC81,DD81,IF(DS81=DG81,DH81,IF(DS81=DK81,DL81,IF(DS81=DO81,DP81,0))))))))))))))</f>
        <v>9</v>
      </c>
      <c r="DU81">
        <f>IF(DS81=BO81,BQ81,IF(DS81=BS81,BU81,IF(DS81=BW81,BY81,IF(DS81=CA81,CC81,IF(DS81=CE81,CG81,IF(DS81=CI81,CK81,IF(DS81=CM81,CO81,IF(DS81=CQ81,CS81,IF(DS81=CU81,CW81,IF(DS81=CY81,DA81,IF(DS81=DC81,DE81,IF(DS81=DG81,DI81,IF(DS81=DK81,DM81,IF(DS81=DO81,DQ81,0))))))))))))))</f>
        <v>9.9816199999999995</v>
      </c>
      <c r="DV81">
        <f t="shared" si="67"/>
        <v>0</v>
      </c>
      <c r="DW81">
        <v>52500.5</v>
      </c>
      <c r="DX81">
        <v>2</v>
      </c>
      <c r="DY81">
        <v>0</v>
      </c>
      <c r="DZ81">
        <v>6</v>
      </c>
      <c r="EA81">
        <v>6</v>
      </c>
      <c r="EB81">
        <v>23.599265807611602</v>
      </c>
      <c r="EC81">
        <v>3</v>
      </c>
      <c r="ED81">
        <v>6.1555679999999997</v>
      </c>
      <c r="EE81">
        <v>0.213038888888889</v>
      </c>
      <c r="EF81">
        <v>9.9816199999999995</v>
      </c>
      <c r="EG81">
        <v>17.934224301769099</v>
      </c>
      <c r="EH81">
        <v>9</v>
      </c>
      <c r="EI81">
        <v>0</v>
      </c>
      <c r="EJ81">
        <v>2.5952212000000001</v>
      </c>
      <c r="EK81">
        <v>1</v>
      </c>
      <c r="EL81">
        <v>0</v>
      </c>
      <c r="EM81">
        <v>32</v>
      </c>
      <c r="EN81">
        <v>1</v>
      </c>
      <c r="EO81">
        <v>4</v>
      </c>
      <c r="EP81">
        <v>3</v>
      </c>
      <c r="EQ81">
        <v>2</v>
      </c>
      <c r="ER81">
        <v>14.1987814663817</v>
      </c>
      <c r="ES81">
        <v>8.2318224372540403</v>
      </c>
      <c r="ET81">
        <v>14.387390437254</v>
      </c>
      <c r="EU81">
        <v>6.04978525434821</v>
      </c>
      <c r="EV81">
        <v>8.6450064543482092</v>
      </c>
      <c r="EW81">
        <v>2.7467934000000001</v>
      </c>
      <c r="EX81">
        <v>6.4759853446974196</v>
      </c>
      <c r="EY81">
        <v>9.2227787446974201</v>
      </c>
      <c r="EZ81">
        <v>2.5952212000000001</v>
      </c>
      <c r="FA81">
        <v>6.04978525434821</v>
      </c>
      <c r="FB81">
        <v>8.6450064543482092</v>
      </c>
      <c r="FC81">
        <v>4.7663824000000004</v>
      </c>
      <c r="FD81">
        <v>9.9009680807464697</v>
      </c>
      <c r="FE81">
        <v>14.667350480746499</v>
      </c>
      <c r="FF81">
        <v>2.5952212000000001</v>
      </c>
      <c r="FG81">
        <v>6.04978525434821</v>
      </c>
      <c r="FH81">
        <v>8.6450064543482092</v>
      </c>
    </row>
    <row r="82" spans="1:164" x14ac:dyDescent="0.2">
      <c r="A82">
        <v>81</v>
      </c>
      <c r="B82">
        <v>91</v>
      </c>
      <c r="C82">
        <v>142</v>
      </c>
      <c r="D82">
        <v>3</v>
      </c>
      <c r="E82">
        <v>12</v>
      </c>
      <c r="F82" t="s">
        <v>158</v>
      </c>
      <c r="H82">
        <v>3</v>
      </c>
      <c r="I82">
        <v>5</v>
      </c>
      <c r="K82" t="s">
        <v>170</v>
      </c>
      <c r="L82">
        <v>0</v>
      </c>
      <c r="M82">
        <v>0</v>
      </c>
      <c r="N82">
        <v>0</v>
      </c>
      <c r="O82">
        <v>0</v>
      </c>
      <c r="P82">
        <v>3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4</v>
      </c>
      <c r="AE82">
        <v>8</v>
      </c>
      <c r="AF82">
        <v>4</v>
      </c>
      <c r="AG82">
        <v>7</v>
      </c>
      <c r="AH82">
        <v>4</v>
      </c>
      <c r="AI82">
        <v>0.40377222222222198</v>
      </c>
      <c r="AJ82">
        <v>21.68085</v>
      </c>
      <c r="AK82">
        <v>0.37228611111111098</v>
      </c>
      <c r="AL82">
        <v>11.58466</v>
      </c>
      <c r="AM82">
        <v>0.26991111111111099</v>
      </c>
      <c r="AN82">
        <v>10.12307</v>
      </c>
      <c r="AO82">
        <v>0.255202777777778</v>
      </c>
      <c r="AP82">
        <v>8.6622500000000002</v>
      </c>
      <c r="AQ82">
        <v>0.31812777777777801</v>
      </c>
      <c r="AR82">
        <v>10.73414</v>
      </c>
      <c r="AS82">
        <v>0.31245000000000001</v>
      </c>
      <c r="AT82">
        <v>10.14893</v>
      </c>
      <c r="AU82">
        <v>0.30712499999999998</v>
      </c>
      <c r="AV82">
        <v>12.55533</v>
      </c>
      <c r="AW82">
        <v>0.32870277777777801</v>
      </c>
      <c r="AX82">
        <v>16.930879999999998</v>
      </c>
      <c r="AY82">
        <v>0.33868888888888898</v>
      </c>
      <c r="AZ82">
        <v>18.169609999999999</v>
      </c>
      <c r="BA82">
        <v>0.35203888888888901</v>
      </c>
      <c r="BB82">
        <v>19.490320000000001</v>
      </c>
      <c r="BC82">
        <v>0.41286666666666699</v>
      </c>
      <c r="BD82">
        <v>20.815020000000001</v>
      </c>
      <c r="BE82">
        <v>0.42388611111111102</v>
      </c>
      <c r="BF82">
        <v>27.191980000000001</v>
      </c>
      <c r="BG82">
        <v>0.48776111111111098</v>
      </c>
      <c r="BH82">
        <v>30.594830000000002</v>
      </c>
      <c r="BI82">
        <v>0.53158611111111098</v>
      </c>
      <c r="BJ82">
        <v>32.568750000000001</v>
      </c>
      <c r="BK82">
        <v>0.59972777777777797</v>
      </c>
      <c r="BL82">
        <v>39.384390000000003</v>
      </c>
      <c r="BM82">
        <v>0.64123055555555597</v>
      </c>
      <c r="BN82">
        <v>41.377070000000003</v>
      </c>
      <c r="BO82">
        <f t="shared" si="34"/>
        <v>0.255202777777778</v>
      </c>
      <c r="BP82">
        <v>3</v>
      </c>
      <c r="BQ82">
        <v>8.6622500000000002</v>
      </c>
      <c r="BR82">
        <f t="shared" si="35"/>
        <v>0</v>
      </c>
      <c r="BS82">
        <f t="shared" si="36"/>
        <v>0.255202777777778</v>
      </c>
      <c r="BT82">
        <f t="shared" si="37"/>
        <v>3</v>
      </c>
      <c r="BU82">
        <f t="shared" si="38"/>
        <v>8.6622500000000002</v>
      </c>
      <c r="BV82">
        <f t="shared" si="39"/>
        <v>0</v>
      </c>
      <c r="BW82">
        <f t="shared" si="40"/>
        <v>0.26991111111111099</v>
      </c>
      <c r="BX82">
        <v>2</v>
      </c>
      <c r="BY82">
        <v>10.12307</v>
      </c>
      <c r="BZ82">
        <f t="shared" si="43"/>
        <v>0</v>
      </c>
      <c r="CA82">
        <f t="shared" si="44"/>
        <v>0.255202777777778</v>
      </c>
      <c r="CB82">
        <f>IF(CA82=BO82,BP82,IF(CA82=BS82,BT82,IF(CA82=BW82,BX82,0)))</f>
        <v>3</v>
      </c>
      <c r="CC82">
        <f>IF(CA82=BO82,BQ82,IF(CA82=BS82,BU82,IF(CA82=BW82,BY82,0)))</f>
        <v>8.6622500000000002</v>
      </c>
      <c r="CD82">
        <f t="shared" si="45"/>
        <v>0</v>
      </c>
      <c r="CE82">
        <f t="shared" si="46"/>
        <v>0.255202777777778</v>
      </c>
      <c r="CF82">
        <f>IF(CE82=BO82,BP82,IF(CE82=BS82,BT82,IF(CE82=BW82,BX82,IF(CE82=CA82,CB82,0))))</f>
        <v>3</v>
      </c>
      <c r="CG82">
        <f>IF(CE82=BO82,BQ82,IF(CE82=BS82,BU82,IF(CE82=BW82,BY82,IF(CE82=CA82,CC82,0))))</f>
        <v>8.6622500000000002</v>
      </c>
      <c r="CH82">
        <f t="shared" si="47"/>
        <v>0</v>
      </c>
      <c r="CI82">
        <f t="shared" si="48"/>
        <v>0.255202777777778</v>
      </c>
      <c r="CJ82">
        <f>IF(CI82=BO82,BP82,IF(CI82=BS82,BT82,IF(CI82=BW82,BX82,IF(CI82=CA82,CB82,IF(CI82=CE82,CF82,0)))))</f>
        <v>3</v>
      </c>
      <c r="CK82">
        <f>IF(CI82=BO82,BQ82,IF(CI82=BS82,BU82,IF(CI82=BW82,BY82,IF(CI82=CA82,CC82,IF(CI82=CE82,CG82,0)))))</f>
        <v>8.6622500000000002</v>
      </c>
      <c r="CL82">
        <f t="shared" si="49"/>
        <v>0</v>
      </c>
      <c r="CM82">
        <f t="shared" si="50"/>
        <v>0.255202777777778</v>
      </c>
      <c r="CN82">
        <f>IF(CM82=BO82,BP82,IF(CM82=BS82,BT82,IF(CM82=BW82,BX82,IF(CM82=CA82,CB82,IF(CM82=CE82,CF82,IF(CM82=CI82,CJ82,0))))))</f>
        <v>3</v>
      </c>
      <c r="CO82">
        <f>IF(CM82=BO82,BQ82,IF(CM82=BS82,BU82,IF(CM82=BW82,BY82,IF(CM82=CA82,CC82,IF(CM82=CE82,CG82,IF(CM82=CI82,CK82,0))))))</f>
        <v>8.6622500000000002</v>
      </c>
      <c r="CP82">
        <f t="shared" si="51"/>
        <v>0</v>
      </c>
      <c r="CQ82">
        <f t="shared" si="52"/>
        <v>0.255202777777778</v>
      </c>
      <c r="CR82">
        <f>IF(CQ82=BO82,BP82,IF(CQ82=BS82,BT82,IF(CQ82=BW82,BX82,IF(CQ82=CA82,CB82,IF(CQ82=CE82,CF82,IF(CQ82=CI82,CJ82,IF(CQ82=CM82,CN82,0)))))))</f>
        <v>3</v>
      </c>
      <c r="CS82">
        <f>IF(CQ82=BO82,BQ82,IF(CQ82=BS82,BU82,IF(CQ82=BW82,BY82,IF(CQ82=CA82,CC82,IF(CQ82=CE82,CG82,IF(CQ82=CI82,CK82,IF(CQ82=CM82,CO82,0)))))))</f>
        <v>8.6622500000000002</v>
      </c>
      <c r="CT82">
        <f t="shared" si="53"/>
        <v>0</v>
      </c>
      <c r="CU82">
        <f t="shared" si="54"/>
        <v>0.255202777777778</v>
      </c>
      <c r="CV82">
        <f>IF(CU82=BO82,BP82,IF(CU82=BS82,BT82,IF(CU82=BW82,BX82,IF(CU82=CA82,CB82,IF(CU82=CE82,CF82,IF(CU82=CI82,CJ82,IF(CU82=CM82,CN82,IF(CU82=CQ82,CR82,0))))))))</f>
        <v>3</v>
      </c>
      <c r="CW82">
        <f>IF(CU82=BO82,BQ82,IF(CU82=BS82,BU82,IF(CU82=BW82,BY82,IF(CU82=CA82,CC82,IF(CU82=CE82,CG82,IF(CU82=CI82,CK82,IF(CU82=CM82,CO82,IF(CU82=CQ82,CS82,0))))))))</f>
        <v>8.6622500000000002</v>
      </c>
      <c r="CX82">
        <f t="shared" si="55"/>
        <v>0</v>
      </c>
      <c r="CY82">
        <f t="shared" si="56"/>
        <v>0.255202777777778</v>
      </c>
      <c r="CZ82">
        <f>IF(CY82=BO82,BP82,IF(CY82=BS82,BT82,IF(CY82=BW82,BX82,IF(CY82=CA82,CB82,IF(CY82=CE82,CF82,IF(CY82=CI82,CJ82,IF(CY82=CM82,CN82,IF(CY82=CQ82,CR82,IF(CY82=CU82,CV82,0)))))))))</f>
        <v>3</v>
      </c>
      <c r="DA82">
        <f>IF(CY82=BO82,BQ82,IF(CY82=BS82,BU82,IF(CY82=BW82,BY82,IF(CY82=CA82,CC82,IF(CY82=CE82,CG82,IF(CY82=CI82,CK82,IF(CY82=CM82,CO82,IF(CY82=CQ82,CS82,IF(CY82=CU82,CW82,0)))))))))</f>
        <v>8.6622500000000002</v>
      </c>
      <c r="DB82">
        <f t="shared" si="57"/>
        <v>0</v>
      </c>
      <c r="DC82">
        <f t="shared" si="58"/>
        <v>0.255202777777778</v>
      </c>
      <c r="DD82">
        <f>IF(DC82=BO82,BP82,IF(DC82=BS82,BT82,IF(DC82=BW82,BX82,IF(DC82=CA82,CB82,IF(DC82=CE82,CF82,IF(DC82=CI82,CJ82,IF(DC82=CM82,CN82,IF(DC82=CQ82,CR82,IF(DC82=CU82,CV82,IF(DC82=CY82,CZ82,0))))))))))</f>
        <v>3</v>
      </c>
      <c r="DE82">
        <f>IF(DC82=BO82,BQ82,IF(DC82=BS82,BU82,IF(DC82=BW82,BY82,IF(DC82=CA82,CC82,IF(DC82=CE82,CG82,IF(DC82=CI82,CK82,IF(DC82=CM82,CO82,IF(DC82=CQ82,CS82,IF(DC82=CU82,CW82,IF(DC82=CY82,DA82,0))))))))))</f>
        <v>8.6622500000000002</v>
      </c>
      <c r="DF82">
        <f t="shared" si="59"/>
        <v>0</v>
      </c>
      <c r="DG82">
        <f t="shared" si="60"/>
        <v>0.255202777777778</v>
      </c>
      <c r="DH82">
        <f>IF(DG82=BO82,BP82,IF(DG82=BS82,BT82,IF(DG82=BW82,BX82,IF(DG82=CA82,CB82,IF(DG82=CE82,CF82,IF(DG82=CI82,CJ82,IF(DG82=CM82,CN82,IF(DG82=CQ82,CR82,IF(DG82=CU82,CV82,IF(DG82=CY82,CZ82,IF(DG82=DC82,DD82,0)))))))))))</f>
        <v>3</v>
      </c>
      <c r="DI82">
        <f>IF(DG82=BO82,BQ82,IF(DG82=BS82,BU82,IF(DG82=BW82,BY82,IF(DG82=CA82,CC82,IF(DG82=CE82,CG82,IF(DG82=CI82,CK82,IF(DG82=CM82,CO82,IF(DG82=CQ82,CS82,IF(DG82=CU82,CW82,IF(DG82=CY82,DA82,IF(DG82=DC82,DE82,0)))))))))))</f>
        <v>8.6622500000000002</v>
      </c>
      <c r="DJ82">
        <f t="shared" si="61"/>
        <v>0</v>
      </c>
      <c r="DK82">
        <f t="shared" si="62"/>
        <v>0.255202777777778</v>
      </c>
      <c r="DL82">
        <f>IF(DK82=BO82,BP82,IF(DK82=BS82,BT82,IF(DK82=BW82,BX82,IF(DK82=CA82,CB82,IF(DK82=CE82,CF82,IF(DK82=CI82,CJ82,IF(DK82=CM82,CN82,IF(DK82=CQ82,CR82,IF(DK82=CU82,CV82,IF(DK82=CY82,CZ82,IF(DK82=DC82,DD82,IF(DK82=DG82,DH82,0))))))))))))</f>
        <v>3</v>
      </c>
      <c r="DM82">
        <f>IF(DK82=BO82,BQ82,IF(DK82=BS82,BU82,IF(DK82=BW82,BY82,IF(DK82=CA82,CC82,IF(DK82=CE82,CG82,IF(DK82=CI82,CK82,IF(DK82=CM82,CO82,IF(DK82=CQ82,CS82,IF(DK82=CU82,CW82,IF(DK82=CY82,DA82,IF(DK82=DC82,DE82,IF(DK82=DG82,DI82,0))))))))))))</f>
        <v>8.6622500000000002</v>
      </c>
      <c r="DN82">
        <f t="shared" si="63"/>
        <v>0</v>
      </c>
      <c r="DO82">
        <f t="shared" si="64"/>
        <v>0.255202777777778</v>
      </c>
      <c r="DP82">
        <f>IF(DO82=BO82,BP82,IF(DO82=BS82,BT82,IF(DO82=BW82,BX82,IF(DO82=CA82,CB82,IF(DO82=CE82,CF82,IF(DO82=CI82,CJ82,IF(DO82=CM82,CN82,IF(DO82=CQ82,CR82,IF(DO82=CU82,CV82,IF(DO82=CY82,CZ82,IF(DO82=DC82,DD82,IF(DO82=DG82,DH82,IF(DO82=DK82,DL82,0)))))))))))))</f>
        <v>3</v>
      </c>
      <c r="DQ82">
        <f>IF(DO82=BO82,BQ82,IF(DO82=BS82,BU82,IF(DO82=BW82,BY82,IF(DO82=CA82,CC82,IF(DO82=CE82,CG82,IF(DO82=CI82,CK82,IF(DO82=CM82,CO82,IF(DO82=CQ82,CS82,IF(DO82=CU82,CW82,IF(DO82=CY82,DA82,IF(DO82=DC82,DE82,IF(DO82=DG82,DI82,IF(DO82=DK82,DM82,0)))))))))))))</f>
        <v>8.6622500000000002</v>
      </c>
      <c r="DR82">
        <f t="shared" si="65"/>
        <v>0</v>
      </c>
      <c r="DS82">
        <f t="shared" si="66"/>
        <v>0.255202777777778</v>
      </c>
      <c r="DT82">
        <f>IF(DS82=BO82,BP82,IF(DS82=BS82,BT82,IF(DS82=BW82,BX82,IF(DS82=CA82,CB82,IF(DS82=CE82,CF82,IF(DS82=CI82,CJ82,IF(DS82=CM82,CN82,IF(DS82=CQ82,CR82,IF(DS82=CU82,CV82,IF(DS82=CY82,CZ82,IF(DS82=DC82,DD82,IF(DS82=DG82,DH82,IF(DS82=DK82,DL82,IF(DS82=DO82,DP82,0))))))))))))))</f>
        <v>3</v>
      </c>
      <c r="DU82">
        <f>IF(DS82=BO82,BQ82,IF(DS82=BS82,BU82,IF(DS82=BW82,BY82,IF(DS82=CA82,CC82,IF(DS82=CE82,CG82,IF(DS82=CI82,CK82,IF(DS82=CM82,CO82,IF(DS82=CQ82,CS82,IF(DS82=CU82,CW82,IF(DS82=CY82,DA82,IF(DS82=DC82,DE82,IF(DS82=DG82,DI82,IF(DS82=DK82,DM82,IF(DS82=DO82,DQ82,0))))))))))))))</f>
        <v>8.6622500000000002</v>
      </c>
      <c r="DV82">
        <f t="shared" si="67"/>
        <v>0</v>
      </c>
      <c r="DW82">
        <v>31226.480769230799</v>
      </c>
      <c r="DX82">
        <v>3</v>
      </c>
      <c r="DY82">
        <v>0</v>
      </c>
      <c r="DZ82">
        <v>6</v>
      </c>
      <c r="EA82">
        <v>6</v>
      </c>
      <c r="EB82">
        <v>14.0364762223093</v>
      </c>
      <c r="EC82">
        <v>2</v>
      </c>
      <c r="ED82">
        <v>5.7580140000000002</v>
      </c>
      <c r="EE82">
        <v>0.255202777777778</v>
      </c>
      <c r="EF82">
        <v>8.6622500000000002</v>
      </c>
      <c r="EG82">
        <v>14.826603070871201</v>
      </c>
      <c r="EH82">
        <v>3</v>
      </c>
      <c r="EI82">
        <v>0</v>
      </c>
      <c r="EJ82">
        <v>1.50145666666667</v>
      </c>
      <c r="EK82">
        <v>1</v>
      </c>
      <c r="EL82">
        <v>0</v>
      </c>
      <c r="EM82">
        <v>22</v>
      </c>
      <c r="EN82">
        <v>0</v>
      </c>
      <c r="EO82">
        <v>2</v>
      </c>
      <c r="EP82">
        <v>4</v>
      </c>
      <c r="EQ82">
        <v>4</v>
      </c>
      <c r="ER82">
        <v>14.1987814663817</v>
      </c>
      <c r="ES82">
        <v>11.4661470910573</v>
      </c>
      <c r="ET82">
        <v>17.224161091057301</v>
      </c>
      <c r="EU82">
        <v>7.2471369425604699</v>
      </c>
      <c r="EV82">
        <v>8.7485936092271395</v>
      </c>
      <c r="EW82">
        <v>3.1493990666666698</v>
      </c>
      <c r="EX82">
        <v>9.6179390368499202</v>
      </c>
      <c r="EY82">
        <v>12.7673381035166</v>
      </c>
      <c r="EZ82">
        <v>1.50145666666667</v>
      </c>
      <c r="FA82">
        <v>7.2471369425604699</v>
      </c>
      <c r="FB82">
        <v>8.7485936092271395</v>
      </c>
      <c r="FC82">
        <v>1.50145666666667</v>
      </c>
      <c r="FD82">
        <v>7.2471369425604699</v>
      </c>
      <c r="FE82">
        <v>8.7485936092271395</v>
      </c>
      <c r="FF82">
        <v>1.7546654666666699</v>
      </c>
      <c r="FG82">
        <v>7.66481776402986</v>
      </c>
      <c r="FH82">
        <v>9.4194832306965193</v>
      </c>
    </row>
    <row r="83" spans="1:164" x14ac:dyDescent="0.2">
      <c r="A83">
        <v>82</v>
      </c>
      <c r="B83">
        <v>92</v>
      </c>
      <c r="C83">
        <v>143</v>
      </c>
      <c r="D83">
        <v>1</v>
      </c>
      <c r="E83">
        <v>11</v>
      </c>
      <c r="F83" t="s">
        <v>262</v>
      </c>
      <c r="G83" t="s">
        <v>263</v>
      </c>
      <c r="H83">
        <v>3</v>
      </c>
      <c r="I83">
        <v>4</v>
      </c>
      <c r="K83" t="s">
        <v>264</v>
      </c>
      <c r="L83">
        <v>1</v>
      </c>
      <c r="M83">
        <v>1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4</v>
      </c>
      <c r="AF83">
        <v>2</v>
      </c>
      <c r="AG83">
        <v>10</v>
      </c>
      <c r="AH83">
        <v>5</v>
      </c>
      <c r="AI83">
        <v>0.588513888888889</v>
      </c>
      <c r="AJ83">
        <v>31.318200000000001</v>
      </c>
      <c r="AK83">
        <v>0.441702777777778</v>
      </c>
      <c r="AL83">
        <v>11.01496</v>
      </c>
      <c r="AM83">
        <v>0.37234166666666701</v>
      </c>
      <c r="AN83">
        <v>11.93205</v>
      </c>
      <c r="AO83">
        <v>0.40744999999999998</v>
      </c>
      <c r="AP83">
        <v>17.426110000000001</v>
      </c>
      <c r="AQ83">
        <v>0.46285833333333298</v>
      </c>
      <c r="AR83">
        <v>16.566649999999999</v>
      </c>
      <c r="AS83">
        <v>0.50522222222222202</v>
      </c>
      <c r="AT83">
        <v>20.2685</v>
      </c>
      <c r="AU83">
        <v>0.49989722222222199</v>
      </c>
      <c r="AV83">
        <v>22.674910000000001</v>
      </c>
      <c r="AW83">
        <v>0.51344444444444404</v>
      </c>
      <c r="AX83">
        <v>26.56823</v>
      </c>
      <c r="AY83">
        <v>0.52343055555555595</v>
      </c>
      <c r="AZ83">
        <v>27.80696</v>
      </c>
      <c r="BA83">
        <v>0.53678055555555604</v>
      </c>
      <c r="BB83">
        <v>29.127680000000002</v>
      </c>
      <c r="BC83">
        <v>0.59761111111111098</v>
      </c>
      <c r="BD83">
        <v>30.452369999999998</v>
      </c>
      <c r="BE83">
        <v>0.60862777777777799</v>
      </c>
      <c r="BF83">
        <v>36.829340000000002</v>
      </c>
      <c r="BG83">
        <v>0.672502777777778</v>
      </c>
      <c r="BH83">
        <v>40.23218</v>
      </c>
      <c r="BI83">
        <v>0.71633055555555603</v>
      </c>
      <c r="BJ83">
        <v>42.206099999999999</v>
      </c>
      <c r="BK83">
        <v>0.784469444444444</v>
      </c>
      <c r="BL83">
        <v>49.021749999999997</v>
      </c>
      <c r="BM83">
        <v>0.825972222222222</v>
      </c>
      <c r="BN83">
        <v>51.014429999999997</v>
      </c>
      <c r="BO83">
        <f t="shared" si="34"/>
        <v>0.37234166666666701</v>
      </c>
      <c r="BP83">
        <v>2</v>
      </c>
      <c r="BQ83">
        <v>11.93205</v>
      </c>
      <c r="BR83">
        <f t="shared" si="35"/>
        <v>0</v>
      </c>
      <c r="BS83">
        <f t="shared" si="36"/>
        <v>0.40744999999999998</v>
      </c>
      <c r="BT83">
        <v>3</v>
      </c>
      <c r="BU83">
        <v>17.426110000000001</v>
      </c>
      <c r="BV83">
        <f t="shared" si="39"/>
        <v>0</v>
      </c>
      <c r="BW83">
        <f t="shared" si="40"/>
        <v>0.37234166666666701</v>
      </c>
      <c r="BX83">
        <f t="shared" si="41"/>
        <v>2</v>
      </c>
      <c r="BY83">
        <f t="shared" si="42"/>
        <v>11.93205</v>
      </c>
      <c r="BZ83">
        <f t="shared" si="43"/>
        <v>0</v>
      </c>
      <c r="CA83">
        <f t="shared" si="44"/>
        <v>0.37234166666666701</v>
      </c>
      <c r="CB83">
        <f>IF(CA83=BO83,BP83,IF(CA83=BS83,BT83,IF(CA83=BW83,BX83,0)))</f>
        <v>2</v>
      </c>
      <c r="CC83">
        <f>IF(CA83=BO83,BQ83,IF(CA83=BS83,BU83,IF(CA83=BW83,BY83,0)))</f>
        <v>11.93205</v>
      </c>
      <c r="CD83">
        <f t="shared" si="45"/>
        <v>0</v>
      </c>
      <c r="CE83">
        <f t="shared" si="46"/>
        <v>0.37234166666666701</v>
      </c>
      <c r="CF83">
        <f>IF(CE83=BO83,BP83,IF(CE83=BS83,BT83,IF(CE83=BW83,BX83,IF(CE83=CA83,CB83,0))))</f>
        <v>2</v>
      </c>
      <c r="CG83">
        <f>IF(CE83=BO83,BQ83,IF(CE83=BS83,BU83,IF(CE83=BW83,BY83,IF(CE83=CA83,CC83,0))))</f>
        <v>11.93205</v>
      </c>
      <c r="CH83">
        <f t="shared" si="47"/>
        <v>0</v>
      </c>
      <c r="CI83">
        <f t="shared" si="48"/>
        <v>0.37234166666666701</v>
      </c>
      <c r="CJ83">
        <f>IF(CI83=BO83,BP83,IF(CI83=BS83,BT83,IF(CI83=BW83,BX83,IF(CI83=CA83,CB83,IF(CI83=CE83,CF83,0)))))</f>
        <v>2</v>
      </c>
      <c r="CK83">
        <f>IF(CI83=BO83,BQ83,IF(CI83=BS83,BU83,IF(CI83=BW83,BY83,IF(CI83=CA83,CC83,IF(CI83=CE83,CG83,0)))))</f>
        <v>11.93205</v>
      </c>
      <c r="CL83">
        <f t="shared" si="49"/>
        <v>0</v>
      </c>
      <c r="CM83">
        <f t="shared" si="50"/>
        <v>0.37234166666666701</v>
      </c>
      <c r="CN83">
        <f>IF(CM83=BO83,BP83,IF(CM83=BS83,BT83,IF(CM83=BW83,BX83,IF(CM83=CA83,CB83,IF(CM83=CE83,CF83,IF(CM83=CI83,CJ83,0))))))</f>
        <v>2</v>
      </c>
      <c r="CO83">
        <f>IF(CM83=BO83,BQ83,IF(CM83=BS83,BU83,IF(CM83=BW83,BY83,IF(CM83=CA83,CC83,IF(CM83=CE83,CG83,IF(CM83=CI83,CK83,0))))))</f>
        <v>11.93205</v>
      </c>
      <c r="CP83">
        <f t="shared" si="51"/>
        <v>0</v>
      </c>
      <c r="CQ83">
        <f t="shared" si="52"/>
        <v>0.37234166666666701</v>
      </c>
      <c r="CR83">
        <f>IF(CQ83=BO83,BP83,IF(CQ83=BS83,BT83,IF(CQ83=BW83,BX83,IF(CQ83=CA83,CB83,IF(CQ83=CE83,CF83,IF(CQ83=CI83,CJ83,IF(CQ83=CM83,CN83,0)))))))</f>
        <v>2</v>
      </c>
      <c r="CS83">
        <f>IF(CQ83=BO83,BQ83,IF(CQ83=BS83,BU83,IF(CQ83=BW83,BY83,IF(CQ83=CA83,CC83,IF(CQ83=CE83,CG83,IF(CQ83=CI83,CK83,IF(CQ83=CM83,CO83,0)))))))</f>
        <v>11.93205</v>
      </c>
      <c r="CT83">
        <f t="shared" si="53"/>
        <v>0</v>
      </c>
      <c r="CU83">
        <f t="shared" si="54"/>
        <v>0.37234166666666701</v>
      </c>
      <c r="CV83">
        <f>IF(CU83=BO83,BP83,IF(CU83=BS83,BT83,IF(CU83=BW83,BX83,IF(CU83=CA83,CB83,IF(CU83=CE83,CF83,IF(CU83=CI83,CJ83,IF(CU83=CM83,CN83,IF(CU83=CQ83,CR83,0))))))))</f>
        <v>2</v>
      </c>
      <c r="CW83">
        <f>IF(CU83=BO83,BQ83,IF(CU83=BS83,BU83,IF(CU83=BW83,BY83,IF(CU83=CA83,CC83,IF(CU83=CE83,CG83,IF(CU83=CI83,CK83,IF(CU83=CM83,CO83,IF(CU83=CQ83,CS83,0))))))))</f>
        <v>11.93205</v>
      </c>
      <c r="CX83">
        <f t="shared" si="55"/>
        <v>0</v>
      </c>
      <c r="CY83">
        <f t="shared" si="56"/>
        <v>0.37234166666666701</v>
      </c>
      <c r="CZ83">
        <f>IF(CY83=BO83,BP83,IF(CY83=BS83,BT83,IF(CY83=BW83,BX83,IF(CY83=CA83,CB83,IF(CY83=CE83,CF83,IF(CY83=CI83,CJ83,IF(CY83=CM83,CN83,IF(CY83=CQ83,CR83,IF(CY83=CU83,CV83,0)))))))))</f>
        <v>2</v>
      </c>
      <c r="DA83">
        <f>IF(CY83=BO83,BQ83,IF(CY83=BS83,BU83,IF(CY83=BW83,BY83,IF(CY83=CA83,CC83,IF(CY83=CE83,CG83,IF(CY83=CI83,CK83,IF(CY83=CM83,CO83,IF(CY83=CQ83,CS83,IF(CY83=CU83,CW83,0)))))))))</f>
        <v>11.93205</v>
      </c>
      <c r="DB83">
        <f t="shared" si="57"/>
        <v>0</v>
      </c>
      <c r="DC83">
        <f t="shared" si="58"/>
        <v>0.37234166666666701</v>
      </c>
      <c r="DD83">
        <f>IF(DC83=BO83,BP83,IF(DC83=BS83,BT83,IF(DC83=BW83,BX83,IF(DC83=CA83,CB83,IF(DC83=CE83,CF83,IF(DC83=CI83,CJ83,IF(DC83=CM83,CN83,IF(DC83=CQ83,CR83,IF(DC83=CU83,CV83,IF(DC83=CY83,CZ83,0))))))))))</f>
        <v>2</v>
      </c>
      <c r="DE83">
        <f>IF(DC83=BO83,BQ83,IF(DC83=BS83,BU83,IF(DC83=BW83,BY83,IF(DC83=CA83,CC83,IF(DC83=CE83,CG83,IF(DC83=CI83,CK83,IF(DC83=CM83,CO83,IF(DC83=CQ83,CS83,IF(DC83=CU83,CW83,IF(DC83=CY83,DA83,0))))))))))</f>
        <v>11.93205</v>
      </c>
      <c r="DF83">
        <f t="shared" si="59"/>
        <v>0</v>
      </c>
      <c r="DG83">
        <f t="shared" si="60"/>
        <v>0.37234166666666701</v>
      </c>
      <c r="DH83">
        <f>IF(DG83=BO83,BP83,IF(DG83=BS83,BT83,IF(DG83=BW83,BX83,IF(DG83=CA83,CB83,IF(DG83=CE83,CF83,IF(DG83=CI83,CJ83,IF(DG83=CM83,CN83,IF(DG83=CQ83,CR83,IF(DG83=CU83,CV83,IF(DG83=CY83,CZ83,IF(DG83=DC83,DD83,0)))))))))))</f>
        <v>2</v>
      </c>
      <c r="DI83">
        <f>IF(DG83=BO83,BQ83,IF(DG83=BS83,BU83,IF(DG83=BW83,BY83,IF(DG83=CA83,CC83,IF(DG83=CE83,CG83,IF(DG83=CI83,CK83,IF(DG83=CM83,CO83,IF(DG83=CQ83,CS83,IF(DG83=CU83,CW83,IF(DG83=CY83,DA83,IF(DG83=DC83,DE83,0)))))))))))</f>
        <v>11.93205</v>
      </c>
      <c r="DJ83">
        <f t="shared" si="61"/>
        <v>0</v>
      </c>
      <c r="DK83">
        <f t="shared" si="62"/>
        <v>0.37234166666666701</v>
      </c>
      <c r="DL83">
        <f>IF(DK83=BO83,BP83,IF(DK83=BS83,BT83,IF(DK83=BW83,BX83,IF(DK83=CA83,CB83,IF(DK83=CE83,CF83,IF(DK83=CI83,CJ83,IF(DK83=CM83,CN83,IF(DK83=CQ83,CR83,IF(DK83=CU83,CV83,IF(DK83=CY83,CZ83,IF(DK83=DC83,DD83,IF(DK83=DG83,DH83,0))))))))))))</f>
        <v>2</v>
      </c>
      <c r="DM83">
        <f>IF(DK83=BO83,BQ83,IF(DK83=BS83,BU83,IF(DK83=BW83,BY83,IF(DK83=CA83,CC83,IF(DK83=CE83,CG83,IF(DK83=CI83,CK83,IF(DK83=CM83,CO83,IF(DK83=CQ83,CS83,IF(DK83=CU83,CW83,IF(DK83=CY83,DA83,IF(DK83=DC83,DE83,IF(DK83=DG83,DI83,0))))))))))))</f>
        <v>11.93205</v>
      </c>
      <c r="DN83">
        <f t="shared" si="63"/>
        <v>0</v>
      </c>
      <c r="DO83">
        <f t="shared" si="64"/>
        <v>0.37234166666666701</v>
      </c>
      <c r="DP83">
        <f>IF(DO83=BO83,BP83,IF(DO83=BS83,BT83,IF(DO83=BW83,BX83,IF(DO83=CA83,CB83,IF(DO83=CE83,CF83,IF(DO83=CI83,CJ83,IF(DO83=CM83,CN83,IF(DO83=CQ83,CR83,IF(DO83=CU83,CV83,IF(DO83=CY83,CZ83,IF(DO83=DC83,DD83,IF(DO83=DG83,DH83,IF(DO83=DK83,DL83,0)))))))))))))</f>
        <v>2</v>
      </c>
      <c r="DQ83">
        <f>IF(DO83=BO83,BQ83,IF(DO83=BS83,BU83,IF(DO83=BW83,BY83,IF(DO83=CA83,CC83,IF(DO83=CE83,CG83,IF(DO83=CI83,CK83,IF(DO83=CM83,CO83,IF(DO83=CQ83,CS83,IF(DO83=CU83,CW83,IF(DO83=CY83,DA83,IF(DO83=DC83,DE83,IF(DO83=DG83,DI83,IF(DO83=DK83,DM83,0)))))))))))))</f>
        <v>11.93205</v>
      </c>
      <c r="DR83">
        <f t="shared" si="65"/>
        <v>0</v>
      </c>
      <c r="DS83">
        <f t="shared" si="66"/>
        <v>0.37234166666666701</v>
      </c>
      <c r="DT83">
        <f>IF(DS83=BO83,BP83,IF(DS83=BS83,BT83,IF(DS83=BW83,BX83,IF(DS83=CA83,CB83,IF(DS83=CE83,CF83,IF(DS83=CI83,CJ83,IF(DS83=CM83,CN83,IF(DS83=CQ83,CR83,IF(DS83=CU83,CV83,IF(DS83=CY83,CZ83,IF(DS83=DC83,DD83,IF(DS83=DG83,DH83,IF(DS83=DK83,DL83,IF(DS83=DO83,DP83,0))))))))))))))</f>
        <v>2</v>
      </c>
      <c r="DU83">
        <f>IF(DS83=BO83,BQ83,IF(DS83=BS83,BU83,IF(DS83=BW83,BY83,IF(DS83=CA83,CC83,IF(DS83=CE83,CG83,IF(DS83=CI83,CK83,IF(DS83=CM83,CO83,IF(DS83=CQ83,CS83,IF(DS83=CU83,CW83,IF(DS83=CY83,DA83,IF(DS83=DC83,DE83,IF(DS83=DG83,DI83,IF(DS83=DK83,DM83,IF(DS83=DO83,DQ83,0))))))))))))))</f>
        <v>11.93205</v>
      </c>
      <c r="DV83">
        <f t="shared" si="67"/>
        <v>0</v>
      </c>
      <c r="DW83">
        <v>7500</v>
      </c>
      <c r="DX83">
        <v>2</v>
      </c>
      <c r="DY83">
        <v>0</v>
      </c>
      <c r="DZ83">
        <v>2</v>
      </c>
      <c r="EA83">
        <v>2</v>
      </c>
      <c r="EB83">
        <v>3.37129157926281</v>
      </c>
      <c r="EC83">
        <v>1</v>
      </c>
      <c r="ED83">
        <v>9.1427320000000005</v>
      </c>
      <c r="EE83">
        <v>0.37234166666666701</v>
      </c>
      <c r="EF83">
        <v>11.93205</v>
      </c>
      <c r="EG83">
        <v>8.1998868265001796</v>
      </c>
      <c r="EH83">
        <v>2</v>
      </c>
      <c r="EI83">
        <v>0</v>
      </c>
      <c r="EJ83">
        <v>3.1023329999999998</v>
      </c>
      <c r="EK83">
        <v>1</v>
      </c>
      <c r="EL83">
        <v>0</v>
      </c>
      <c r="EM83">
        <v>23</v>
      </c>
      <c r="EN83">
        <v>1</v>
      </c>
      <c r="EO83">
        <v>4</v>
      </c>
      <c r="EP83">
        <v>5</v>
      </c>
      <c r="EQ83">
        <v>2</v>
      </c>
      <c r="ER83">
        <v>14.1987814663817</v>
      </c>
      <c r="ES83">
        <v>16.712360196527499</v>
      </c>
      <c r="ET83">
        <v>25.855092196527501</v>
      </c>
      <c r="EU83">
        <v>10.5735959116567</v>
      </c>
      <c r="EV83">
        <v>13.675928911656699</v>
      </c>
      <c r="EW83">
        <v>7.2298096000000003</v>
      </c>
      <c r="EX83">
        <v>14.864152142320201</v>
      </c>
      <c r="EY83">
        <v>22.0939617423202</v>
      </c>
      <c r="EZ83">
        <v>3.1023329999999998</v>
      </c>
      <c r="FA83">
        <v>10.5735959116567</v>
      </c>
      <c r="FB83">
        <v>13.675928911656699</v>
      </c>
      <c r="FC83">
        <v>4.5307886000000002</v>
      </c>
      <c r="FD83">
        <v>11.5705870169544</v>
      </c>
      <c r="FE83">
        <v>16.1013756169544</v>
      </c>
      <c r="FF83">
        <v>3.1023329999999998</v>
      </c>
      <c r="FG83">
        <v>10.5735959116567</v>
      </c>
      <c r="FH83">
        <v>13.675928911656699</v>
      </c>
    </row>
    <row r="84" spans="1:164" x14ac:dyDescent="0.2">
      <c r="A84">
        <v>83</v>
      </c>
      <c r="B84">
        <v>93</v>
      </c>
      <c r="C84">
        <v>144</v>
      </c>
      <c r="D84">
        <v>3</v>
      </c>
      <c r="E84">
        <v>12</v>
      </c>
      <c r="F84" t="s">
        <v>101</v>
      </c>
      <c r="G84" t="s">
        <v>265</v>
      </c>
      <c r="H84">
        <v>3</v>
      </c>
      <c r="I84">
        <v>3</v>
      </c>
      <c r="K84" t="s">
        <v>266</v>
      </c>
      <c r="L84">
        <v>0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3</v>
      </c>
      <c r="AC84">
        <v>0</v>
      </c>
      <c r="AD84">
        <v>5</v>
      </c>
      <c r="AE84">
        <v>10</v>
      </c>
      <c r="AF84">
        <v>5</v>
      </c>
      <c r="AG84">
        <v>5</v>
      </c>
      <c r="AH84">
        <v>4</v>
      </c>
      <c r="AI84">
        <v>0.41174722222222199</v>
      </c>
      <c r="AJ84">
        <v>22.39827</v>
      </c>
      <c r="AK84">
        <v>0.38112222222222197</v>
      </c>
      <c r="AL84">
        <v>11.31263</v>
      </c>
      <c r="AM84">
        <v>0.27846666666666697</v>
      </c>
      <c r="AN84">
        <v>10.57009</v>
      </c>
      <c r="AO84">
        <v>0.26375833333333298</v>
      </c>
      <c r="AP84">
        <v>9.1092600000000008</v>
      </c>
      <c r="AQ84">
        <v>0.32668611111111101</v>
      </c>
      <c r="AR84">
        <v>11.181150000000001</v>
      </c>
      <c r="AS84">
        <v>0.32042777777777798</v>
      </c>
      <c r="AT84">
        <v>10.866350000000001</v>
      </c>
      <c r="AU84">
        <v>0.31509999999999999</v>
      </c>
      <c r="AV84">
        <v>13.27276</v>
      </c>
      <c r="AW84">
        <v>0.33667777777777802</v>
      </c>
      <c r="AX84">
        <v>17.648299999999999</v>
      </c>
      <c r="AY84">
        <v>0.34666388888888899</v>
      </c>
      <c r="AZ84">
        <v>18.887039999999999</v>
      </c>
      <c r="BA84">
        <v>0.36001388888888902</v>
      </c>
      <c r="BB84">
        <v>20.207750000000001</v>
      </c>
      <c r="BC84">
        <v>0.420841666666667</v>
      </c>
      <c r="BD84">
        <v>21.532440000000001</v>
      </c>
      <c r="BE84">
        <v>0.43186111111111097</v>
      </c>
      <c r="BF84">
        <v>27.909400000000002</v>
      </c>
      <c r="BG84">
        <v>0.49573611111111099</v>
      </c>
      <c r="BH84">
        <v>31.312259999999998</v>
      </c>
      <c r="BI84">
        <v>0.53956111111111105</v>
      </c>
      <c r="BJ84">
        <v>33.286169999999998</v>
      </c>
      <c r="BK84">
        <v>0.60770277777777804</v>
      </c>
      <c r="BL84">
        <v>40.101819999999996</v>
      </c>
      <c r="BM84">
        <v>0.64920555555555504</v>
      </c>
      <c r="BN84">
        <v>42.094499999999996</v>
      </c>
      <c r="BO84">
        <f t="shared" si="34"/>
        <v>0.26375833333333298</v>
      </c>
      <c r="BP84">
        <v>3</v>
      </c>
      <c r="BQ84">
        <v>9.1092600000000008</v>
      </c>
      <c r="BR84">
        <f t="shared" si="35"/>
        <v>0</v>
      </c>
      <c r="BS84">
        <f t="shared" si="36"/>
        <v>0.26375833333333298</v>
      </c>
      <c r="BT84">
        <f t="shared" si="37"/>
        <v>3</v>
      </c>
      <c r="BU84">
        <f t="shared" si="38"/>
        <v>9.1092600000000008</v>
      </c>
      <c r="BV84">
        <f t="shared" si="39"/>
        <v>0</v>
      </c>
      <c r="BW84">
        <f t="shared" si="40"/>
        <v>0.27846666666666697</v>
      </c>
      <c r="BX84">
        <v>2</v>
      </c>
      <c r="BY84">
        <v>10.57009</v>
      </c>
      <c r="BZ84">
        <f t="shared" si="43"/>
        <v>0</v>
      </c>
      <c r="CA84">
        <f t="shared" si="44"/>
        <v>0.26375833333333298</v>
      </c>
      <c r="CB84">
        <f>IF(CA84=BO84,BP84,IF(CA84=BS84,BT84,IF(CA84=BW84,BX84,0)))</f>
        <v>3</v>
      </c>
      <c r="CC84">
        <f>IF(CA84=BO84,BQ84,IF(CA84=BS84,BU84,IF(CA84=BW84,BY84,0)))</f>
        <v>9.1092600000000008</v>
      </c>
      <c r="CD84">
        <f t="shared" si="45"/>
        <v>0</v>
      </c>
      <c r="CE84">
        <f t="shared" si="46"/>
        <v>0.26375833333333298</v>
      </c>
      <c r="CF84">
        <f>IF(CE84=BO84,BP84,IF(CE84=BS84,BT84,IF(CE84=BW84,BX84,IF(CE84=CA84,CB84,0))))</f>
        <v>3</v>
      </c>
      <c r="CG84">
        <f>IF(CE84=BO84,BQ84,IF(CE84=BS84,BU84,IF(CE84=BW84,BY84,IF(CE84=CA84,CC84,0))))</f>
        <v>9.1092600000000008</v>
      </c>
      <c r="CH84">
        <f t="shared" si="47"/>
        <v>0</v>
      </c>
      <c r="CI84">
        <f t="shared" si="48"/>
        <v>0.26375833333333298</v>
      </c>
      <c r="CJ84">
        <f>IF(CI84=BO84,BP84,IF(CI84=BS84,BT84,IF(CI84=BW84,BX84,IF(CI84=CA84,CB84,IF(CI84=CE84,CF84,0)))))</f>
        <v>3</v>
      </c>
      <c r="CK84">
        <f>IF(CI84=BO84,BQ84,IF(CI84=BS84,BU84,IF(CI84=BW84,BY84,IF(CI84=CA84,CC84,IF(CI84=CE84,CG84,0)))))</f>
        <v>9.1092600000000008</v>
      </c>
      <c r="CL84">
        <f t="shared" si="49"/>
        <v>0</v>
      </c>
      <c r="CM84">
        <f t="shared" si="50"/>
        <v>0.26375833333333298</v>
      </c>
      <c r="CN84">
        <f>IF(CM84=BO84,BP84,IF(CM84=BS84,BT84,IF(CM84=BW84,BX84,IF(CM84=CA84,CB84,IF(CM84=CE84,CF84,IF(CM84=CI84,CJ84,0))))))</f>
        <v>3</v>
      </c>
      <c r="CO84">
        <f>IF(CM84=BO84,BQ84,IF(CM84=BS84,BU84,IF(CM84=BW84,BY84,IF(CM84=CA84,CC84,IF(CM84=CE84,CG84,IF(CM84=CI84,CK84,0))))))</f>
        <v>9.1092600000000008</v>
      </c>
      <c r="CP84">
        <f t="shared" si="51"/>
        <v>0</v>
      </c>
      <c r="CQ84">
        <f t="shared" si="52"/>
        <v>0.26375833333333298</v>
      </c>
      <c r="CR84">
        <f>IF(CQ84=BO84,BP84,IF(CQ84=BS84,BT84,IF(CQ84=BW84,BX84,IF(CQ84=CA84,CB84,IF(CQ84=CE84,CF84,IF(CQ84=CI84,CJ84,IF(CQ84=CM84,CN84,0)))))))</f>
        <v>3</v>
      </c>
      <c r="CS84">
        <f>IF(CQ84=BO84,BQ84,IF(CQ84=BS84,BU84,IF(CQ84=BW84,BY84,IF(CQ84=CA84,CC84,IF(CQ84=CE84,CG84,IF(CQ84=CI84,CK84,IF(CQ84=CM84,CO84,0)))))))</f>
        <v>9.1092600000000008</v>
      </c>
      <c r="CT84">
        <f t="shared" si="53"/>
        <v>0</v>
      </c>
      <c r="CU84">
        <f t="shared" si="54"/>
        <v>0.26375833333333298</v>
      </c>
      <c r="CV84">
        <f>IF(CU84=BO84,BP84,IF(CU84=BS84,BT84,IF(CU84=BW84,BX84,IF(CU84=CA84,CB84,IF(CU84=CE84,CF84,IF(CU84=CI84,CJ84,IF(CU84=CM84,CN84,IF(CU84=CQ84,CR84,0))))))))</f>
        <v>3</v>
      </c>
      <c r="CW84">
        <f>IF(CU84=BO84,BQ84,IF(CU84=BS84,BU84,IF(CU84=BW84,BY84,IF(CU84=CA84,CC84,IF(CU84=CE84,CG84,IF(CU84=CI84,CK84,IF(CU84=CM84,CO84,IF(CU84=CQ84,CS84,0))))))))</f>
        <v>9.1092600000000008</v>
      </c>
      <c r="CX84">
        <f t="shared" si="55"/>
        <v>0</v>
      </c>
      <c r="CY84">
        <f t="shared" si="56"/>
        <v>0.26375833333333298</v>
      </c>
      <c r="CZ84">
        <f>IF(CY84=BO84,BP84,IF(CY84=BS84,BT84,IF(CY84=BW84,BX84,IF(CY84=CA84,CB84,IF(CY84=CE84,CF84,IF(CY84=CI84,CJ84,IF(CY84=CM84,CN84,IF(CY84=CQ84,CR84,IF(CY84=CU84,CV84,0)))))))))</f>
        <v>3</v>
      </c>
      <c r="DA84">
        <f>IF(CY84=BO84,BQ84,IF(CY84=BS84,BU84,IF(CY84=BW84,BY84,IF(CY84=CA84,CC84,IF(CY84=CE84,CG84,IF(CY84=CI84,CK84,IF(CY84=CM84,CO84,IF(CY84=CQ84,CS84,IF(CY84=CU84,CW84,0)))))))))</f>
        <v>9.1092600000000008</v>
      </c>
      <c r="DB84">
        <f t="shared" si="57"/>
        <v>0</v>
      </c>
      <c r="DC84">
        <f t="shared" si="58"/>
        <v>0.26375833333333298</v>
      </c>
      <c r="DD84">
        <f>IF(DC84=BO84,BP84,IF(DC84=BS84,BT84,IF(DC84=BW84,BX84,IF(DC84=CA84,CB84,IF(DC84=CE84,CF84,IF(DC84=CI84,CJ84,IF(DC84=CM84,CN84,IF(DC84=CQ84,CR84,IF(DC84=CU84,CV84,IF(DC84=CY84,CZ84,0))))))))))</f>
        <v>3</v>
      </c>
      <c r="DE84">
        <f>IF(DC84=BO84,BQ84,IF(DC84=BS84,BU84,IF(DC84=BW84,BY84,IF(DC84=CA84,CC84,IF(DC84=CE84,CG84,IF(DC84=CI84,CK84,IF(DC84=CM84,CO84,IF(DC84=CQ84,CS84,IF(DC84=CU84,CW84,IF(DC84=CY84,DA84,0))))))))))</f>
        <v>9.1092600000000008</v>
      </c>
      <c r="DF84">
        <f t="shared" si="59"/>
        <v>0</v>
      </c>
      <c r="DG84">
        <f t="shared" si="60"/>
        <v>0.26375833333333298</v>
      </c>
      <c r="DH84">
        <f>IF(DG84=BO84,BP84,IF(DG84=BS84,BT84,IF(DG84=BW84,BX84,IF(DG84=CA84,CB84,IF(DG84=CE84,CF84,IF(DG84=CI84,CJ84,IF(DG84=CM84,CN84,IF(DG84=CQ84,CR84,IF(DG84=CU84,CV84,IF(DG84=CY84,CZ84,IF(DG84=DC84,DD84,0)))))))))))</f>
        <v>3</v>
      </c>
      <c r="DI84">
        <f>IF(DG84=BO84,BQ84,IF(DG84=BS84,BU84,IF(DG84=BW84,BY84,IF(DG84=CA84,CC84,IF(DG84=CE84,CG84,IF(DG84=CI84,CK84,IF(DG84=CM84,CO84,IF(DG84=CQ84,CS84,IF(DG84=CU84,CW84,IF(DG84=CY84,DA84,IF(DG84=DC84,DE84,0)))))))))))</f>
        <v>9.1092600000000008</v>
      </c>
      <c r="DJ84">
        <f t="shared" si="61"/>
        <v>0</v>
      </c>
      <c r="DK84">
        <f t="shared" si="62"/>
        <v>0.26375833333333298</v>
      </c>
      <c r="DL84">
        <f>IF(DK84=BO84,BP84,IF(DK84=BS84,BT84,IF(DK84=BW84,BX84,IF(DK84=CA84,CB84,IF(DK84=CE84,CF84,IF(DK84=CI84,CJ84,IF(DK84=CM84,CN84,IF(DK84=CQ84,CR84,IF(DK84=CU84,CV84,IF(DK84=CY84,CZ84,IF(DK84=DC84,DD84,IF(DK84=DG84,DH84,0))))))))))))</f>
        <v>3</v>
      </c>
      <c r="DM84">
        <f>IF(DK84=BO84,BQ84,IF(DK84=BS84,BU84,IF(DK84=BW84,BY84,IF(DK84=CA84,CC84,IF(DK84=CE84,CG84,IF(DK84=CI84,CK84,IF(DK84=CM84,CO84,IF(DK84=CQ84,CS84,IF(DK84=CU84,CW84,IF(DK84=CY84,DA84,IF(DK84=DC84,DE84,IF(DK84=DG84,DI84,0))))))))))))</f>
        <v>9.1092600000000008</v>
      </c>
      <c r="DN84">
        <f t="shared" si="63"/>
        <v>0</v>
      </c>
      <c r="DO84">
        <f t="shared" si="64"/>
        <v>0.26375833333333298</v>
      </c>
      <c r="DP84">
        <f>IF(DO84=BO84,BP84,IF(DO84=BS84,BT84,IF(DO84=BW84,BX84,IF(DO84=CA84,CB84,IF(DO84=CE84,CF84,IF(DO84=CI84,CJ84,IF(DO84=CM84,CN84,IF(DO84=CQ84,CR84,IF(DO84=CU84,CV84,IF(DO84=CY84,CZ84,IF(DO84=DC84,DD84,IF(DO84=DG84,DH84,IF(DO84=DK84,DL84,0)))))))))))))</f>
        <v>3</v>
      </c>
      <c r="DQ84">
        <f>IF(DO84=BO84,BQ84,IF(DO84=BS84,BU84,IF(DO84=BW84,BY84,IF(DO84=CA84,CC84,IF(DO84=CE84,CG84,IF(DO84=CI84,CK84,IF(DO84=CM84,CO84,IF(DO84=CQ84,CS84,IF(DO84=CU84,CW84,IF(DO84=CY84,DA84,IF(DO84=DC84,DE84,IF(DO84=DG84,DI84,IF(DO84=DK84,DM84,0)))))))))))))</f>
        <v>9.1092600000000008</v>
      </c>
      <c r="DR84">
        <f t="shared" si="65"/>
        <v>0</v>
      </c>
      <c r="DS84">
        <f t="shared" si="66"/>
        <v>0.26375833333333298</v>
      </c>
      <c r="DT84">
        <f>IF(DS84=BO84,BP84,IF(DS84=BS84,BT84,IF(DS84=BW84,BX84,IF(DS84=CA84,CB84,IF(DS84=CE84,CF84,IF(DS84=CI84,CJ84,IF(DS84=CM84,CN84,IF(DS84=CQ84,CR84,IF(DS84=CU84,CV84,IF(DS84=CY84,CZ84,IF(DS84=DC84,DD84,IF(DS84=DG84,DH84,IF(DS84=DK84,DL84,IF(DS84=DO84,DP84,0))))))))))))))</f>
        <v>3</v>
      </c>
      <c r="DU84">
        <f>IF(DS84=BO84,BQ84,IF(DS84=BS84,BU84,IF(DS84=BW84,BY84,IF(DS84=CA84,CC84,IF(DS84=CE84,CG84,IF(DS84=CI84,CK84,IF(DS84=CM84,CO84,IF(DS84=CQ84,CS84,IF(DS84=CU84,CW84,IF(DS84=CY84,DA84,IF(DS84=DC84,DE84,IF(DS84=DG84,DI84,IF(DS84=DK84,DM84,IF(DS84=DO84,DQ84,0))))))))))))))</f>
        <v>9.1092600000000008</v>
      </c>
      <c r="DV84">
        <f t="shared" si="67"/>
        <v>0</v>
      </c>
      <c r="DW84">
        <v>31226.480769230799</v>
      </c>
      <c r="DX84">
        <v>2</v>
      </c>
      <c r="DY84">
        <v>0</v>
      </c>
      <c r="DZ84">
        <v>6</v>
      </c>
      <c r="EA84">
        <v>6</v>
      </c>
      <c r="EB84">
        <v>14.0364762223093</v>
      </c>
      <c r="EC84">
        <v>3</v>
      </c>
      <c r="ED84">
        <v>8.8235501999999997</v>
      </c>
      <c r="EE84">
        <v>0.26375833333333298</v>
      </c>
      <c r="EF84">
        <v>9.1092600000000008</v>
      </c>
      <c r="EG84">
        <v>16.870279102492098</v>
      </c>
      <c r="EH84">
        <v>3</v>
      </c>
      <c r="EI84">
        <v>0</v>
      </c>
      <c r="EJ84">
        <v>2.3684075999999998</v>
      </c>
      <c r="EK84">
        <v>1</v>
      </c>
      <c r="EL84">
        <v>0</v>
      </c>
      <c r="EM84">
        <v>23</v>
      </c>
      <c r="EN84">
        <v>1</v>
      </c>
      <c r="EO84">
        <v>2</v>
      </c>
      <c r="EP84">
        <v>4</v>
      </c>
      <c r="EQ84">
        <v>5</v>
      </c>
      <c r="ER84">
        <v>14.1987814663817</v>
      </c>
      <c r="ES84">
        <v>11.692617655446</v>
      </c>
      <c r="ET84">
        <v>20.516167855446</v>
      </c>
      <c r="EU84">
        <v>7.4900938698740998</v>
      </c>
      <c r="EV84">
        <v>9.8585014698740991</v>
      </c>
      <c r="EW84">
        <v>4.9106303999999996</v>
      </c>
      <c r="EX84">
        <v>9.8444096012387092</v>
      </c>
      <c r="EY84">
        <v>14.755040001238701</v>
      </c>
      <c r="EZ84">
        <v>2.3684075999999998</v>
      </c>
      <c r="FA84">
        <v>7.4900938698740998</v>
      </c>
      <c r="FB84">
        <v>9.8585014698740991</v>
      </c>
      <c r="FC84">
        <v>2.3684075999999998</v>
      </c>
      <c r="FD84">
        <v>7.4900938698740998</v>
      </c>
      <c r="FE84">
        <v>9.8585014698740991</v>
      </c>
      <c r="FF84">
        <v>2.7482234000000001</v>
      </c>
      <c r="FG84">
        <v>7.9077746913435103</v>
      </c>
      <c r="FH84">
        <v>10.6559980913435</v>
      </c>
    </row>
    <row r="85" spans="1:164" x14ac:dyDescent="0.2">
      <c r="A85">
        <v>84</v>
      </c>
      <c r="B85">
        <v>94</v>
      </c>
      <c r="C85">
        <v>145</v>
      </c>
      <c r="D85">
        <v>3</v>
      </c>
      <c r="E85">
        <v>12</v>
      </c>
      <c r="F85" t="s">
        <v>158</v>
      </c>
      <c r="G85" t="s">
        <v>158</v>
      </c>
      <c r="H85">
        <v>3</v>
      </c>
      <c r="I85">
        <v>3</v>
      </c>
      <c r="K85" t="s">
        <v>267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3</v>
      </c>
      <c r="AC85">
        <v>2</v>
      </c>
      <c r="AD85">
        <v>6</v>
      </c>
      <c r="AE85">
        <v>12</v>
      </c>
      <c r="AF85">
        <v>6</v>
      </c>
      <c r="AG85">
        <v>7</v>
      </c>
      <c r="AH85">
        <v>6</v>
      </c>
      <c r="AI85">
        <v>0.66403888888888896</v>
      </c>
      <c r="AJ85">
        <v>28.448689999999999</v>
      </c>
      <c r="AK85">
        <v>0.64173333333333304</v>
      </c>
      <c r="AL85">
        <v>27.103840000000002</v>
      </c>
      <c r="AM85">
        <v>0.54488333333333305</v>
      </c>
      <c r="AN85">
        <v>26.305689999999998</v>
      </c>
      <c r="AO85">
        <v>0.53017222222222204</v>
      </c>
      <c r="AP85">
        <v>24.84487</v>
      </c>
      <c r="AQ85">
        <v>0.59309999999999996</v>
      </c>
      <c r="AR85">
        <v>26.91675</v>
      </c>
      <c r="AS85">
        <v>0.59069166666666695</v>
      </c>
      <c r="AT85">
        <v>21.907520000000002</v>
      </c>
      <c r="AU85">
        <v>0.58536666666666703</v>
      </c>
      <c r="AV85">
        <v>24.31392</v>
      </c>
      <c r="AW85">
        <v>0.60694444444444395</v>
      </c>
      <c r="AX85">
        <v>28.68946</v>
      </c>
      <c r="AY85">
        <v>0.61692777777777796</v>
      </c>
      <c r="AZ85">
        <v>29.9282</v>
      </c>
      <c r="BA85">
        <v>0.63028055555555595</v>
      </c>
      <c r="BB85">
        <v>31.248909999999999</v>
      </c>
      <c r="BC85">
        <v>0.67662222222222201</v>
      </c>
      <c r="BD85">
        <v>28.959720000000001</v>
      </c>
      <c r="BE85">
        <v>0.70212777777777802</v>
      </c>
      <c r="BF85">
        <v>38.950569999999999</v>
      </c>
      <c r="BG85">
        <v>0.763252777777778</v>
      </c>
      <c r="BH85">
        <v>35.368819999999999</v>
      </c>
      <c r="BI85">
        <v>0.80708055555555502</v>
      </c>
      <c r="BJ85">
        <v>37.342739999999999</v>
      </c>
      <c r="BK85">
        <v>0.87103888888888903</v>
      </c>
      <c r="BL85">
        <v>54.698259999999998</v>
      </c>
      <c r="BM85">
        <v>0.89361111111111102</v>
      </c>
      <c r="BN85">
        <v>54.285490000000003</v>
      </c>
      <c r="BO85">
        <f t="shared" si="34"/>
        <v>0.53017222222222204</v>
      </c>
      <c r="BP85">
        <v>3</v>
      </c>
      <c r="BQ85">
        <v>24.84487</v>
      </c>
      <c r="BR85">
        <f t="shared" si="35"/>
        <v>0</v>
      </c>
      <c r="BS85">
        <f t="shared" si="36"/>
        <v>0.53017222222222204</v>
      </c>
      <c r="BT85">
        <f t="shared" si="37"/>
        <v>3</v>
      </c>
      <c r="BU85">
        <f t="shared" si="38"/>
        <v>24.84487</v>
      </c>
      <c r="BV85">
        <f t="shared" si="39"/>
        <v>0</v>
      </c>
      <c r="BW85">
        <f t="shared" si="40"/>
        <v>0.54488333333333305</v>
      </c>
      <c r="BX85">
        <v>2</v>
      </c>
      <c r="BY85">
        <v>26.305689999999998</v>
      </c>
      <c r="BZ85">
        <f t="shared" si="43"/>
        <v>0</v>
      </c>
      <c r="CA85">
        <f t="shared" si="44"/>
        <v>0.53017222222222204</v>
      </c>
      <c r="CB85">
        <f>IF(CA85=BO85,BP85,IF(CA85=BS85,BT85,IF(CA85=BW85,BX85,0)))</f>
        <v>3</v>
      </c>
      <c r="CC85">
        <f>IF(CA85=BO85,BQ85,IF(CA85=BS85,BU85,IF(CA85=BW85,BY85,0)))</f>
        <v>24.84487</v>
      </c>
      <c r="CD85">
        <f t="shared" si="45"/>
        <v>0</v>
      </c>
      <c r="CE85">
        <f t="shared" si="46"/>
        <v>0.53017222222222204</v>
      </c>
      <c r="CF85">
        <f>IF(CE85=BO85,BP85,IF(CE85=BS85,BT85,IF(CE85=BW85,BX85,IF(CE85=CA85,CB85,0))))</f>
        <v>3</v>
      </c>
      <c r="CG85">
        <f>IF(CE85=BO85,BQ85,IF(CE85=BS85,BU85,IF(CE85=BW85,BY85,IF(CE85=CA85,CC85,0))))</f>
        <v>24.84487</v>
      </c>
      <c r="CH85">
        <f t="shared" si="47"/>
        <v>0</v>
      </c>
      <c r="CI85">
        <f t="shared" si="48"/>
        <v>0.53017222222222204</v>
      </c>
      <c r="CJ85">
        <f>IF(CI85=BO85,BP85,IF(CI85=BS85,BT85,IF(CI85=BW85,BX85,IF(CI85=CA85,CB85,IF(CI85=CE85,CF85,0)))))</f>
        <v>3</v>
      </c>
      <c r="CK85">
        <f>IF(CI85=BO85,BQ85,IF(CI85=BS85,BU85,IF(CI85=BW85,BY85,IF(CI85=CA85,CC85,IF(CI85=CE85,CG85,0)))))</f>
        <v>24.84487</v>
      </c>
      <c r="CL85">
        <f t="shared" si="49"/>
        <v>0</v>
      </c>
      <c r="CM85">
        <f t="shared" si="50"/>
        <v>0.53017222222222204</v>
      </c>
      <c r="CN85">
        <f>IF(CM85=BO85,BP85,IF(CM85=BS85,BT85,IF(CM85=BW85,BX85,IF(CM85=CA85,CB85,IF(CM85=CE85,CF85,IF(CM85=CI85,CJ85,0))))))</f>
        <v>3</v>
      </c>
      <c r="CO85">
        <f>IF(CM85=BO85,BQ85,IF(CM85=BS85,BU85,IF(CM85=BW85,BY85,IF(CM85=CA85,CC85,IF(CM85=CE85,CG85,IF(CM85=CI85,CK85,0))))))</f>
        <v>24.84487</v>
      </c>
      <c r="CP85">
        <f t="shared" si="51"/>
        <v>0</v>
      </c>
      <c r="CQ85">
        <f t="shared" si="52"/>
        <v>0.53017222222222204</v>
      </c>
      <c r="CR85">
        <f>IF(CQ85=BO85,BP85,IF(CQ85=BS85,BT85,IF(CQ85=BW85,BX85,IF(CQ85=CA85,CB85,IF(CQ85=CE85,CF85,IF(CQ85=CI85,CJ85,IF(CQ85=CM85,CN85,0)))))))</f>
        <v>3</v>
      </c>
      <c r="CS85">
        <f>IF(CQ85=BO85,BQ85,IF(CQ85=BS85,BU85,IF(CQ85=BW85,BY85,IF(CQ85=CA85,CC85,IF(CQ85=CE85,CG85,IF(CQ85=CI85,CK85,IF(CQ85=CM85,CO85,0)))))))</f>
        <v>24.84487</v>
      </c>
      <c r="CT85">
        <f t="shared" si="53"/>
        <v>0</v>
      </c>
      <c r="CU85">
        <f t="shared" si="54"/>
        <v>0.53017222222222204</v>
      </c>
      <c r="CV85">
        <f>IF(CU85=BO85,BP85,IF(CU85=BS85,BT85,IF(CU85=BW85,BX85,IF(CU85=CA85,CB85,IF(CU85=CE85,CF85,IF(CU85=CI85,CJ85,IF(CU85=CM85,CN85,IF(CU85=CQ85,CR85,0))))))))</f>
        <v>3</v>
      </c>
      <c r="CW85">
        <f>IF(CU85=BO85,BQ85,IF(CU85=BS85,BU85,IF(CU85=BW85,BY85,IF(CU85=CA85,CC85,IF(CU85=CE85,CG85,IF(CU85=CI85,CK85,IF(CU85=CM85,CO85,IF(CU85=CQ85,CS85,0))))))))</f>
        <v>24.84487</v>
      </c>
      <c r="CX85">
        <f t="shared" si="55"/>
        <v>0</v>
      </c>
      <c r="CY85">
        <f t="shared" si="56"/>
        <v>0.53017222222222204</v>
      </c>
      <c r="CZ85">
        <f>IF(CY85=BO85,BP85,IF(CY85=BS85,BT85,IF(CY85=BW85,BX85,IF(CY85=CA85,CB85,IF(CY85=CE85,CF85,IF(CY85=CI85,CJ85,IF(CY85=CM85,CN85,IF(CY85=CQ85,CR85,IF(CY85=CU85,CV85,0)))))))))</f>
        <v>3</v>
      </c>
      <c r="DA85">
        <f>IF(CY85=BO85,BQ85,IF(CY85=BS85,BU85,IF(CY85=BW85,BY85,IF(CY85=CA85,CC85,IF(CY85=CE85,CG85,IF(CY85=CI85,CK85,IF(CY85=CM85,CO85,IF(CY85=CQ85,CS85,IF(CY85=CU85,CW85,0)))))))))</f>
        <v>24.84487</v>
      </c>
      <c r="DB85">
        <f t="shared" si="57"/>
        <v>0</v>
      </c>
      <c r="DC85">
        <f t="shared" si="58"/>
        <v>0.53017222222222204</v>
      </c>
      <c r="DD85">
        <f>IF(DC85=BO85,BP85,IF(DC85=BS85,BT85,IF(DC85=BW85,BX85,IF(DC85=CA85,CB85,IF(DC85=CE85,CF85,IF(DC85=CI85,CJ85,IF(DC85=CM85,CN85,IF(DC85=CQ85,CR85,IF(DC85=CU85,CV85,IF(DC85=CY85,CZ85,0))))))))))</f>
        <v>3</v>
      </c>
      <c r="DE85">
        <f>IF(DC85=BO85,BQ85,IF(DC85=BS85,BU85,IF(DC85=BW85,BY85,IF(DC85=CA85,CC85,IF(DC85=CE85,CG85,IF(DC85=CI85,CK85,IF(DC85=CM85,CO85,IF(DC85=CQ85,CS85,IF(DC85=CU85,CW85,IF(DC85=CY85,DA85,0))))))))))</f>
        <v>24.84487</v>
      </c>
      <c r="DF85">
        <f t="shared" si="59"/>
        <v>0</v>
      </c>
      <c r="DG85">
        <f t="shared" si="60"/>
        <v>0.53017222222222204</v>
      </c>
      <c r="DH85">
        <f>IF(DG85=BO85,BP85,IF(DG85=BS85,BT85,IF(DG85=BW85,BX85,IF(DG85=CA85,CB85,IF(DG85=CE85,CF85,IF(DG85=CI85,CJ85,IF(DG85=CM85,CN85,IF(DG85=CQ85,CR85,IF(DG85=CU85,CV85,IF(DG85=CY85,CZ85,IF(DG85=DC85,DD85,0)))))))))))</f>
        <v>3</v>
      </c>
      <c r="DI85">
        <f>IF(DG85=BO85,BQ85,IF(DG85=BS85,BU85,IF(DG85=BW85,BY85,IF(DG85=CA85,CC85,IF(DG85=CE85,CG85,IF(DG85=CI85,CK85,IF(DG85=CM85,CO85,IF(DG85=CQ85,CS85,IF(DG85=CU85,CW85,IF(DG85=CY85,DA85,IF(DG85=DC85,DE85,0)))))))))))</f>
        <v>24.84487</v>
      </c>
      <c r="DJ85">
        <f t="shared" si="61"/>
        <v>0</v>
      </c>
      <c r="DK85">
        <f t="shared" si="62"/>
        <v>0.53017222222222204</v>
      </c>
      <c r="DL85">
        <f>IF(DK85=BO85,BP85,IF(DK85=BS85,BT85,IF(DK85=BW85,BX85,IF(DK85=CA85,CB85,IF(DK85=CE85,CF85,IF(DK85=CI85,CJ85,IF(DK85=CM85,CN85,IF(DK85=CQ85,CR85,IF(DK85=CU85,CV85,IF(DK85=CY85,CZ85,IF(DK85=DC85,DD85,IF(DK85=DG85,DH85,0))))))))))))</f>
        <v>3</v>
      </c>
      <c r="DM85">
        <f>IF(DK85=BO85,BQ85,IF(DK85=BS85,BU85,IF(DK85=BW85,BY85,IF(DK85=CA85,CC85,IF(DK85=CE85,CG85,IF(DK85=CI85,CK85,IF(DK85=CM85,CO85,IF(DK85=CQ85,CS85,IF(DK85=CU85,CW85,IF(DK85=CY85,DA85,IF(DK85=DC85,DE85,IF(DK85=DG85,DI85,0))))))))))))</f>
        <v>24.84487</v>
      </c>
      <c r="DN85">
        <f t="shared" si="63"/>
        <v>0</v>
      </c>
      <c r="DO85">
        <f t="shared" si="64"/>
        <v>0.53017222222222204</v>
      </c>
      <c r="DP85">
        <f>IF(DO85=BO85,BP85,IF(DO85=BS85,BT85,IF(DO85=BW85,BX85,IF(DO85=CA85,CB85,IF(DO85=CE85,CF85,IF(DO85=CI85,CJ85,IF(DO85=CM85,CN85,IF(DO85=CQ85,CR85,IF(DO85=CU85,CV85,IF(DO85=CY85,CZ85,IF(DO85=DC85,DD85,IF(DO85=DG85,DH85,IF(DO85=DK85,DL85,0)))))))))))))</f>
        <v>3</v>
      </c>
      <c r="DQ85">
        <f>IF(DO85=BO85,BQ85,IF(DO85=BS85,BU85,IF(DO85=BW85,BY85,IF(DO85=CA85,CC85,IF(DO85=CE85,CG85,IF(DO85=CI85,CK85,IF(DO85=CM85,CO85,IF(DO85=CQ85,CS85,IF(DO85=CU85,CW85,IF(DO85=CY85,DA85,IF(DO85=DC85,DE85,IF(DO85=DG85,DI85,IF(DO85=DK85,DM85,0)))))))))))))</f>
        <v>24.84487</v>
      </c>
      <c r="DR85">
        <f t="shared" si="65"/>
        <v>0</v>
      </c>
      <c r="DS85">
        <f t="shared" si="66"/>
        <v>0.53017222222222204</v>
      </c>
      <c r="DT85">
        <f>IF(DS85=BO85,BP85,IF(DS85=BS85,BT85,IF(DS85=BW85,BX85,IF(DS85=CA85,CB85,IF(DS85=CE85,CF85,IF(DS85=CI85,CJ85,IF(DS85=CM85,CN85,IF(DS85=CQ85,CR85,IF(DS85=CU85,CV85,IF(DS85=CY85,CZ85,IF(DS85=DC85,DD85,IF(DS85=DG85,DH85,IF(DS85=DK85,DL85,IF(DS85=DO85,DP85,0))))))))))))))</f>
        <v>3</v>
      </c>
      <c r="DU85">
        <f>IF(DS85=BO85,BQ85,IF(DS85=BS85,BU85,IF(DS85=BW85,BY85,IF(DS85=CA85,CC85,IF(DS85=CE85,CG85,IF(DS85=CI85,CK85,IF(DS85=CM85,CO85,IF(DS85=CQ85,CS85,IF(DS85=CU85,CW85,IF(DS85=CY85,DA85,IF(DS85=DC85,DE85,IF(DS85=DG85,DI85,IF(DS85=DK85,DM85,IF(DS85=DO85,DQ85,0))))))))))))))</f>
        <v>24.84487</v>
      </c>
      <c r="DV85">
        <f t="shared" si="67"/>
        <v>0</v>
      </c>
      <c r="DW85">
        <v>67500.5</v>
      </c>
      <c r="DX85">
        <v>2</v>
      </c>
      <c r="DY85">
        <v>0</v>
      </c>
      <c r="DZ85">
        <v>4</v>
      </c>
      <c r="EA85">
        <v>6</v>
      </c>
      <c r="EB85">
        <v>30.341848966137199</v>
      </c>
      <c r="EC85">
        <v>3</v>
      </c>
      <c r="ED85">
        <v>10.396659400000001</v>
      </c>
      <c r="EE85">
        <v>0.53017222222222204</v>
      </c>
      <c r="EF85">
        <v>24.84487</v>
      </c>
      <c r="EG85">
        <v>46.232008294387803</v>
      </c>
      <c r="EH85">
        <v>3</v>
      </c>
      <c r="EI85">
        <v>0</v>
      </c>
      <c r="EJ85">
        <v>6.4596662</v>
      </c>
      <c r="EK85">
        <v>1</v>
      </c>
      <c r="EL85">
        <v>0</v>
      </c>
      <c r="EM85">
        <v>33</v>
      </c>
      <c r="EN85">
        <v>1</v>
      </c>
      <c r="EO85">
        <v>4</v>
      </c>
      <c r="EP85">
        <v>6</v>
      </c>
      <c r="EQ85">
        <v>6</v>
      </c>
      <c r="ER85">
        <v>14.1987814663817</v>
      </c>
      <c r="ES85">
        <v>18.857086137024499</v>
      </c>
      <c r="ET85">
        <v>29.2537455370245</v>
      </c>
      <c r="EU85">
        <v>15.0555990457585</v>
      </c>
      <c r="EV85">
        <v>21.515265245758499</v>
      </c>
      <c r="EW85">
        <v>7.7813319999999999</v>
      </c>
      <c r="EX85">
        <v>17.519245394414298</v>
      </c>
      <c r="EY85">
        <v>25.300577394414301</v>
      </c>
      <c r="EZ85">
        <v>6.4596662</v>
      </c>
      <c r="FA85">
        <v>15.0555990457585</v>
      </c>
      <c r="FB85">
        <v>21.515265245758499</v>
      </c>
      <c r="FC85">
        <v>6.4596662</v>
      </c>
      <c r="FD85">
        <v>15.0555990457585</v>
      </c>
      <c r="FE85">
        <v>21.515265245758499</v>
      </c>
      <c r="FF85">
        <v>6.8394794000000001</v>
      </c>
      <c r="FG85">
        <v>15.4733587493472</v>
      </c>
      <c r="FH85">
        <v>22.312838149347201</v>
      </c>
    </row>
    <row r="86" spans="1:164" x14ac:dyDescent="0.2">
      <c r="A86">
        <v>85</v>
      </c>
      <c r="B86">
        <v>96</v>
      </c>
      <c r="C86">
        <v>149</v>
      </c>
      <c r="D86">
        <v>3</v>
      </c>
      <c r="E86">
        <v>12</v>
      </c>
      <c r="F86" t="s">
        <v>268</v>
      </c>
      <c r="G86" t="s">
        <v>269</v>
      </c>
      <c r="H86">
        <v>3</v>
      </c>
      <c r="I86">
        <v>6</v>
      </c>
      <c r="K86" t="s">
        <v>270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4</v>
      </c>
      <c r="AE86">
        <v>6</v>
      </c>
      <c r="AF86">
        <v>3</v>
      </c>
      <c r="AG86">
        <v>7</v>
      </c>
      <c r="AH86">
        <v>5</v>
      </c>
      <c r="AI86">
        <v>0.78590555555555597</v>
      </c>
      <c r="AJ86">
        <v>50.910200000000003</v>
      </c>
      <c r="AK86">
        <v>1.06324444444444</v>
      </c>
      <c r="AL86">
        <v>71.557360000000003</v>
      </c>
      <c r="AM86">
        <v>0.95735555555555596</v>
      </c>
      <c r="AN86">
        <v>69.087220000000002</v>
      </c>
      <c r="AO86">
        <v>0.953497222222222</v>
      </c>
      <c r="AP86">
        <v>66.713729999999998</v>
      </c>
      <c r="AQ86">
        <v>0.97679722222222198</v>
      </c>
      <c r="AR86">
        <v>67.041619999999995</v>
      </c>
      <c r="AS86">
        <v>0.94198333333333295</v>
      </c>
      <c r="AT86">
        <v>63.54175</v>
      </c>
      <c r="AU86">
        <v>0.84132777777777801</v>
      </c>
      <c r="AV86">
        <v>58.006219999999999</v>
      </c>
      <c r="AW86">
        <v>0.81660277777777801</v>
      </c>
      <c r="AX86">
        <v>55.980040000000002</v>
      </c>
      <c r="AY86">
        <v>0.80609166666666698</v>
      </c>
      <c r="AZ86">
        <v>54.423630000000003</v>
      </c>
      <c r="BA86">
        <v>0.79108333333333303</v>
      </c>
      <c r="BB86">
        <v>53.840649999999997</v>
      </c>
      <c r="BC86">
        <v>0.79753888888888902</v>
      </c>
      <c r="BD86">
        <v>51.385910000000003</v>
      </c>
      <c r="BE86">
        <v>0.69518055555555602</v>
      </c>
      <c r="BF86">
        <v>44.900449999999999</v>
      </c>
      <c r="BG86">
        <v>0.71483333333333299</v>
      </c>
      <c r="BH86">
        <v>44.535939999999997</v>
      </c>
      <c r="BI86">
        <v>0.72050000000000003</v>
      </c>
      <c r="BJ86">
        <v>41.712699999999998</v>
      </c>
      <c r="BK86">
        <v>0.70355833333333295</v>
      </c>
      <c r="BL86">
        <v>40.915430000000001</v>
      </c>
      <c r="BM86">
        <v>0.72613055555555595</v>
      </c>
      <c r="BN86">
        <v>40.502659999999999</v>
      </c>
      <c r="BO86">
        <f t="shared" si="34"/>
        <v>0.69518055555555602</v>
      </c>
      <c r="BP86">
        <v>14</v>
      </c>
      <c r="BQ86">
        <v>44.900449999999999</v>
      </c>
      <c r="BR86">
        <f t="shared" si="35"/>
        <v>0</v>
      </c>
      <c r="BS86">
        <f t="shared" si="36"/>
        <v>0.69518055555555602</v>
      </c>
      <c r="BT86">
        <f t="shared" si="37"/>
        <v>14</v>
      </c>
      <c r="BU86">
        <f t="shared" si="38"/>
        <v>44.900449999999999</v>
      </c>
      <c r="BV86">
        <f t="shared" si="39"/>
        <v>0</v>
      </c>
      <c r="BW86">
        <f t="shared" si="40"/>
        <v>0.69518055555555602</v>
      </c>
      <c r="BX86">
        <f t="shared" si="41"/>
        <v>14</v>
      </c>
      <c r="BY86">
        <f t="shared" si="42"/>
        <v>44.900449999999999</v>
      </c>
      <c r="BZ86">
        <f t="shared" si="43"/>
        <v>0</v>
      </c>
      <c r="CA86">
        <f t="shared" si="44"/>
        <v>0.69518055555555602</v>
      </c>
      <c r="CB86">
        <f>IF(CA86=BO86,BP86,IF(CA86=BS86,BT86,IF(CA86=BW86,BX86,0)))</f>
        <v>14</v>
      </c>
      <c r="CC86">
        <f>IF(CA86=BO86,BQ86,IF(CA86=BS86,BU86,IF(CA86=BW86,BY86,0)))</f>
        <v>44.900449999999999</v>
      </c>
      <c r="CD86">
        <f t="shared" si="45"/>
        <v>0</v>
      </c>
      <c r="CE86">
        <f t="shared" si="46"/>
        <v>0.69518055555555602</v>
      </c>
      <c r="CF86">
        <f>IF(CE86=BO86,BP86,IF(CE86=BS86,BT86,IF(CE86=BW86,BX86,IF(CE86=CA86,CB86,0))))</f>
        <v>14</v>
      </c>
      <c r="CG86">
        <f>IF(CE86=BO86,BQ86,IF(CE86=BS86,BU86,IF(CE86=BW86,BY86,IF(CE86=CA86,CC86,0))))</f>
        <v>44.900449999999999</v>
      </c>
      <c r="CH86">
        <f t="shared" si="47"/>
        <v>0</v>
      </c>
      <c r="CI86">
        <f t="shared" si="48"/>
        <v>0.69518055555555602</v>
      </c>
      <c r="CJ86">
        <f>IF(CI86=BO86,BP86,IF(CI86=BS86,BT86,IF(CI86=BW86,BX86,IF(CI86=CA86,CB86,IF(CI86=CE86,CF86,0)))))</f>
        <v>14</v>
      </c>
      <c r="CK86">
        <f>IF(CI86=BO86,BQ86,IF(CI86=BS86,BU86,IF(CI86=BW86,BY86,IF(CI86=CA86,CC86,IF(CI86=CE86,CG86,0)))))</f>
        <v>44.900449999999999</v>
      </c>
      <c r="CL86">
        <f t="shared" si="49"/>
        <v>0</v>
      </c>
      <c r="CM86">
        <f t="shared" si="50"/>
        <v>0.69518055555555602</v>
      </c>
      <c r="CN86">
        <f>IF(CM86=BO86,BP86,IF(CM86=BS86,BT86,IF(CM86=BW86,BX86,IF(CM86=CA86,CB86,IF(CM86=CE86,CF86,IF(CM86=CI86,CJ86,0))))))</f>
        <v>14</v>
      </c>
      <c r="CO86">
        <f>IF(CM86=BO86,BQ86,IF(CM86=BS86,BU86,IF(CM86=BW86,BY86,IF(CM86=CA86,CC86,IF(CM86=CE86,CG86,IF(CM86=CI86,CK86,0))))))</f>
        <v>44.900449999999999</v>
      </c>
      <c r="CP86">
        <f t="shared" si="51"/>
        <v>0</v>
      </c>
      <c r="CQ86">
        <f t="shared" si="52"/>
        <v>0.69518055555555602</v>
      </c>
      <c r="CR86">
        <f>IF(CQ86=BO86,BP86,IF(CQ86=BS86,BT86,IF(CQ86=BW86,BX86,IF(CQ86=CA86,CB86,IF(CQ86=CE86,CF86,IF(CQ86=CI86,CJ86,IF(CQ86=CM86,CN86,0)))))))</f>
        <v>14</v>
      </c>
      <c r="CS86">
        <f>IF(CQ86=BO86,BQ86,IF(CQ86=BS86,BU86,IF(CQ86=BW86,BY86,IF(CQ86=CA86,CC86,IF(CQ86=CE86,CG86,IF(CQ86=CI86,CK86,IF(CQ86=CM86,CO86,0)))))))</f>
        <v>44.900449999999999</v>
      </c>
      <c r="CT86">
        <f t="shared" si="53"/>
        <v>0</v>
      </c>
      <c r="CU86">
        <f t="shared" si="54"/>
        <v>0.69518055555555602</v>
      </c>
      <c r="CV86">
        <f>IF(CU86=BO86,BP86,IF(CU86=BS86,BT86,IF(CU86=BW86,BX86,IF(CU86=CA86,CB86,IF(CU86=CE86,CF86,IF(CU86=CI86,CJ86,IF(CU86=CM86,CN86,IF(CU86=CQ86,CR86,0))))))))</f>
        <v>14</v>
      </c>
      <c r="CW86">
        <f>IF(CU86=BO86,BQ86,IF(CU86=BS86,BU86,IF(CU86=BW86,BY86,IF(CU86=CA86,CC86,IF(CU86=CE86,CG86,IF(CU86=CI86,CK86,IF(CU86=CM86,CO86,IF(CU86=CQ86,CS86,0))))))))</f>
        <v>44.900449999999999</v>
      </c>
      <c r="CX86">
        <f t="shared" si="55"/>
        <v>0</v>
      </c>
      <c r="CY86">
        <f t="shared" si="56"/>
        <v>0.69518055555555602</v>
      </c>
      <c r="CZ86">
        <f>IF(CY86=BO86,BP86,IF(CY86=BS86,BT86,IF(CY86=BW86,BX86,IF(CY86=CA86,CB86,IF(CY86=CE86,CF86,IF(CY86=CI86,CJ86,IF(CY86=CM86,CN86,IF(CY86=CQ86,CR86,IF(CY86=CU86,CV86,0)))))))))</f>
        <v>14</v>
      </c>
      <c r="DA86">
        <f>IF(CY86=BO86,BQ86,IF(CY86=BS86,BU86,IF(CY86=BW86,BY86,IF(CY86=CA86,CC86,IF(CY86=CE86,CG86,IF(CY86=CI86,CK86,IF(CY86=CM86,CO86,IF(CY86=CQ86,CS86,IF(CY86=CU86,CW86,0)))))))))</f>
        <v>44.900449999999999</v>
      </c>
      <c r="DB86">
        <f t="shared" si="57"/>
        <v>0</v>
      </c>
      <c r="DC86">
        <f t="shared" si="58"/>
        <v>0.70355833333333295</v>
      </c>
      <c r="DD86">
        <v>17</v>
      </c>
      <c r="DE86">
        <v>40.915430000000001</v>
      </c>
      <c r="DF86">
        <f t="shared" si="59"/>
        <v>0</v>
      </c>
      <c r="DG86">
        <f t="shared" si="60"/>
        <v>0.69518055555555602</v>
      </c>
      <c r="DH86">
        <f>IF(DG86=BO86,BP86,IF(DG86=BS86,BT86,IF(DG86=BW86,BX86,IF(DG86=CA86,CB86,IF(DG86=CE86,CF86,IF(DG86=CI86,CJ86,IF(DG86=CM86,CN86,IF(DG86=CQ86,CR86,IF(DG86=CU86,CV86,IF(DG86=CY86,CZ86,IF(DG86=DC86,DD86,0)))))))))))</f>
        <v>14</v>
      </c>
      <c r="DI86">
        <f>IF(DG86=BO86,BQ86,IF(DG86=BS86,BU86,IF(DG86=BW86,BY86,IF(DG86=CA86,CC86,IF(DG86=CE86,CG86,IF(DG86=CI86,CK86,IF(DG86=CM86,CO86,IF(DG86=CQ86,CS86,IF(DG86=CU86,CW86,IF(DG86=CY86,DA86,IF(DG86=DC86,DE86,0)))))))))))</f>
        <v>44.900449999999999</v>
      </c>
      <c r="DJ86">
        <f t="shared" si="61"/>
        <v>0</v>
      </c>
      <c r="DK86">
        <f t="shared" si="62"/>
        <v>0.69518055555555602</v>
      </c>
      <c r="DL86">
        <f>IF(DK86=BO86,BP86,IF(DK86=BS86,BT86,IF(DK86=BW86,BX86,IF(DK86=CA86,CB86,IF(DK86=CE86,CF86,IF(DK86=CI86,CJ86,IF(DK86=CM86,CN86,IF(DK86=CQ86,CR86,IF(DK86=CU86,CV86,IF(DK86=CY86,CZ86,IF(DK86=DC86,DD86,IF(DK86=DG86,DH86,0))))))))))))</f>
        <v>14</v>
      </c>
      <c r="DM86">
        <f>IF(DK86=BO86,BQ86,IF(DK86=BS86,BU86,IF(DK86=BW86,BY86,IF(DK86=CA86,CC86,IF(DK86=CE86,CG86,IF(DK86=CI86,CK86,IF(DK86=CM86,CO86,IF(DK86=CQ86,CS86,IF(DK86=CU86,CW86,IF(DK86=CY86,DA86,IF(DK86=DC86,DE86,IF(DK86=DG86,DI86,0))))))))))))</f>
        <v>44.900449999999999</v>
      </c>
      <c r="DN86">
        <f t="shared" si="63"/>
        <v>0</v>
      </c>
      <c r="DO86">
        <f t="shared" si="64"/>
        <v>0.69518055555555602</v>
      </c>
      <c r="DP86">
        <f>IF(DO86=BO86,BP86,IF(DO86=BS86,BT86,IF(DO86=BW86,BX86,IF(DO86=CA86,CB86,IF(DO86=CE86,CF86,IF(DO86=CI86,CJ86,IF(DO86=CM86,CN86,IF(DO86=CQ86,CR86,IF(DO86=CU86,CV86,IF(DO86=CY86,CZ86,IF(DO86=DC86,DD86,IF(DO86=DG86,DH86,IF(DO86=DK86,DL86,0)))))))))))))</f>
        <v>14</v>
      </c>
      <c r="DQ86">
        <f>IF(DO86=BO86,BQ86,IF(DO86=BS86,BU86,IF(DO86=BW86,BY86,IF(DO86=CA86,CC86,IF(DO86=CE86,CG86,IF(DO86=CI86,CK86,IF(DO86=CM86,CO86,IF(DO86=CQ86,CS86,IF(DO86=CU86,CW86,IF(DO86=CY86,DA86,IF(DO86=DC86,DE86,IF(DO86=DG86,DI86,IF(DO86=DK86,DM86,0)))))))))))))</f>
        <v>44.900449999999999</v>
      </c>
      <c r="DR86">
        <f t="shared" si="65"/>
        <v>0</v>
      </c>
      <c r="DS86">
        <f t="shared" si="66"/>
        <v>0.69518055555555602</v>
      </c>
      <c r="DT86">
        <f>IF(DS86=BO86,BP86,IF(DS86=BS86,BT86,IF(DS86=BW86,BX86,IF(DS86=CA86,CB86,IF(DS86=CE86,CF86,IF(DS86=CI86,CJ86,IF(DS86=CM86,CN86,IF(DS86=CQ86,CR86,IF(DS86=CU86,CV86,IF(DS86=CY86,CZ86,IF(DS86=DC86,DD86,IF(DS86=DG86,DH86,IF(DS86=DK86,DL86,IF(DS86=DO86,DP86,0))))))))))))))</f>
        <v>14</v>
      </c>
      <c r="DU86">
        <f>IF(DS86=BO86,BQ86,IF(DS86=BS86,BU86,IF(DS86=BW86,BY86,IF(DS86=CA86,CC86,IF(DS86=CE86,CG86,IF(DS86=CI86,CK86,IF(DS86=CM86,CO86,IF(DS86=CQ86,CS86,IF(DS86=CU86,CW86,IF(DS86=CY86,DA86,IF(DS86=DC86,DE86,IF(DS86=DG86,DI86,IF(DS86=DK86,DM86,IF(DS86=DO86,DQ86,0))))))))))))))</f>
        <v>44.900449999999999</v>
      </c>
      <c r="DV86">
        <f t="shared" si="67"/>
        <v>0</v>
      </c>
      <c r="DW86">
        <v>31226.480769230799</v>
      </c>
      <c r="DX86">
        <v>4</v>
      </c>
      <c r="DY86">
        <v>0</v>
      </c>
      <c r="DZ86">
        <v>6</v>
      </c>
      <c r="EA86">
        <v>6</v>
      </c>
      <c r="EB86">
        <v>14.0364762223093</v>
      </c>
      <c r="EC86">
        <v>1.5</v>
      </c>
      <c r="ED86">
        <v>8.1183259999999997</v>
      </c>
      <c r="EE86">
        <v>0.69518055555555602</v>
      </c>
      <c r="EF86">
        <v>44.900449999999999</v>
      </c>
      <c r="EG86">
        <v>26.189448143171202</v>
      </c>
      <c r="EH86">
        <v>14</v>
      </c>
      <c r="EI86">
        <v>0</v>
      </c>
      <c r="EJ86">
        <v>5.8370585000000004</v>
      </c>
      <c r="EK86">
        <v>1</v>
      </c>
      <c r="EL86">
        <v>0</v>
      </c>
      <c r="EM86">
        <v>23</v>
      </c>
      <c r="EN86">
        <v>1</v>
      </c>
      <c r="EO86">
        <v>3</v>
      </c>
      <c r="EP86">
        <v>5</v>
      </c>
      <c r="EQ86">
        <v>3</v>
      </c>
      <c r="ER86">
        <v>14.1987814663817</v>
      </c>
      <c r="ES86">
        <v>22.317802473097199</v>
      </c>
      <c r="ET86">
        <v>30.436128473097199</v>
      </c>
      <c r="EU86">
        <v>19.741433576022299</v>
      </c>
      <c r="EV86">
        <v>25.5784920760223</v>
      </c>
      <c r="EW86">
        <v>7.0750719000000002</v>
      </c>
      <c r="EX86">
        <v>22.891038833742801</v>
      </c>
      <c r="EY86">
        <v>29.966110733742799</v>
      </c>
      <c r="EZ86">
        <v>5.8370585000000004</v>
      </c>
      <c r="FA86">
        <v>19.741433576022299</v>
      </c>
      <c r="FB86">
        <v>25.5784920760223</v>
      </c>
      <c r="FC86">
        <v>8.6727848999999999</v>
      </c>
      <c r="FD86">
        <v>27.076997374270601</v>
      </c>
      <c r="FE86">
        <v>35.749782274270601</v>
      </c>
      <c r="FF86">
        <v>5.8370585000000004</v>
      </c>
      <c r="FG86">
        <v>19.741433576022299</v>
      </c>
      <c r="FH86">
        <v>25.5784920760223</v>
      </c>
    </row>
    <row r="87" spans="1:164" x14ac:dyDescent="0.2">
      <c r="A87">
        <v>86</v>
      </c>
      <c r="B87">
        <v>97</v>
      </c>
      <c r="C87">
        <v>152</v>
      </c>
      <c r="D87">
        <v>1</v>
      </c>
      <c r="E87">
        <v>11</v>
      </c>
      <c r="F87" t="s">
        <v>271</v>
      </c>
      <c r="G87" t="s">
        <v>271</v>
      </c>
      <c r="H87">
        <v>3</v>
      </c>
      <c r="I87">
        <v>5</v>
      </c>
      <c r="K87" t="s">
        <v>271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</v>
      </c>
      <c r="AE87">
        <v>4</v>
      </c>
      <c r="AF87">
        <v>2</v>
      </c>
      <c r="AG87">
        <v>5</v>
      </c>
      <c r="AH87">
        <v>3</v>
      </c>
      <c r="AI87">
        <v>0.47613611111111098</v>
      </c>
      <c r="AJ87">
        <v>32.172440000000002</v>
      </c>
      <c r="AK87">
        <v>0.75347500000000001</v>
      </c>
      <c r="AL87">
        <v>52.819600000000001</v>
      </c>
      <c r="AM87">
        <v>0.64758333333333296</v>
      </c>
      <c r="AN87">
        <v>50.349460000000001</v>
      </c>
      <c r="AO87">
        <v>0.64372777777777801</v>
      </c>
      <c r="AP87">
        <v>47.975960000000001</v>
      </c>
      <c r="AQ87">
        <v>0.667027777777778</v>
      </c>
      <c r="AR87">
        <v>48.30386</v>
      </c>
      <c r="AS87">
        <v>0.63221388888888896</v>
      </c>
      <c r="AT87">
        <v>44.803989999999999</v>
      </c>
      <c r="AU87">
        <v>0.53155833333333302</v>
      </c>
      <c r="AV87">
        <v>39.268450000000001</v>
      </c>
      <c r="AW87">
        <v>0.50683333333333302</v>
      </c>
      <c r="AX87">
        <v>37.242280000000001</v>
      </c>
      <c r="AY87">
        <v>0.496322222222222</v>
      </c>
      <c r="AZ87">
        <v>35.685859999999998</v>
      </c>
      <c r="BA87">
        <v>0.48131388888888899</v>
      </c>
      <c r="BB87">
        <v>35.102890000000002</v>
      </c>
      <c r="BC87">
        <v>0.48776944444444398</v>
      </c>
      <c r="BD87">
        <v>32.648150000000001</v>
      </c>
      <c r="BE87">
        <v>0.38541111111111098</v>
      </c>
      <c r="BF87">
        <v>26.162680000000002</v>
      </c>
      <c r="BG87">
        <v>0.405063888888889</v>
      </c>
      <c r="BH87">
        <v>25.798179999999999</v>
      </c>
      <c r="BI87">
        <v>0.41073055555555599</v>
      </c>
      <c r="BJ87">
        <v>22.974930000000001</v>
      </c>
      <c r="BK87">
        <v>0.39378888888888902</v>
      </c>
      <c r="BL87">
        <v>22.177669999999999</v>
      </c>
      <c r="BM87">
        <v>0.41636111111111102</v>
      </c>
      <c r="BN87">
        <v>21.764900000000001</v>
      </c>
      <c r="BO87">
        <f t="shared" si="34"/>
        <v>0.38541111111111098</v>
      </c>
      <c r="BP87">
        <v>14</v>
      </c>
      <c r="BQ87">
        <v>26.162680000000002</v>
      </c>
      <c r="BR87">
        <f t="shared" si="35"/>
        <v>0</v>
      </c>
      <c r="BS87">
        <f t="shared" si="36"/>
        <v>0.38541111111111098</v>
      </c>
      <c r="BT87">
        <f t="shared" si="37"/>
        <v>14</v>
      </c>
      <c r="BU87">
        <f t="shared" si="38"/>
        <v>26.162680000000002</v>
      </c>
      <c r="BV87">
        <f t="shared" si="39"/>
        <v>0</v>
      </c>
      <c r="BW87">
        <f t="shared" si="40"/>
        <v>0.38541111111111098</v>
      </c>
      <c r="BX87">
        <f t="shared" si="41"/>
        <v>14</v>
      </c>
      <c r="BY87">
        <f t="shared" si="42"/>
        <v>26.162680000000002</v>
      </c>
      <c r="BZ87">
        <f t="shared" si="43"/>
        <v>0</v>
      </c>
      <c r="CA87">
        <f t="shared" si="44"/>
        <v>0.38541111111111098</v>
      </c>
      <c r="CB87">
        <f>IF(CA87=BO87,BP87,IF(CA87=BS87,BT87,IF(CA87=BW87,BX87,0)))</f>
        <v>14</v>
      </c>
      <c r="CC87">
        <f>IF(CA87=BO87,BQ87,IF(CA87=BS87,BU87,IF(CA87=BW87,BY87,0)))</f>
        <v>26.162680000000002</v>
      </c>
      <c r="CD87">
        <f t="shared" si="45"/>
        <v>0</v>
      </c>
      <c r="CE87">
        <f t="shared" si="46"/>
        <v>0.38541111111111098</v>
      </c>
      <c r="CF87">
        <f>IF(CE87=BO87,BP87,IF(CE87=BS87,BT87,IF(CE87=BW87,BX87,IF(CE87=CA87,CB87,0))))</f>
        <v>14</v>
      </c>
      <c r="CG87">
        <f>IF(CE87=BO87,BQ87,IF(CE87=BS87,BU87,IF(CE87=BW87,BY87,IF(CE87=CA87,CC87,0))))</f>
        <v>26.162680000000002</v>
      </c>
      <c r="CH87">
        <f t="shared" si="47"/>
        <v>0</v>
      </c>
      <c r="CI87">
        <f t="shared" si="48"/>
        <v>0.38541111111111098</v>
      </c>
      <c r="CJ87">
        <f>IF(CI87=BO87,BP87,IF(CI87=BS87,BT87,IF(CI87=BW87,BX87,IF(CI87=CA87,CB87,IF(CI87=CE87,CF87,0)))))</f>
        <v>14</v>
      </c>
      <c r="CK87">
        <f>IF(CI87=BO87,BQ87,IF(CI87=BS87,BU87,IF(CI87=BW87,BY87,IF(CI87=CA87,CC87,IF(CI87=CE87,CG87,0)))))</f>
        <v>26.162680000000002</v>
      </c>
      <c r="CL87">
        <f t="shared" si="49"/>
        <v>0</v>
      </c>
      <c r="CM87">
        <f t="shared" si="50"/>
        <v>0.38541111111111098</v>
      </c>
      <c r="CN87">
        <f>IF(CM87=BO87,BP87,IF(CM87=BS87,BT87,IF(CM87=BW87,BX87,IF(CM87=CA87,CB87,IF(CM87=CE87,CF87,IF(CM87=CI87,CJ87,0))))))</f>
        <v>14</v>
      </c>
      <c r="CO87">
        <f>IF(CM87=BO87,BQ87,IF(CM87=BS87,BU87,IF(CM87=BW87,BY87,IF(CM87=CA87,CC87,IF(CM87=CE87,CG87,IF(CM87=CI87,CK87,0))))))</f>
        <v>26.162680000000002</v>
      </c>
      <c r="CP87">
        <f t="shared" si="51"/>
        <v>0</v>
      </c>
      <c r="CQ87">
        <f t="shared" si="52"/>
        <v>0.38541111111111098</v>
      </c>
      <c r="CR87">
        <f>IF(CQ87=BO87,BP87,IF(CQ87=BS87,BT87,IF(CQ87=BW87,BX87,IF(CQ87=CA87,CB87,IF(CQ87=CE87,CF87,IF(CQ87=CI87,CJ87,IF(CQ87=CM87,CN87,0)))))))</f>
        <v>14</v>
      </c>
      <c r="CS87">
        <f>IF(CQ87=BO87,BQ87,IF(CQ87=BS87,BU87,IF(CQ87=BW87,BY87,IF(CQ87=CA87,CC87,IF(CQ87=CE87,CG87,IF(CQ87=CI87,CK87,IF(CQ87=CM87,CO87,0)))))))</f>
        <v>26.162680000000002</v>
      </c>
      <c r="CT87">
        <f t="shared" si="53"/>
        <v>0</v>
      </c>
      <c r="CU87">
        <f t="shared" si="54"/>
        <v>0.38541111111111098</v>
      </c>
      <c r="CV87">
        <f>IF(CU87=BO87,BP87,IF(CU87=BS87,BT87,IF(CU87=BW87,BX87,IF(CU87=CA87,CB87,IF(CU87=CE87,CF87,IF(CU87=CI87,CJ87,IF(CU87=CM87,CN87,IF(CU87=CQ87,CR87,0))))))))</f>
        <v>14</v>
      </c>
      <c r="CW87">
        <f>IF(CU87=BO87,BQ87,IF(CU87=BS87,BU87,IF(CU87=BW87,BY87,IF(CU87=CA87,CC87,IF(CU87=CE87,CG87,IF(CU87=CI87,CK87,IF(CU87=CM87,CO87,IF(CU87=CQ87,CS87,0))))))))</f>
        <v>26.162680000000002</v>
      </c>
      <c r="CX87">
        <f t="shared" si="55"/>
        <v>0</v>
      </c>
      <c r="CY87">
        <f t="shared" si="56"/>
        <v>0.38541111111111098</v>
      </c>
      <c r="CZ87">
        <f>IF(CY87=BO87,BP87,IF(CY87=BS87,BT87,IF(CY87=BW87,BX87,IF(CY87=CA87,CB87,IF(CY87=CE87,CF87,IF(CY87=CI87,CJ87,IF(CY87=CM87,CN87,IF(CY87=CQ87,CR87,IF(CY87=CU87,CV87,0)))))))))</f>
        <v>14</v>
      </c>
      <c r="DA87">
        <f>IF(CY87=BO87,BQ87,IF(CY87=BS87,BU87,IF(CY87=BW87,BY87,IF(CY87=CA87,CC87,IF(CY87=CE87,CG87,IF(CY87=CI87,CK87,IF(CY87=CM87,CO87,IF(CY87=CQ87,CS87,IF(CY87=CU87,CW87,0)))))))))</f>
        <v>26.162680000000002</v>
      </c>
      <c r="DB87">
        <f t="shared" si="57"/>
        <v>0</v>
      </c>
      <c r="DC87">
        <f t="shared" si="58"/>
        <v>0.39378888888888902</v>
      </c>
      <c r="DD87">
        <v>17</v>
      </c>
      <c r="DE87">
        <v>22.177669999999999</v>
      </c>
      <c r="DF87">
        <f t="shared" si="59"/>
        <v>0</v>
      </c>
      <c r="DG87">
        <f t="shared" si="60"/>
        <v>0.38541111111111098</v>
      </c>
      <c r="DH87">
        <f>IF(DG87=BO87,BP87,IF(DG87=BS87,BT87,IF(DG87=BW87,BX87,IF(DG87=CA87,CB87,IF(DG87=CE87,CF87,IF(DG87=CI87,CJ87,IF(DG87=CM87,CN87,IF(DG87=CQ87,CR87,IF(DG87=CU87,CV87,IF(DG87=CY87,CZ87,IF(DG87=DC87,DD87,0)))))))))))</f>
        <v>14</v>
      </c>
      <c r="DI87">
        <f>IF(DG87=BO87,BQ87,IF(DG87=BS87,BU87,IF(DG87=BW87,BY87,IF(DG87=CA87,CC87,IF(DG87=CE87,CG87,IF(DG87=CI87,CK87,IF(DG87=CM87,CO87,IF(DG87=CQ87,CS87,IF(DG87=CU87,CW87,IF(DG87=CY87,DA87,IF(DG87=DC87,DE87,0)))))))))))</f>
        <v>26.162680000000002</v>
      </c>
      <c r="DJ87">
        <f t="shared" si="61"/>
        <v>0</v>
      </c>
      <c r="DK87">
        <f t="shared" si="62"/>
        <v>0.38541111111111098</v>
      </c>
      <c r="DL87">
        <f>IF(DK87=BO87,BP87,IF(DK87=BS87,BT87,IF(DK87=BW87,BX87,IF(DK87=CA87,CB87,IF(DK87=CE87,CF87,IF(DK87=CI87,CJ87,IF(DK87=CM87,CN87,IF(DK87=CQ87,CR87,IF(DK87=CU87,CV87,IF(DK87=CY87,CZ87,IF(DK87=DC87,DD87,IF(DK87=DG87,DH87,0))))))))))))</f>
        <v>14</v>
      </c>
      <c r="DM87">
        <f>IF(DK87=BO87,BQ87,IF(DK87=BS87,BU87,IF(DK87=BW87,BY87,IF(DK87=CA87,CC87,IF(DK87=CE87,CG87,IF(DK87=CI87,CK87,IF(DK87=CM87,CO87,IF(DK87=CQ87,CS87,IF(DK87=CU87,CW87,IF(DK87=CY87,DA87,IF(DK87=DC87,DE87,IF(DK87=DG87,DI87,0))))))))))))</f>
        <v>26.162680000000002</v>
      </c>
      <c r="DN87">
        <f t="shared" si="63"/>
        <v>0</v>
      </c>
      <c r="DO87">
        <f t="shared" si="64"/>
        <v>0.38541111111111098</v>
      </c>
      <c r="DP87">
        <f>IF(DO87=BO87,BP87,IF(DO87=BS87,BT87,IF(DO87=BW87,BX87,IF(DO87=CA87,CB87,IF(DO87=CE87,CF87,IF(DO87=CI87,CJ87,IF(DO87=CM87,CN87,IF(DO87=CQ87,CR87,IF(DO87=CU87,CV87,IF(DO87=CY87,CZ87,IF(DO87=DC87,DD87,IF(DO87=DG87,DH87,IF(DO87=DK87,DL87,0)))))))))))))</f>
        <v>14</v>
      </c>
      <c r="DQ87">
        <f>IF(DO87=BO87,BQ87,IF(DO87=BS87,BU87,IF(DO87=BW87,BY87,IF(DO87=CA87,CC87,IF(DO87=CE87,CG87,IF(DO87=CI87,CK87,IF(DO87=CM87,CO87,IF(DO87=CQ87,CS87,IF(DO87=CU87,CW87,IF(DO87=CY87,DA87,IF(DO87=DC87,DE87,IF(DO87=DG87,DI87,IF(DO87=DK87,DM87,0)))))))))))))</f>
        <v>26.162680000000002</v>
      </c>
      <c r="DR87">
        <f t="shared" si="65"/>
        <v>0</v>
      </c>
      <c r="DS87">
        <f t="shared" si="66"/>
        <v>0.38541111111111098</v>
      </c>
      <c r="DT87">
        <f>IF(DS87=BO87,BP87,IF(DS87=BS87,BT87,IF(DS87=BW87,BX87,IF(DS87=CA87,CB87,IF(DS87=CE87,CF87,IF(DS87=CI87,CJ87,IF(DS87=CM87,CN87,IF(DS87=CQ87,CR87,IF(DS87=CU87,CV87,IF(DS87=CY87,CZ87,IF(DS87=DC87,DD87,IF(DS87=DG87,DH87,IF(DS87=DK87,DL87,IF(DS87=DO87,DP87,0))))))))))))))</f>
        <v>14</v>
      </c>
      <c r="DU87">
        <f>IF(DS87=BO87,BQ87,IF(DS87=BS87,BU87,IF(DS87=BW87,BY87,IF(DS87=CA87,CC87,IF(DS87=CE87,CG87,IF(DS87=CI87,CK87,IF(DS87=CM87,CO87,IF(DS87=CQ87,CS87,IF(DS87=CU87,CW87,IF(DS87=CY87,DA87,IF(DS87=DC87,DE87,IF(DS87=DG87,DI87,IF(DS87=DK87,DM87,IF(DS87=DO87,DQ87,0))))))))))))))</f>
        <v>26.162680000000002</v>
      </c>
      <c r="DV87">
        <f t="shared" si="67"/>
        <v>0</v>
      </c>
      <c r="DW87">
        <v>37501</v>
      </c>
      <c r="DX87">
        <v>5</v>
      </c>
      <c r="DY87">
        <v>0</v>
      </c>
      <c r="DZ87">
        <v>0</v>
      </c>
      <c r="EA87">
        <v>0</v>
      </c>
      <c r="EB87">
        <v>16.856907401857999</v>
      </c>
      <c r="EC87">
        <v>0</v>
      </c>
      <c r="ED87">
        <v>3.3459337599999999</v>
      </c>
      <c r="EE87">
        <v>0.38541111111111098</v>
      </c>
      <c r="EF87">
        <v>26.162680000000002</v>
      </c>
      <c r="EG87">
        <v>17.380338109962</v>
      </c>
      <c r="EH87">
        <v>14</v>
      </c>
      <c r="EI87">
        <v>0</v>
      </c>
      <c r="EJ87">
        <v>2.7209187199999998</v>
      </c>
      <c r="EK87">
        <v>1</v>
      </c>
      <c r="EL87">
        <v>0</v>
      </c>
      <c r="EM87">
        <v>42</v>
      </c>
      <c r="EN87">
        <v>1</v>
      </c>
      <c r="EO87">
        <v>3</v>
      </c>
      <c r="EP87">
        <v>3</v>
      </c>
      <c r="EQ87">
        <v>2</v>
      </c>
      <c r="ER87">
        <v>14.1987814663817</v>
      </c>
      <c r="ES87">
        <v>13.521105179838999</v>
      </c>
      <c r="ET87">
        <v>16.867038939838999</v>
      </c>
      <c r="EU87">
        <v>10.944736282764</v>
      </c>
      <c r="EV87">
        <v>13.665655002764</v>
      </c>
      <c r="EW87">
        <v>3.7113294400000001</v>
      </c>
      <c r="EX87">
        <v>14.0943415404845</v>
      </c>
      <c r="EY87">
        <v>17.8056709804845</v>
      </c>
      <c r="EZ87">
        <v>2.7209187199999998</v>
      </c>
      <c r="FA87">
        <v>10.944736282764</v>
      </c>
      <c r="FB87">
        <v>13.665655002764</v>
      </c>
      <c r="FC87">
        <v>4.9894998399999997</v>
      </c>
      <c r="FD87">
        <v>18.280300081012399</v>
      </c>
      <c r="FE87">
        <v>23.2697999210124</v>
      </c>
      <c r="FF87">
        <v>2.7209187199999998</v>
      </c>
      <c r="FG87">
        <v>10.944736282764</v>
      </c>
      <c r="FH87">
        <v>13.665655002764</v>
      </c>
    </row>
    <row r="88" spans="1:164" x14ac:dyDescent="0.2">
      <c r="A88">
        <v>87</v>
      </c>
      <c r="B88">
        <v>99</v>
      </c>
      <c r="C88">
        <v>158</v>
      </c>
      <c r="D88">
        <v>3</v>
      </c>
      <c r="E88">
        <v>12</v>
      </c>
      <c r="F88" t="s">
        <v>272</v>
      </c>
      <c r="G88" t="s">
        <v>273</v>
      </c>
      <c r="H88">
        <v>3</v>
      </c>
      <c r="I88">
        <v>5</v>
      </c>
      <c r="K88" t="s">
        <v>274</v>
      </c>
      <c r="L88">
        <v>0</v>
      </c>
      <c r="M88">
        <v>0</v>
      </c>
      <c r="N88">
        <v>15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4</v>
      </c>
      <c r="AD88">
        <v>20</v>
      </c>
      <c r="AE88">
        <v>40</v>
      </c>
      <c r="AF88">
        <v>20</v>
      </c>
      <c r="AG88">
        <v>30</v>
      </c>
      <c r="AH88">
        <v>4</v>
      </c>
      <c r="AI88">
        <v>0.33179722222222202</v>
      </c>
      <c r="AJ88">
        <v>20.23715</v>
      </c>
      <c r="AK88">
        <v>0.23648611111111101</v>
      </c>
      <c r="AL88">
        <v>5.8463200000000004</v>
      </c>
      <c r="AM88">
        <v>0.11863333333333299</v>
      </c>
      <c r="AN88">
        <v>3.2635399999999999</v>
      </c>
      <c r="AO88">
        <v>2.2638888888888899E-2</v>
      </c>
      <c r="AP88">
        <v>0.33962999999999999</v>
      </c>
      <c r="AQ88">
        <v>0.10581111111111099</v>
      </c>
      <c r="AR88">
        <v>1.6088</v>
      </c>
      <c r="AS88">
        <v>0.23271944444444401</v>
      </c>
      <c r="AT88">
        <v>7.7902300000000002</v>
      </c>
      <c r="AU88">
        <v>0.24717222222222199</v>
      </c>
      <c r="AV88">
        <v>12.56114</v>
      </c>
      <c r="AW88">
        <v>0.256727777777778</v>
      </c>
      <c r="AX88">
        <v>15.48718</v>
      </c>
      <c r="AY88">
        <v>0.26671388888888897</v>
      </c>
      <c r="AZ88">
        <v>16.725909999999999</v>
      </c>
      <c r="BA88">
        <v>0.280063888888889</v>
      </c>
      <c r="BB88">
        <v>18.046620000000001</v>
      </c>
      <c r="BC88">
        <v>0.34089166666666698</v>
      </c>
      <c r="BD88">
        <v>19.371320000000001</v>
      </c>
      <c r="BE88">
        <v>0.35191111111111101</v>
      </c>
      <c r="BF88">
        <v>25.748280000000001</v>
      </c>
      <c r="BG88">
        <v>0.41578611111111102</v>
      </c>
      <c r="BH88">
        <v>29.151129999999998</v>
      </c>
      <c r="BI88">
        <v>0.45961111111111103</v>
      </c>
      <c r="BJ88">
        <v>31.125039999999998</v>
      </c>
      <c r="BK88">
        <v>0.52775277777777796</v>
      </c>
      <c r="BL88">
        <v>37.9407</v>
      </c>
      <c r="BM88">
        <v>0.56925555555555596</v>
      </c>
      <c r="BN88">
        <v>39.933369999999996</v>
      </c>
      <c r="BO88">
        <f t="shared" si="34"/>
        <v>2.2638888888888899E-2</v>
      </c>
      <c r="BP88">
        <v>3</v>
      </c>
      <c r="BQ88">
        <v>0.33962999999999999</v>
      </c>
      <c r="BR88">
        <f t="shared" si="35"/>
        <v>0</v>
      </c>
      <c r="BS88">
        <f t="shared" si="36"/>
        <v>2.2638888888888899E-2</v>
      </c>
      <c r="BT88">
        <f t="shared" si="37"/>
        <v>3</v>
      </c>
      <c r="BU88">
        <f t="shared" si="38"/>
        <v>0.33962999999999999</v>
      </c>
      <c r="BV88">
        <f t="shared" si="39"/>
        <v>0</v>
      </c>
      <c r="BW88">
        <f t="shared" si="40"/>
        <v>0.10581111111111099</v>
      </c>
      <c r="BX88">
        <v>4</v>
      </c>
      <c r="BY88">
        <v>1.6088</v>
      </c>
      <c r="BZ88">
        <f t="shared" si="43"/>
        <v>0</v>
      </c>
      <c r="CA88">
        <f t="shared" si="44"/>
        <v>2.2638888888888899E-2</v>
      </c>
      <c r="CB88">
        <f>IF(CA88=BO88,BP88,IF(CA88=BS88,BT88,IF(CA88=BW88,BX88,0)))</f>
        <v>3</v>
      </c>
      <c r="CC88">
        <f>IF(CA88=BO88,BQ88,IF(CA88=BS88,BU88,IF(CA88=BW88,BY88,0)))</f>
        <v>0.33962999999999999</v>
      </c>
      <c r="CD88">
        <f t="shared" si="45"/>
        <v>0</v>
      </c>
      <c r="CE88">
        <f t="shared" si="46"/>
        <v>2.2638888888888899E-2</v>
      </c>
      <c r="CF88">
        <f>IF(CE88=BO88,BP88,IF(CE88=BS88,BT88,IF(CE88=BW88,BX88,IF(CE88=CA88,CB88,0))))</f>
        <v>3</v>
      </c>
      <c r="CG88">
        <f>IF(CE88=BO88,BQ88,IF(CE88=BS88,BU88,IF(CE88=BW88,BY88,IF(CE88=CA88,CC88,0))))</f>
        <v>0.33962999999999999</v>
      </c>
      <c r="CH88">
        <f t="shared" si="47"/>
        <v>0</v>
      </c>
      <c r="CI88">
        <f t="shared" si="48"/>
        <v>2.2638888888888899E-2</v>
      </c>
      <c r="CJ88">
        <f>IF(CI88=BO88,BP88,IF(CI88=BS88,BT88,IF(CI88=BW88,BX88,IF(CI88=CA88,CB88,IF(CI88=CE88,CF88,0)))))</f>
        <v>3</v>
      </c>
      <c r="CK88">
        <f>IF(CI88=BO88,BQ88,IF(CI88=BS88,BU88,IF(CI88=BW88,BY88,IF(CI88=CA88,CC88,IF(CI88=CE88,CG88,0)))))</f>
        <v>0.33962999999999999</v>
      </c>
      <c r="CL88">
        <f t="shared" si="49"/>
        <v>0</v>
      </c>
      <c r="CM88">
        <f t="shared" si="50"/>
        <v>2.2638888888888899E-2</v>
      </c>
      <c r="CN88">
        <f>IF(CM88=BO88,BP88,IF(CM88=BS88,BT88,IF(CM88=BW88,BX88,IF(CM88=CA88,CB88,IF(CM88=CE88,CF88,IF(CM88=CI88,CJ88,0))))))</f>
        <v>3</v>
      </c>
      <c r="CO88">
        <f>IF(CM88=BO88,BQ88,IF(CM88=BS88,BU88,IF(CM88=BW88,BY88,IF(CM88=CA88,CC88,IF(CM88=CE88,CG88,IF(CM88=CI88,CK88,0))))))</f>
        <v>0.33962999999999999</v>
      </c>
      <c r="CP88">
        <f t="shared" si="51"/>
        <v>0</v>
      </c>
      <c r="CQ88">
        <f t="shared" si="52"/>
        <v>2.2638888888888899E-2</v>
      </c>
      <c r="CR88">
        <f>IF(CQ88=BO88,BP88,IF(CQ88=BS88,BT88,IF(CQ88=BW88,BX88,IF(CQ88=CA88,CB88,IF(CQ88=CE88,CF88,IF(CQ88=CI88,CJ88,IF(CQ88=CM88,CN88,0)))))))</f>
        <v>3</v>
      </c>
      <c r="CS88">
        <f>IF(CQ88=BO88,BQ88,IF(CQ88=BS88,BU88,IF(CQ88=BW88,BY88,IF(CQ88=CA88,CC88,IF(CQ88=CE88,CG88,IF(CQ88=CI88,CK88,IF(CQ88=CM88,CO88,0)))))))</f>
        <v>0.33962999999999999</v>
      </c>
      <c r="CT88">
        <f t="shared" si="53"/>
        <v>0</v>
      </c>
      <c r="CU88">
        <f t="shared" si="54"/>
        <v>2.2638888888888899E-2</v>
      </c>
      <c r="CV88">
        <f>IF(CU88=BO88,BP88,IF(CU88=BS88,BT88,IF(CU88=BW88,BX88,IF(CU88=CA88,CB88,IF(CU88=CE88,CF88,IF(CU88=CI88,CJ88,IF(CU88=CM88,CN88,IF(CU88=CQ88,CR88,0))))))))</f>
        <v>3</v>
      </c>
      <c r="CW88">
        <f>IF(CU88=BO88,BQ88,IF(CU88=BS88,BU88,IF(CU88=BW88,BY88,IF(CU88=CA88,CC88,IF(CU88=CE88,CG88,IF(CU88=CI88,CK88,IF(CU88=CM88,CO88,IF(CU88=CQ88,CS88,0))))))))</f>
        <v>0.33962999999999999</v>
      </c>
      <c r="CX88">
        <f t="shared" si="55"/>
        <v>0</v>
      </c>
      <c r="CY88">
        <f t="shared" si="56"/>
        <v>2.2638888888888899E-2</v>
      </c>
      <c r="CZ88">
        <f>IF(CY88=BO88,BP88,IF(CY88=BS88,BT88,IF(CY88=BW88,BX88,IF(CY88=CA88,CB88,IF(CY88=CE88,CF88,IF(CY88=CI88,CJ88,IF(CY88=CM88,CN88,IF(CY88=CQ88,CR88,IF(CY88=CU88,CV88,0)))))))))</f>
        <v>3</v>
      </c>
      <c r="DA88">
        <f>IF(CY88=BO88,BQ88,IF(CY88=BS88,BU88,IF(CY88=BW88,BY88,IF(CY88=CA88,CC88,IF(CY88=CE88,CG88,IF(CY88=CI88,CK88,IF(CY88=CM88,CO88,IF(CY88=CQ88,CS88,IF(CY88=CU88,CW88,0)))))))))</f>
        <v>0.33962999999999999</v>
      </c>
      <c r="DB88">
        <f t="shared" si="57"/>
        <v>0</v>
      </c>
      <c r="DC88">
        <f t="shared" si="58"/>
        <v>2.2638888888888899E-2</v>
      </c>
      <c r="DD88">
        <f>IF(DC88=BO88,BP88,IF(DC88=BS88,BT88,IF(DC88=BW88,BX88,IF(DC88=CA88,CB88,IF(DC88=CE88,CF88,IF(DC88=CI88,CJ88,IF(DC88=CM88,CN88,IF(DC88=CQ88,CR88,IF(DC88=CU88,CV88,IF(DC88=CY88,CZ88,0))))))))))</f>
        <v>3</v>
      </c>
      <c r="DE88">
        <f>IF(DC88=BO88,BQ88,IF(DC88=BS88,BU88,IF(DC88=BW88,BY88,IF(DC88=CA88,CC88,IF(DC88=CE88,CG88,IF(DC88=CI88,CK88,IF(DC88=CM88,CO88,IF(DC88=CQ88,CS88,IF(DC88=CU88,CW88,IF(DC88=CY88,DA88,0))))))))))</f>
        <v>0.33962999999999999</v>
      </c>
      <c r="DF88">
        <f t="shared" si="59"/>
        <v>0</v>
      </c>
      <c r="DG88">
        <f t="shared" si="60"/>
        <v>2.2638888888888899E-2</v>
      </c>
      <c r="DH88">
        <f>IF(DG88=BO88,BP88,IF(DG88=BS88,BT88,IF(DG88=BW88,BX88,IF(DG88=CA88,CB88,IF(DG88=CE88,CF88,IF(DG88=CI88,CJ88,IF(DG88=CM88,CN88,IF(DG88=CQ88,CR88,IF(DG88=CU88,CV88,IF(DG88=CY88,CZ88,IF(DG88=DC88,DD88,0)))))))))))</f>
        <v>3</v>
      </c>
      <c r="DI88">
        <f>IF(DG88=BO88,BQ88,IF(DG88=BS88,BU88,IF(DG88=BW88,BY88,IF(DG88=CA88,CC88,IF(DG88=CE88,CG88,IF(DG88=CI88,CK88,IF(DG88=CM88,CO88,IF(DG88=CQ88,CS88,IF(DG88=CU88,CW88,IF(DG88=CY88,DA88,IF(DG88=DC88,DE88,0)))))))))))</f>
        <v>0.33962999999999999</v>
      </c>
      <c r="DJ88">
        <f t="shared" si="61"/>
        <v>0</v>
      </c>
      <c r="DK88">
        <f t="shared" si="62"/>
        <v>2.2638888888888899E-2</v>
      </c>
      <c r="DL88">
        <f>IF(DK88=BO88,BP88,IF(DK88=BS88,BT88,IF(DK88=BW88,BX88,IF(DK88=CA88,CB88,IF(DK88=CE88,CF88,IF(DK88=CI88,CJ88,IF(DK88=CM88,CN88,IF(DK88=CQ88,CR88,IF(DK88=CU88,CV88,IF(DK88=CY88,CZ88,IF(DK88=DC88,DD88,IF(DK88=DG88,DH88,0))))))))))))</f>
        <v>3</v>
      </c>
      <c r="DM88">
        <f>IF(DK88=BO88,BQ88,IF(DK88=BS88,BU88,IF(DK88=BW88,BY88,IF(DK88=CA88,CC88,IF(DK88=CE88,CG88,IF(DK88=CI88,CK88,IF(DK88=CM88,CO88,IF(DK88=CQ88,CS88,IF(DK88=CU88,CW88,IF(DK88=CY88,DA88,IF(DK88=DC88,DE88,IF(DK88=DG88,DI88,0))))))))))))</f>
        <v>0.33962999999999999</v>
      </c>
      <c r="DN88">
        <f t="shared" si="63"/>
        <v>0</v>
      </c>
      <c r="DO88">
        <f t="shared" si="64"/>
        <v>2.2638888888888899E-2</v>
      </c>
      <c r="DP88">
        <f>IF(DO88=BO88,BP88,IF(DO88=BS88,BT88,IF(DO88=BW88,BX88,IF(DO88=CA88,CB88,IF(DO88=CE88,CF88,IF(DO88=CI88,CJ88,IF(DO88=CM88,CN88,IF(DO88=CQ88,CR88,IF(DO88=CU88,CV88,IF(DO88=CY88,CZ88,IF(DO88=DC88,DD88,IF(DO88=DG88,DH88,IF(DO88=DK88,DL88,0)))))))))))))</f>
        <v>3</v>
      </c>
      <c r="DQ88">
        <f>IF(DO88=BO88,BQ88,IF(DO88=BS88,BU88,IF(DO88=BW88,BY88,IF(DO88=CA88,CC88,IF(DO88=CE88,CG88,IF(DO88=CI88,CK88,IF(DO88=CM88,CO88,IF(DO88=CQ88,CS88,IF(DO88=CU88,CW88,IF(DO88=CY88,DA88,IF(DO88=DC88,DE88,IF(DO88=DG88,DI88,IF(DO88=DK88,DM88,0)))))))))))))</f>
        <v>0.33962999999999999</v>
      </c>
      <c r="DR88">
        <f t="shared" si="65"/>
        <v>0</v>
      </c>
      <c r="DS88">
        <f t="shared" si="66"/>
        <v>2.2638888888888899E-2</v>
      </c>
      <c r="DT88">
        <f>IF(DS88=BO88,BP88,IF(DS88=BS88,BT88,IF(DS88=BW88,BX88,IF(DS88=CA88,CB88,IF(DS88=CE88,CF88,IF(DS88=CI88,CJ88,IF(DS88=CM88,CN88,IF(DS88=CQ88,CR88,IF(DS88=CU88,CV88,IF(DS88=CY88,CZ88,IF(DS88=DC88,DD88,IF(DS88=DG88,DH88,IF(DS88=DK88,DL88,IF(DS88=DO88,DP88,0))))))))))))))</f>
        <v>3</v>
      </c>
      <c r="DU88">
        <f>IF(DS88=BO88,BQ88,IF(DS88=BS88,BU88,IF(DS88=BW88,BY88,IF(DS88=CA88,CC88,IF(DS88=CE88,CG88,IF(DS88=CI88,CK88,IF(DS88=CM88,CO88,IF(DS88=CQ88,CS88,IF(DS88=CU88,CW88,IF(DS88=CY88,DA88,IF(DS88=DC88,DE88,IF(DS88=DG88,DI88,IF(DS88=DK88,DM88,IF(DS88=DO88,DQ88,0))))))))))))))</f>
        <v>0.33962999999999999</v>
      </c>
      <c r="DV88">
        <f t="shared" si="67"/>
        <v>0</v>
      </c>
      <c r="DW88">
        <v>31226.480769230799</v>
      </c>
      <c r="DX88">
        <v>6</v>
      </c>
      <c r="DY88">
        <v>0</v>
      </c>
      <c r="DZ88">
        <v>6</v>
      </c>
      <c r="EA88">
        <v>6</v>
      </c>
      <c r="EB88">
        <v>14.0364762223093</v>
      </c>
      <c r="EC88">
        <v>1</v>
      </c>
      <c r="ED88">
        <v>2.7538863333333299</v>
      </c>
      <c r="EE88">
        <v>2.2638888888888899E-2</v>
      </c>
      <c r="EF88">
        <v>0.33962999999999999</v>
      </c>
      <c r="EG88">
        <v>11.010630621828501</v>
      </c>
      <c r="EH88">
        <v>3</v>
      </c>
      <c r="EI88">
        <v>0</v>
      </c>
      <c r="EJ88">
        <v>2.9434599999999998E-2</v>
      </c>
      <c r="EK88">
        <v>1</v>
      </c>
      <c r="EL88">
        <v>0</v>
      </c>
      <c r="EM88">
        <v>22</v>
      </c>
      <c r="EN88">
        <v>1</v>
      </c>
      <c r="EO88">
        <v>2</v>
      </c>
      <c r="EP88">
        <v>4</v>
      </c>
      <c r="EQ88">
        <v>20</v>
      </c>
      <c r="ER88">
        <v>14.1987814663817</v>
      </c>
      <c r="ES88">
        <v>9.4222324989716206</v>
      </c>
      <c r="ET88">
        <v>12.176118832305001</v>
      </c>
      <c r="EU88">
        <v>0.64288927195005996</v>
      </c>
      <c r="EV88">
        <v>0.67232387195006005</v>
      </c>
      <c r="EW88">
        <v>1.44957886666667</v>
      </c>
      <c r="EX88">
        <v>7.5740244447642802</v>
      </c>
      <c r="EY88">
        <v>9.0236033114309393</v>
      </c>
      <c r="EZ88">
        <v>2.9434599999999998E-2</v>
      </c>
      <c r="FA88">
        <v>0.64288927195005996</v>
      </c>
      <c r="FB88">
        <v>0.67232387195006005</v>
      </c>
      <c r="FC88">
        <v>2.9434599999999998E-2</v>
      </c>
      <c r="FD88">
        <v>0.64288927195005996</v>
      </c>
      <c r="FE88">
        <v>0.67232387195006005</v>
      </c>
      <c r="FF88">
        <v>0.13942933333333299</v>
      </c>
      <c r="FG88">
        <v>3.00477768676339</v>
      </c>
      <c r="FH88">
        <v>3.14420702009672</v>
      </c>
    </row>
    <row r="89" spans="1:164" x14ac:dyDescent="0.2">
      <c r="A89">
        <v>88</v>
      </c>
      <c r="B89">
        <v>100</v>
      </c>
      <c r="C89">
        <v>159</v>
      </c>
      <c r="D89">
        <v>1</v>
      </c>
      <c r="E89">
        <v>11</v>
      </c>
      <c r="F89" t="s">
        <v>275</v>
      </c>
      <c r="G89" t="s">
        <v>276</v>
      </c>
      <c r="H89">
        <v>3</v>
      </c>
      <c r="I89">
        <v>1</v>
      </c>
      <c r="K89" t="s">
        <v>277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1</v>
      </c>
      <c r="S89">
        <v>1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5</v>
      </c>
      <c r="AE89">
        <v>10</v>
      </c>
      <c r="AF89">
        <v>5</v>
      </c>
      <c r="AG89">
        <v>7</v>
      </c>
      <c r="AH89">
        <v>7</v>
      </c>
      <c r="AI89">
        <v>0.18731944444444401</v>
      </c>
      <c r="AJ89">
        <v>8.5863300000000002</v>
      </c>
      <c r="AK89">
        <v>0.30446388888888898</v>
      </c>
      <c r="AL89">
        <v>16.058720000000001</v>
      </c>
      <c r="AM89">
        <v>0.198575</v>
      </c>
      <c r="AN89">
        <v>13.58858</v>
      </c>
      <c r="AO89">
        <v>0.19471666666666701</v>
      </c>
      <c r="AP89">
        <v>11.21509</v>
      </c>
      <c r="AQ89">
        <v>0.218016666666667</v>
      </c>
      <c r="AR89">
        <v>11.54298</v>
      </c>
      <c r="AS89">
        <v>0.18320277777777799</v>
      </c>
      <c r="AT89">
        <v>8.04312</v>
      </c>
      <c r="AU89">
        <v>6.4769444444444393E-2</v>
      </c>
      <c r="AV89">
        <v>1.51359</v>
      </c>
      <c r="AW89">
        <v>8.3150000000000002E-2</v>
      </c>
      <c r="AX89">
        <v>3.25589</v>
      </c>
      <c r="AY89">
        <v>0.104955555555556</v>
      </c>
      <c r="AZ89">
        <v>5.3221800000000004</v>
      </c>
      <c r="BA89">
        <v>0.119627777777778</v>
      </c>
      <c r="BB89">
        <v>6.1560699999999997</v>
      </c>
      <c r="BC89">
        <v>0.17913333333333301</v>
      </c>
      <c r="BD89">
        <v>7.9675900000000004</v>
      </c>
      <c r="BE89">
        <v>0.218944444444444</v>
      </c>
      <c r="BF89">
        <v>15.005240000000001</v>
      </c>
      <c r="BG89">
        <v>0.28281944444444401</v>
      </c>
      <c r="BH89">
        <v>18.408090000000001</v>
      </c>
      <c r="BI89">
        <v>0.32664722222222198</v>
      </c>
      <c r="BJ89">
        <v>20.382010000000001</v>
      </c>
      <c r="BK89">
        <v>0.394786111111111</v>
      </c>
      <c r="BL89">
        <v>27.197659999999999</v>
      </c>
      <c r="BM89">
        <v>0.436288888888889</v>
      </c>
      <c r="BN89">
        <v>29.190329999999999</v>
      </c>
      <c r="BO89">
        <f t="shared" si="34"/>
        <v>6.4769444444444393E-2</v>
      </c>
      <c r="BP89">
        <v>6</v>
      </c>
      <c r="BQ89">
        <v>1.51359</v>
      </c>
      <c r="BR89">
        <f t="shared" si="35"/>
        <v>0</v>
      </c>
      <c r="BS89">
        <f t="shared" si="36"/>
        <v>6.4769444444444393E-2</v>
      </c>
      <c r="BT89">
        <f t="shared" si="37"/>
        <v>6</v>
      </c>
      <c r="BU89">
        <f t="shared" si="38"/>
        <v>1.51359</v>
      </c>
      <c r="BV89">
        <f t="shared" si="39"/>
        <v>0</v>
      </c>
      <c r="BW89">
        <f t="shared" si="40"/>
        <v>6.4769444444444393E-2</v>
      </c>
      <c r="BX89">
        <f t="shared" si="41"/>
        <v>6</v>
      </c>
      <c r="BY89">
        <f t="shared" si="42"/>
        <v>1.51359</v>
      </c>
      <c r="BZ89">
        <f t="shared" si="43"/>
        <v>0</v>
      </c>
      <c r="CA89">
        <f t="shared" si="44"/>
        <v>6.4769444444444393E-2</v>
      </c>
      <c r="CB89">
        <f>IF(CA89=BO89,BP89,IF(CA89=BS89,BT89,IF(CA89=BW89,BX89,0)))</f>
        <v>6</v>
      </c>
      <c r="CC89">
        <f>IF(CA89=BO89,BQ89,IF(CA89=BS89,BU89,IF(CA89=BW89,BY89,0)))</f>
        <v>1.51359</v>
      </c>
      <c r="CD89">
        <f t="shared" si="45"/>
        <v>0</v>
      </c>
      <c r="CE89">
        <f t="shared" si="46"/>
        <v>6.4769444444444393E-2</v>
      </c>
      <c r="CF89">
        <f>IF(CE89=BO89,BP89,IF(CE89=BS89,BT89,IF(CE89=BW89,BX89,IF(CE89=CA89,CB89,0))))</f>
        <v>6</v>
      </c>
      <c r="CG89">
        <f>IF(CE89=BO89,BQ89,IF(CE89=BS89,BU89,IF(CE89=BW89,BY89,IF(CE89=CA89,CC89,0))))</f>
        <v>1.51359</v>
      </c>
      <c r="CH89">
        <f t="shared" si="47"/>
        <v>0</v>
      </c>
      <c r="CI89">
        <f t="shared" si="48"/>
        <v>8.3150000000000002E-2</v>
      </c>
      <c r="CJ89">
        <v>7</v>
      </c>
      <c r="CK89">
        <v>3.25589</v>
      </c>
      <c r="CL89">
        <f t="shared" si="49"/>
        <v>3</v>
      </c>
      <c r="CM89">
        <f t="shared" si="50"/>
        <v>6.4769444444444393E-2</v>
      </c>
      <c r="CN89">
        <f>IF(CM89=BO89,BP89,IF(CM89=BS89,BT89,IF(CM89=BW89,BX89,IF(CM89=CA89,CB89,IF(CM89=CE89,CF89,IF(CM89=CI89,CJ89,0))))))</f>
        <v>6</v>
      </c>
      <c r="CO89">
        <f>IF(CM89=BO89,BQ89,IF(CM89=BS89,BU89,IF(CM89=BW89,BY89,IF(CM89=CA89,CC89,IF(CM89=CE89,CG89,IF(CM89=CI89,CK89,0))))))</f>
        <v>1.51359</v>
      </c>
      <c r="CP89">
        <f t="shared" si="51"/>
        <v>0</v>
      </c>
      <c r="CQ89">
        <f t="shared" si="52"/>
        <v>6.4769444444444393E-2</v>
      </c>
      <c r="CR89">
        <f>IF(CQ89=BO89,BP89,IF(CQ89=BS89,BT89,IF(CQ89=BW89,BX89,IF(CQ89=CA89,CB89,IF(CQ89=CE89,CF89,IF(CQ89=CI89,CJ89,IF(CQ89=CM89,CN89,0)))))))</f>
        <v>6</v>
      </c>
      <c r="CS89">
        <f>IF(CQ89=BO89,BQ89,IF(CQ89=BS89,BU89,IF(CQ89=BW89,BY89,IF(CQ89=CA89,CC89,IF(CQ89=CE89,CG89,IF(CQ89=CI89,CK89,IF(CQ89=CM89,CO89,0)))))))</f>
        <v>1.51359</v>
      </c>
      <c r="CT89">
        <f t="shared" si="53"/>
        <v>0</v>
      </c>
      <c r="CU89">
        <f t="shared" si="54"/>
        <v>6.4769444444444393E-2</v>
      </c>
      <c r="CV89">
        <f>IF(CU89=BO89,BP89,IF(CU89=BS89,BT89,IF(CU89=BW89,BX89,IF(CU89=CA89,CB89,IF(CU89=CE89,CF89,IF(CU89=CI89,CJ89,IF(CU89=CM89,CN89,IF(CU89=CQ89,CR89,0))))))))</f>
        <v>6</v>
      </c>
      <c r="CW89">
        <f>IF(CU89=BO89,BQ89,IF(CU89=BS89,BU89,IF(CU89=BW89,BY89,IF(CU89=CA89,CC89,IF(CU89=CE89,CG89,IF(CU89=CI89,CK89,IF(CU89=CM89,CO89,IF(CU89=CQ89,CS89,0))))))))</f>
        <v>1.51359</v>
      </c>
      <c r="CX89">
        <f t="shared" si="55"/>
        <v>0</v>
      </c>
      <c r="CY89">
        <f t="shared" si="56"/>
        <v>6.4769444444444393E-2</v>
      </c>
      <c r="CZ89">
        <f>IF(CY89=BO89,BP89,IF(CY89=BS89,BT89,IF(CY89=BW89,BX89,IF(CY89=CA89,CB89,IF(CY89=CE89,CF89,IF(CY89=CI89,CJ89,IF(CY89=CM89,CN89,IF(CY89=CQ89,CR89,IF(CY89=CU89,CV89,0)))))))))</f>
        <v>6</v>
      </c>
      <c r="DA89">
        <f>IF(CY89=BO89,BQ89,IF(CY89=BS89,BU89,IF(CY89=BW89,BY89,IF(CY89=CA89,CC89,IF(CY89=CE89,CG89,IF(CY89=CI89,CK89,IF(CY89=CM89,CO89,IF(CY89=CQ89,CS89,IF(CY89=CU89,CW89,0)))))))))</f>
        <v>1.51359</v>
      </c>
      <c r="DB89">
        <f t="shared" si="57"/>
        <v>0</v>
      </c>
      <c r="DC89">
        <f t="shared" si="58"/>
        <v>6.4769444444444393E-2</v>
      </c>
      <c r="DD89">
        <f>IF(DC89=BO89,BP89,IF(DC89=BS89,BT89,IF(DC89=BW89,BX89,IF(DC89=CA89,CB89,IF(DC89=CE89,CF89,IF(DC89=CI89,CJ89,IF(DC89=CM89,CN89,IF(DC89=CQ89,CR89,IF(DC89=CU89,CV89,IF(DC89=CY89,CZ89,0))))))))))</f>
        <v>6</v>
      </c>
      <c r="DE89">
        <f>IF(DC89=BO89,BQ89,IF(DC89=BS89,BU89,IF(DC89=BW89,BY89,IF(DC89=CA89,CC89,IF(DC89=CE89,CG89,IF(DC89=CI89,CK89,IF(DC89=CM89,CO89,IF(DC89=CQ89,CS89,IF(DC89=CU89,CW89,IF(DC89=CY89,DA89,0))))))))))</f>
        <v>1.51359</v>
      </c>
      <c r="DF89">
        <f t="shared" si="59"/>
        <v>0</v>
      </c>
      <c r="DG89">
        <f t="shared" si="60"/>
        <v>6.4769444444444393E-2</v>
      </c>
      <c r="DH89">
        <f>IF(DG89=BO89,BP89,IF(DG89=BS89,BT89,IF(DG89=BW89,BX89,IF(DG89=CA89,CB89,IF(DG89=CE89,CF89,IF(DG89=CI89,CJ89,IF(DG89=CM89,CN89,IF(DG89=CQ89,CR89,IF(DG89=CU89,CV89,IF(DG89=CY89,CZ89,IF(DG89=DC89,DD89,0)))))))))))</f>
        <v>6</v>
      </c>
      <c r="DI89">
        <f>IF(DG89=BO89,BQ89,IF(DG89=BS89,BU89,IF(DG89=BW89,BY89,IF(DG89=CA89,CC89,IF(DG89=CE89,CG89,IF(DG89=CI89,CK89,IF(DG89=CM89,CO89,IF(DG89=CQ89,CS89,IF(DG89=CU89,CW89,IF(DG89=CY89,DA89,IF(DG89=DC89,DE89,0)))))))))))</f>
        <v>1.51359</v>
      </c>
      <c r="DJ89">
        <f t="shared" si="61"/>
        <v>0</v>
      </c>
      <c r="DK89">
        <f t="shared" si="62"/>
        <v>6.4769444444444393E-2</v>
      </c>
      <c r="DL89">
        <f>IF(DK89=BO89,BP89,IF(DK89=BS89,BT89,IF(DK89=BW89,BX89,IF(DK89=CA89,CB89,IF(DK89=CE89,CF89,IF(DK89=CI89,CJ89,IF(DK89=CM89,CN89,IF(DK89=CQ89,CR89,IF(DK89=CU89,CV89,IF(DK89=CY89,CZ89,IF(DK89=DC89,DD89,IF(DK89=DG89,DH89,0))))))))))))</f>
        <v>6</v>
      </c>
      <c r="DM89">
        <f>IF(DK89=BO89,BQ89,IF(DK89=BS89,BU89,IF(DK89=BW89,BY89,IF(DK89=CA89,CC89,IF(DK89=CE89,CG89,IF(DK89=CI89,CK89,IF(DK89=CM89,CO89,IF(DK89=CQ89,CS89,IF(DK89=CU89,CW89,IF(DK89=CY89,DA89,IF(DK89=DC89,DE89,IF(DK89=DG89,DI89,0))))))))))))</f>
        <v>1.51359</v>
      </c>
      <c r="DN89">
        <f t="shared" si="63"/>
        <v>0</v>
      </c>
      <c r="DO89">
        <f t="shared" si="64"/>
        <v>6.4769444444444393E-2</v>
      </c>
      <c r="DP89">
        <f>IF(DO89=BO89,BP89,IF(DO89=BS89,BT89,IF(DO89=BW89,BX89,IF(DO89=CA89,CB89,IF(DO89=CE89,CF89,IF(DO89=CI89,CJ89,IF(DO89=CM89,CN89,IF(DO89=CQ89,CR89,IF(DO89=CU89,CV89,IF(DO89=CY89,CZ89,IF(DO89=DC89,DD89,IF(DO89=DG89,DH89,IF(DO89=DK89,DL89,0)))))))))))))</f>
        <v>6</v>
      </c>
      <c r="DQ89">
        <f>IF(DO89=BO89,BQ89,IF(DO89=BS89,BU89,IF(DO89=BW89,BY89,IF(DO89=CA89,CC89,IF(DO89=CE89,CG89,IF(DO89=CI89,CK89,IF(DO89=CM89,CO89,IF(DO89=CQ89,CS89,IF(DO89=CU89,CW89,IF(DO89=CY89,DA89,IF(DO89=DC89,DE89,IF(DO89=DG89,DI89,IF(DO89=DK89,DM89,0)))))))))))))</f>
        <v>1.51359</v>
      </c>
      <c r="DR89">
        <f t="shared" si="65"/>
        <v>0</v>
      </c>
      <c r="DS89">
        <f t="shared" si="66"/>
        <v>6.4769444444444393E-2</v>
      </c>
      <c r="DT89">
        <f>IF(DS89=BO89,BP89,IF(DS89=BS89,BT89,IF(DS89=BW89,BX89,IF(DS89=CA89,CB89,IF(DS89=CE89,CF89,IF(DS89=CI89,CJ89,IF(DS89=CM89,CN89,IF(DS89=CQ89,CR89,IF(DS89=CU89,CV89,IF(DS89=CY89,CZ89,IF(DS89=DC89,DD89,IF(DS89=DG89,DH89,IF(DS89=DK89,DL89,IF(DS89=DO89,DP89,0))))))))))))))</f>
        <v>6</v>
      </c>
      <c r="DU89">
        <f>IF(DS89=BO89,BQ89,IF(DS89=BS89,BU89,IF(DS89=BW89,BY89,IF(DS89=CA89,CC89,IF(DS89=CE89,CG89,IF(DS89=CI89,CK89,IF(DS89=CM89,CO89,IF(DS89=CQ89,CS89,IF(DS89=CU89,CW89,IF(DS89=CY89,DA89,IF(DS89=DC89,DE89,IF(DS89=DG89,DI89,IF(DS89=DK89,DM89,IF(DS89=DO89,DQ89,0))))))))))))))</f>
        <v>1.51359</v>
      </c>
      <c r="DV89">
        <f t="shared" si="67"/>
        <v>0</v>
      </c>
      <c r="DW89">
        <v>7500</v>
      </c>
      <c r="DX89">
        <v>3</v>
      </c>
      <c r="DY89">
        <v>20</v>
      </c>
      <c r="DZ89">
        <v>0</v>
      </c>
      <c r="EA89">
        <v>0</v>
      </c>
      <c r="EB89">
        <v>3.37129157926281</v>
      </c>
      <c r="EC89">
        <v>0</v>
      </c>
      <c r="ED89">
        <v>1.4882972000000001</v>
      </c>
      <c r="EE89">
        <v>6.4769444444444393E-2</v>
      </c>
      <c r="EF89">
        <v>1.51359</v>
      </c>
      <c r="EG89">
        <v>1.85370978189488</v>
      </c>
      <c r="EH89">
        <v>6</v>
      </c>
      <c r="EI89">
        <v>0</v>
      </c>
      <c r="EJ89">
        <v>0.26235560000000002</v>
      </c>
      <c r="EK89">
        <v>1</v>
      </c>
      <c r="EL89">
        <v>0</v>
      </c>
      <c r="EM89">
        <v>21</v>
      </c>
      <c r="EN89">
        <v>1</v>
      </c>
      <c r="EO89">
        <v>2</v>
      </c>
      <c r="EP89">
        <v>7</v>
      </c>
      <c r="EQ89">
        <v>5</v>
      </c>
      <c r="ER89">
        <v>14.1987814663817</v>
      </c>
      <c r="ES89">
        <v>5.3194157121413701</v>
      </c>
      <c r="ET89">
        <v>6.80771291214137</v>
      </c>
      <c r="EU89">
        <v>1.83929437473123</v>
      </c>
      <c r="EV89">
        <v>2.1016499747312301</v>
      </c>
      <c r="EW89">
        <v>0.92251119999999998</v>
      </c>
      <c r="EX89">
        <v>2.9804819940320399</v>
      </c>
      <c r="EY89">
        <v>3.9029931940320401</v>
      </c>
      <c r="EZ89">
        <v>0.26235560000000002</v>
      </c>
      <c r="FA89">
        <v>1.83929437473123</v>
      </c>
      <c r="FB89">
        <v>2.1016499747312301</v>
      </c>
      <c r="FC89">
        <v>1.94394893333333</v>
      </c>
      <c r="FD89">
        <v>5.5294787957245797</v>
      </c>
      <c r="FE89">
        <v>7.4734277290579101</v>
      </c>
      <c r="FF89">
        <v>0.26235560000000002</v>
      </c>
      <c r="FG89">
        <v>1.83929437473123</v>
      </c>
      <c r="FH89">
        <v>2.1016499747312301</v>
      </c>
    </row>
    <row r="90" spans="1:164" x14ac:dyDescent="0.2">
      <c r="A90">
        <v>89</v>
      </c>
      <c r="B90">
        <v>101</v>
      </c>
      <c r="C90">
        <v>160</v>
      </c>
      <c r="D90">
        <v>1</v>
      </c>
      <c r="E90">
        <v>11</v>
      </c>
      <c r="F90" t="s">
        <v>158</v>
      </c>
      <c r="G90" t="s">
        <v>278</v>
      </c>
      <c r="H90">
        <v>3</v>
      </c>
      <c r="I90">
        <v>6</v>
      </c>
      <c r="K90" t="s">
        <v>220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1</v>
      </c>
      <c r="AD90">
        <v>16</v>
      </c>
      <c r="AE90">
        <v>20</v>
      </c>
      <c r="AF90">
        <v>10</v>
      </c>
      <c r="AG90">
        <v>15</v>
      </c>
      <c r="AH90">
        <v>5</v>
      </c>
      <c r="AI90">
        <v>0.15404166666666699</v>
      </c>
      <c r="AJ90">
        <v>5.4118199999999996</v>
      </c>
      <c r="AK90">
        <v>0.37381111111111098</v>
      </c>
      <c r="AL90">
        <v>20.388739999999999</v>
      </c>
      <c r="AM90">
        <v>0.26792222222222201</v>
      </c>
      <c r="AN90">
        <v>17.918600000000001</v>
      </c>
      <c r="AO90">
        <v>0.26406388888888899</v>
      </c>
      <c r="AP90">
        <v>15.5451</v>
      </c>
      <c r="AQ90">
        <v>0.28736388888888897</v>
      </c>
      <c r="AR90">
        <v>15.872999999999999</v>
      </c>
      <c r="AS90">
        <v>0.25255</v>
      </c>
      <c r="AT90">
        <v>12.37313</v>
      </c>
      <c r="AU90">
        <v>0.14968888888888901</v>
      </c>
      <c r="AV90">
        <v>6.6999599999999999</v>
      </c>
      <c r="AW90">
        <v>0.114469444444444</v>
      </c>
      <c r="AX90">
        <v>3.58779</v>
      </c>
      <c r="AY90">
        <v>1.47388888888889E-2</v>
      </c>
      <c r="AZ90">
        <v>0.44144</v>
      </c>
      <c r="BA90">
        <v>3.0536111111111101E-2</v>
      </c>
      <c r="BB90">
        <v>0.97511000000000003</v>
      </c>
      <c r="BC90">
        <v>0.134163888888889</v>
      </c>
      <c r="BD90">
        <v>3.3732099999999998</v>
      </c>
      <c r="BE90">
        <v>0.21928611111111099</v>
      </c>
      <c r="BF90">
        <v>11.962580000000001</v>
      </c>
      <c r="BG90">
        <v>0.28315833333333301</v>
      </c>
      <c r="BH90">
        <v>15.36543</v>
      </c>
      <c r="BI90">
        <v>0.32698611111111098</v>
      </c>
      <c r="BJ90">
        <v>17.33935</v>
      </c>
      <c r="BK90">
        <v>0.395125</v>
      </c>
      <c r="BL90">
        <v>24.155000000000001</v>
      </c>
      <c r="BM90">
        <v>0.43663055555555602</v>
      </c>
      <c r="BN90">
        <v>26.147680000000001</v>
      </c>
      <c r="BO90">
        <f t="shared" si="34"/>
        <v>1.47388888888889E-2</v>
      </c>
      <c r="BP90">
        <v>8</v>
      </c>
      <c r="BQ90">
        <v>0.44144</v>
      </c>
      <c r="BR90">
        <f t="shared" si="35"/>
        <v>0</v>
      </c>
      <c r="BS90">
        <f t="shared" si="36"/>
        <v>1.47388888888889E-2</v>
      </c>
      <c r="BT90">
        <f t="shared" si="37"/>
        <v>8</v>
      </c>
      <c r="BU90">
        <f t="shared" si="38"/>
        <v>0.44144</v>
      </c>
      <c r="BV90">
        <f t="shared" si="39"/>
        <v>0</v>
      </c>
      <c r="BW90">
        <f t="shared" si="40"/>
        <v>1.47388888888889E-2</v>
      </c>
      <c r="BX90">
        <f t="shared" si="41"/>
        <v>8</v>
      </c>
      <c r="BY90">
        <f t="shared" si="42"/>
        <v>0.44144</v>
      </c>
      <c r="BZ90">
        <f t="shared" si="43"/>
        <v>0</v>
      </c>
      <c r="CA90">
        <f t="shared" si="44"/>
        <v>1.47388888888889E-2</v>
      </c>
      <c r="CB90">
        <f>IF(CA90=BO90,BP90,IF(CA90=BS90,BT90,IF(CA90=BW90,BX90,0)))</f>
        <v>8</v>
      </c>
      <c r="CC90">
        <f>IF(CA90=BO90,BQ90,IF(CA90=BS90,BU90,IF(CA90=BW90,BY90,0)))</f>
        <v>0.44144</v>
      </c>
      <c r="CD90">
        <f t="shared" si="45"/>
        <v>0</v>
      </c>
      <c r="CE90">
        <f t="shared" si="46"/>
        <v>1.47388888888889E-2</v>
      </c>
      <c r="CF90">
        <f>IF(CE90=BO90,BP90,IF(CE90=BS90,BT90,IF(CE90=BW90,BX90,IF(CE90=CA90,CB90,0))))</f>
        <v>8</v>
      </c>
      <c r="CG90">
        <f>IF(CE90=BO90,BQ90,IF(CE90=BS90,BU90,IF(CE90=BW90,BY90,IF(CE90=CA90,CC90,0))))</f>
        <v>0.44144</v>
      </c>
      <c r="CH90">
        <f t="shared" si="47"/>
        <v>0</v>
      </c>
      <c r="CI90">
        <f t="shared" si="48"/>
        <v>1.47388888888889E-2</v>
      </c>
      <c r="CJ90">
        <f>IF(CI90=BO90,BP90,IF(CI90=BS90,BT90,IF(CI90=BW90,BX90,IF(CI90=CA90,CB90,IF(CI90=CE90,CF90,0)))))</f>
        <v>8</v>
      </c>
      <c r="CK90">
        <f>IF(CI90=BO90,BQ90,IF(CI90=BS90,BU90,IF(CI90=BW90,BY90,IF(CI90=CA90,CC90,IF(CI90=CE90,CG90,0)))))</f>
        <v>0.44144</v>
      </c>
      <c r="CL90">
        <f t="shared" si="49"/>
        <v>0</v>
      </c>
      <c r="CM90">
        <f t="shared" si="50"/>
        <v>1.47388888888889E-2</v>
      </c>
      <c r="CN90">
        <f>IF(CM90=BO90,BP90,IF(CM90=BS90,BT90,IF(CM90=BW90,BX90,IF(CM90=CA90,CB90,IF(CM90=CE90,CF90,IF(CM90=CI90,CJ90,0))))))</f>
        <v>8</v>
      </c>
      <c r="CO90">
        <f>IF(CM90=BO90,BQ90,IF(CM90=BS90,BU90,IF(CM90=BW90,BY90,IF(CM90=CA90,CC90,IF(CM90=CE90,CG90,IF(CM90=CI90,CK90,0))))))</f>
        <v>0.44144</v>
      </c>
      <c r="CP90">
        <f t="shared" si="51"/>
        <v>0</v>
      </c>
      <c r="CQ90">
        <f t="shared" si="52"/>
        <v>3.0536111111111101E-2</v>
      </c>
      <c r="CR90">
        <v>9</v>
      </c>
      <c r="CS90">
        <v>0.97511000000000003</v>
      </c>
      <c r="CT90">
        <f t="shared" si="53"/>
        <v>0</v>
      </c>
      <c r="CU90">
        <f t="shared" si="54"/>
        <v>1.47388888888889E-2</v>
      </c>
      <c r="CV90">
        <f>IF(CU90=BO90,BP90,IF(CU90=BS90,BT90,IF(CU90=BW90,BX90,IF(CU90=CA90,CB90,IF(CU90=CE90,CF90,IF(CU90=CI90,CJ90,IF(CU90=CM90,CN90,IF(CU90=CQ90,CR90,0))))))))</f>
        <v>8</v>
      </c>
      <c r="CW90">
        <f>IF(CU90=BO90,BQ90,IF(CU90=BS90,BU90,IF(CU90=BW90,BY90,IF(CU90=CA90,CC90,IF(CU90=CE90,CG90,IF(CU90=CI90,CK90,IF(CU90=CM90,CO90,IF(CU90=CQ90,CS90,0))))))))</f>
        <v>0.44144</v>
      </c>
      <c r="CX90">
        <f t="shared" si="55"/>
        <v>0</v>
      </c>
      <c r="CY90">
        <f t="shared" si="56"/>
        <v>1.47388888888889E-2</v>
      </c>
      <c r="CZ90">
        <f>IF(CY90=BO90,BP90,IF(CY90=BS90,BT90,IF(CY90=BW90,BX90,IF(CY90=CA90,CB90,IF(CY90=CE90,CF90,IF(CY90=CI90,CJ90,IF(CY90=CM90,CN90,IF(CY90=CQ90,CR90,IF(CY90=CU90,CV90,0)))))))))</f>
        <v>8</v>
      </c>
      <c r="DA90">
        <f>IF(CY90=BO90,BQ90,IF(CY90=BS90,BU90,IF(CY90=BW90,BY90,IF(CY90=CA90,CC90,IF(CY90=CE90,CG90,IF(CY90=CI90,CK90,IF(CY90=CM90,CO90,IF(CY90=CQ90,CS90,IF(CY90=CU90,CW90,0)))))))))</f>
        <v>0.44144</v>
      </c>
      <c r="DB90">
        <f t="shared" si="57"/>
        <v>0</v>
      </c>
      <c r="DC90">
        <f t="shared" si="58"/>
        <v>1.47388888888889E-2</v>
      </c>
      <c r="DD90">
        <f>IF(DC90=BO90,BP90,IF(DC90=BS90,BT90,IF(DC90=BW90,BX90,IF(DC90=CA90,CB90,IF(DC90=CE90,CF90,IF(DC90=CI90,CJ90,IF(DC90=CM90,CN90,IF(DC90=CQ90,CR90,IF(DC90=CU90,CV90,IF(DC90=CY90,CZ90,0))))))))))</f>
        <v>8</v>
      </c>
      <c r="DE90">
        <f>IF(DC90=BO90,BQ90,IF(DC90=BS90,BU90,IF(DC90=BW90,BY90,IF(DC90=CA90,CC90,IF(DC90=CE90,CG90,IF(DC90=CI90,CK90,IF(DC90=CM90,CO90,IF(DC90=CQ90,CS90,IF(DC90=CU90,CW90,IF(DC90=CY90,DA90,0))))))))))</f>
        <v>0.44144</v>
      </c>
      <c r="DF90">
        <f t="shared" si="59"/>
        <v>0</v>
      </c>
      <c r="DG90">
        <f t="shared" si="60"/>
        <v>1.47388888888889E-2</v>
      </c>
      <c r="DH90">
        <f>IF(DG90=BO90,BP90,IF(DG90=BS90,BT90,IF(DG90=BW90,BX90,IF(DG90=CA90,CB90,IF(DG90=CE90,CF90,IF(DG90=CI90,CJ90,IF(DG90=CM90,CN90,IF(DG90=CQ90,CR90,IF(DG90=CU90,CV90,IF(DG90=CY90,CZ90,IF(DG90=DC90,DD90,0)))))))))))</f>
        <v>8</v>
      </c>
      <c r="DI90">
        <f>IF(DG90=BO90,BQ90,IF(DG90=BS90,BU90,IF(DG90=BW90,BY90,IF(DG90=CA90,CC90,IF(DG90=CE90,CG90,IF(DG90=CI90,CK90,IF(DG90=CM90,CO90,IF(DG90=CQ90,CS90,IF(DG90=CU90,CW90,IF(DG90=CY90,DA90,IF(DG90=DC90,DE90,0)))))))))))</f>
        <v>0.44144</v>
      </c>
      <c r="DJ90">
        <f t="shared" si="61"/>
        <v>0</v>
      </c>
      <c r="DK90">
        <f t="shared" si="62"/>
        <v>1.47388888888889E-2</v>
      </c>
      <c r="DL90">
        <f>IF(DK90=BO90,BP90,IF(DK90=BS90,BT90,IF(DK90=BW90,BX90,IF(DK90=CA90,CB90,IF(DK90=CE90,CF90,IF(DK90=CI90,CJ90,IF(DK90=CM90,CN90,IF(DK90=CQ90,CR90,IF(DK90=CU90,CV90,IF(DK90=CY90,CZ90,IF(DK90=DC90,DD90,IF(DK90=DG90,DH90,0))))))))))))</f>
        <v>8</v>
      </c>
      <c r="DM90">
        <f>IF(DK90=BO90,BQ90,IF(DK90=BS90,BU90,IF(DK90=BW90,BY90,IF(DK90=CA90,CC90,IF(DK90=CE90,CG90,IF(DK90=CI90,CK90,IF(DK90=CM90,CO90,IF(DK90=CQ90,CS90,IF(DK90=CU90,CW90,IF(DK90=CY90,DA90,IF(DK90=DC90,DE90,IF(DK90=DG90,DI90,0))))))))))))</f>
        <v>0.44144</v>
      </c>
      <c r="DN90">
        <f t="shared" si="63"/>
        <v>0</v>
      </c>
      <c r="DO90">
        <f t="shared" si="64"/>
        <v>1.47388888888889E-2</v>
      </c>
      <c r="DP90">
        <f>IF(DO90=BO90,BP90,IF(DO90=BS90,BT90,IF(DO90=BW90,BX90,IF(DO90=CA90,CB90,IF(DO90=CE90,CF90,IF(DO90=CI90,CJ90,IF(DO90=CM90,CN90,IF(DO90=CQ90,CR90,IF(DO90=CU90,CV90,IF(DO90=CY90,CZ90,IF(DO90=DC90,DD90,IF(DO90=DG90,DH90,IF(DO90=DK90,DL90,0)))))))))))))</f>
        <v>8</v>
      </c>
      <c r="DQ90">
        <f>IF(DO90=BO90,BQ90,IF(DO90=BS90,BU90,IF(DO90=BW90,BY90,IF(DO90=CA90,CC90,IF(DO90=CE90,CG90,IF(DO90=CI90,CK90,IF(DO90=CM90,CO90,IF(DO90=CQ90,CS90,IF(DO90=CU90,CW90,IF(DO90=CY90,DA90,IF(DO90=DC90,DE90,IF(DO90=DG90,DI90,IF(DO90=DK90,DM90,0)))))))))))))</f>
        <v>0.44144</v>
      </c>
      <c r="DR90">
        <f t="shared" si="65"/>
        <v>0</v>
      </c>
      <c r="DS90">
        <f t="shared" si="66"/>
        <v>1.47388888888889E-2</v>
      </c>
      <c r="DT90">
        <f>IF(DS90=BO90,BP90,IF(DS90=BS90,BT90,IF(DS90=BW90,BX90,IF(DS90=CA90,CB90,IF(DS90=CE90,CF90,IF(DS90=CI90,CJ90,IF(DS90=CM90,CN90,IF(DS90=CQ90,CR90,IF(DS90=CU90,CV90,IF(DS90=CY90,CZ90,IF(DS90=DC90,DD90,IF(DS90=DG90,DH90,IF(DS90=DK90,DL90,IF(DS90=DO90,DP90,0))))))))))))))</f>
        <v>8</v>
      </c>
      <c r="DU90">
        <f>IF(DS90=BO90,BQ90,IF(DS90=BS90,BU90,IF(DS90=BW90,BY90,IF(DS90=CA90,CC90,IF(DS90=CE90,CG90,IF(DS90=CI90,CK90,IF(DS90=CM90,CO90,IF(DS90=CQ90,CS90,IF(DS90=CU90,CW90,IF(DS90=CY90,DA90,IF(DS90=DC90,DE90,IF(DS90=DG90,DI90,IF(DS90=DK90,DM90,IF(DS90=DO90,DQ90,0))))))))))))))</f>
        <v>0.44144</v>
      </c>
      <c r="DV90">
        <f t="shared" si="67"/>
        <v>0</v>
      </c>
      <c r="DW90">
        <v>22500.5</v>
      </c>
      <c r="DX90">
        <v>3</v>
      </c>
      <c r="DY90">
        <v>0</v>
      </c>
      <c r="DZ90">
        <v>0</v>
      </c>
      <c r="EA90">
        <v>0</v>
      </c>
      <c r="EB90">
        <v>10.114099490560401</v>
      </c>
      <c r="EC90">
        <v>0</v>
      </c>
      <c r="ED90">
        <v>0</v>
      </c>
      <c r="EE90">
        <v>1.47388888888889E-2</v>
      </c>
      <c r="EF90">
        <v>0.44144</v>
      </c>
      <c r="EG90">
        <v>3.1159854847168198</v>
      </c>
      <c r="EH90">
        <v>8</v>
      </c>
      <c r="EI90">
        <v>0</v>
      </c>
      <c r="EJ90">
        <v>0</v>
      </c>
      <c r="EK90">
        <v>0</v>
      </c>
      <c r="EL90">
        <v>0</v>
      </c>
      <c r="EM90">
        <v>26</v>
      </c>
      <c r="EN90">
        <v>0</v>
      </c>
      <c r="EO90">
        <v>3</v>
      </c>
      <c r="EP90">
        <v>5</v>
      </c>
      <c r="EQ90">
        <v>10</v>
      </c>
      <c r="ER90">
        <v>14.1987814663817</v>
      </c>
      <c r="ES90">
        <v>4.37440792343443</v>
      </c>
      <c r="ET90">
        <v>4.37440792343443</v>
      </c>
      <c r="EU90">
        <v>0.418548524781229</v>
      </c>
      <c r="EV90">
        <v>0.418548524781229</v>
      </c>
      <c r="EW90">
        <v>0</v>
      </c>
      <c r="EX90">
        <v>0.418548524781229</v>
      </c>
      <c r="EY90">
        <v>0.418548524781229</v>
      </c>
      <c r="EZ90">
        <v>0</v>
      </c>
      <c r="FA90">
        <v>0.86715113699963198</v>
      </c>
      <c r="FB90">
        <v>0.86715113699963198</v>
      </c>
      <c r="FC90">
        <v>0</v>
      </c>
      <c r="FD90">
        <v>7.4987709029924599</v>
      </c>
      <c r="FE90">
        <v>7.4987709029924599</v>
      </c>
      <c r="FF90">
        <v>0</v>
      </c>
      <c r="FG90">
        <v>0.418548524781229</v>
      </c>
      <c r="FH90">
        <v>0.418548524781229</v>
      </c>
    </row>
    <row r="91" spans="1:164" x14ac:dyDescent="0.2">
      <c r="A91">
        <v>90</v>
      </c>
      <c r="B91">
        <v>102</v>
      </c>
      <c r="C91">
        <v>161</v>
      </c>
      <c r="D91">
        <v>1</v>
      </c>
      <c r="E91">
        <v>11</v>
      </c>
      <c r="F91" t="s">
        <v>158</v>
      </c>
      <c r="G91" t="s">
        <v>279</v>
      </c>
      <c r="H91">
        <v>3</v>
      </c>
      <c r="I91">
        <v>5</v>
      </c>
      <c r="K91" t="s">
        <v>220</v>
      </c>
      <c r="L91">
        <v>0</v>
      </c>
      <c r="M91">
        <v>0</v>
      </c>
      <c r="N91">
        <v>0</v>
      </c>
      <c r="O91">
        <v>0</v>
      </c>
      <c r="P91">
        <v>0</v>
      </c>
      <c r="Q91">
        <v>2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3</v>
      </c>
      <c r="AC91">
        <v>3</v>
      </c>
      <c r="AD91">
        <v>31</v>
      </c>
      <c r="AE91">
        <v>40</v>
      </c>
      <c r="AF91">
        <v>20</v>
      </c>
      <c r="AG91">
        <v>30</v>
      </c>
      <c r="AH91">
        <v>8</v>
      </c>
      <c r="AI91">
        <v>0.15404166666666699</v>
      </c>
      <c r="AJ91">
        <v>5.4118199999999996</v>
      </c>
      <c r="AK91">
        <v>0.37381111111111098</v>
      </c>
      <c r="AL91">
        <v>20.388739999999999</v>
      </c>
      <c r="AM91">
        <v>0.26792222222222201</v>
      </c>
      <c r="AN91">
        <v>17.918600000000001</v>
      </c>
      <c r="AO91">
        <v>0.26406388888888899</v>
      </c>
      <c r="AP91">
        <v>15.5451</v>
      </c>
      <c r="AQ91">
        <v>0.28736388888888897</v>
      </c>
      <c r="AR91">
        <v>15.872999999999999</v>
      </c>
      <c r="AS91">
        <v>0.25255</v>
      </c>
      <c r="AT91">
        <v>12.37313</v>
      </c>
      <c r="AU91">
        <v>0.14968888888888901</v>
      </c>
      <c r="AV91">
        <v>6.6999599999999999</v>
      </c>
      <c r="AW91">
        <v>0.114469444444444</v>
      </c>
      <c r="AX91">
        <v>3.58779</v>
      </c>
      <c r="AY91">
        <v>1.47388888888889E-2</v>
      </c>
      <c r="AZ91">
        <v>0.44144</v>
      </c>
      <c r="BA91">
        <v>3.0536111111111101E-2</v>
      </c>
      <c r="BB91">
        <v>0.97511000000000003</v>
      </c>
      <c r="BC91">
        <v>0.134163888888889</v>
      </c>
      <c r="BD91">
        <v>3.3732099999999998</v>
      </c>
      <c r="BE91">
        <v>0.21928611111111099</v>
      </c>
      <c r="BF91">
        <v>11.962580000000001</v>
      </c>
      <c r="BG91">
        <v>0.28315833333333301</v>
      </c>
      <c r="BH91">
        <v>15.36543</v>
      </c>
      <c r="BI91">
        <v>0.32698611111111098</v>
      </c>
      <c r="BJ91">
        <v>17.33935</v>
      </c>
      <c r="BK91">
        <v>0.395125</v>
      </c>
      <c r="BL91">
        <v>24.155000000000001</v>
      </c>
      <c r="BM91">
        <v>0.43663055555555602</v>
      </c>
      <c r="BN91">
        <v>26.147680000000001</v>
      </c>
      <c r="BO91">
        <f t="shared" si="34"/>
        <v>1.47388888888889E-2</v>
      </c>
      <c r="BP91">
        <v>8</v>
      </c>
      <c r="BQ91">
        <v>0.44144</v>
      </c>
      <c r="BR91">
        <f t="shared" si="35"/>
        <v>0</v>
      </c>
      <c r="BS91">
        <f t="shared" si="36"/>
        <v>1.47388888888889E-2</v>
      </c>
      <c r="BT91">
        <f t="shared" si="37"/>
        <v>8</v>
      </c>
      <c r="BU91">
        <f t="shared" si="38"/>
        <v>0.44144</v>
      </c>
      <c r="BV91">
        <f t="shared" si="39"/>
        <v>0</v>
      </c>
      <c r="BW91">
        <f t="shared" si="40"/>
        <v>1.47388888888889E-2</v>
      </c>
      <c r="BX91">
        <f t="shared" si="41"/>
        <v>8</v>
      </c>
      <c r="BY91">
        <f t="shared" si="42"/>
        <v>0.44144</v>
      </c>
      <c r="BZ91">
        <f t="shared" si="43"/>
        <v>0</v>
      </c>
      <c r="CA91">
        <f t="shared" si="44"/>
        <v>1.47388888888889E-2</v>
      </c>
      <c r="CB91">
        <f>IF(CA91=BO91,BP91,IF(CA91=BS91,BT91,IF(CA91=BW91,BX91,0)))</f>
        <v>8</v>
      </c>
      <c r="CC91">
        <f>IF(CA91=BO91,BQ91,IF(CA91=BS91,BU91,IF(CA91=BW91,BY91,0)))</f>
        <v>0.44144</v>
      </c>
      <c r="CD91">
        <f t="shared" si="45"/>
        <v>0</v>
      </c>
      <c r="CE91">
        <f t="shared" si="46"/>
        <v>1.47388888888889E-2</v>
      </c>
      <c r="CF91">
        <f>IF(CE91=BO91,BP91,IF(CE91=BS91,BT91,IF(CE91=BW91,BX91,IF(CE91=CA91,CB91,0))))</f>
        <v>8</v>
      </c>
      <c r="CG91">
        <f>IF(CE91=BO91,BQ91,IF(CE91=BS91,BU91,IF(CE91=BW91,BY91,IF(CE91=CA91,CC91,0))))</f>
        <v>0.44144</v>
      </c>
      <c r="CH91">
        <f t="shared" si="47"/>
        <v>0</v>
      </c>
      <c r="CI91">
        <f t="shared" si="48"/>
        <v>1.47388888888889E-2</v>
      </c>
      <c r="CJ91">
        <f>IF(CI91=BO91,BP91,IF(CI91=BS91,BT91,IF(CI91=BW91,BX91,IF(CI91=CA91,CB91,IF(CI91=CE91,CF91,0)))))</f>
        <v>8</v>
      </c>
      <c r="CK91">
        <f>IF(CI91=BO91,BQ91,IF(CI91=BS91,BU91,IF(CI91=BW91,BY91,IF(CI91=CA91,CC91,IF(CI91=CE91,CG91,0)))))</f>
        <v>0.44144</v>
      </c>
      <c r="CL91">
        <f t="shared" si="49"/>
        <v>0</v>
      </c>
      <c r="CM91">
        <f t="shared" si="50"/>
        <v>1.47388888888889E-2</v>
      </c>
      <c r="CN91">
        <f>IF(CM91=BO91,BP91,IF(CM91=BS91,BT91,IF(CM91=BW91,BX91,IF(CM91=CA91,CB91,IF(CM91=CE91,CF91,IF(CM91=CI91,CJ91,0))))))</f>
        <v>8</v>
      </c>
      <c r="CO91">
        <f>IF(CM91=BO91,BQ91,IF(CM91=BS91,BU91,IF(CM91=BW91,BY91,IF(CM91=CA91,CC91,IF(CM91=CE91,CG91,IF(CM91=CI91,CK91,0))))))</f>
        <v>0.44144</v>
      </c>
      <c r="CP91">
        <f t="shared" si="51"/>
        <v>0</v>
      </c>
      <c r="CQ91">
        <f t="shared" si="52"/>
        <v>3.0536111111111101E-2</v>
      </c>
      <c r="CR91">
        <v>9</v>
      </c>
      <c r="CS91">
        <v>0.97511000000000003</v>
      </c>
      <c r="CT91">
        <f t="shared" si="53"/>
        <v>0</v>
      </c>
      <c r="CU91">
        <f t="shared" si="54"/>
        <v>1.47388888888889E-2</v>
      </c>
      <c r="CV91">
        <f>IF(CU91=BO91,BP91,IF(CU91=BS91,BT91,IF(CU91=BW91,BX91,IF(CU91=CA91,CB91,IF(CU91=CE91,CF91,IF(CU91=CI91,CJ91,IF(CU91=CM91,CN91,IF(CU91=CQ91,CR91,0))))))))</f>
        <v>8</v>
      </c>
      <c r="CW91">
        <f>IF(CU91=BO91,BQ91,IF(CU91=BS91,BU91,IF(CU91=BW91,BY91,IF(CU91=CA91,CC91,IF(CU91=CE91,CG91,IF(CU91=CI91,CK91,IF(CU91=CM91,CO91,IF(CU91=CQ91,CS91,0))))))))</f>
        <v>0.44144</v>
      </c>
      <c r="CX91">
        <f t="shared" si="55"/>
        <v>0</v>
      </c>
      <c r="CY91">
        <f t="shared" si="56"/>
        <v>1.47388888888889E-2</v>
      </c>
      <c r="CZ91">
        <f>IF(CY91=BO91,BP91,IF(CY91=BS91,BT91,IF(CY91=BW91,BX91,IF(CY91=CA91,CB91,IF(CY91=CE91,CF91,IF(CY91=CI91,CJ91,IF(CY91=CM91,CN91,IF(CY91=CQ91,CR91,IF(CY91=CU91,CV91,0)))))))))</f>
        <v>8</v>
      </c>
      <c r="DA91">
        <f>IF(CY91=BO91,BQ91,IF(CY91=BS91,BU91,IF(CY91=BW91,BY91,IF(CY91=CA91,CC91,IF(CY91=CE91,CG91,IF(CY91=CI91,CK91,IF(CY91=CM91,CO91,IF(CY91=CQ91,CS91,IF(CY91=CU91,CW91,0)))))))))</f>
        <v>0.44144</v>
      </c>
      <c r="DB91">
        <f t="shared" si="57"/>
        <v>0</v>
      </c>
      <c r="DC91">
        <f t="shared" si="58"/>
        <v>1.47388888888889E-2</v>
      </c>
      <c r="DD91">
        <f>IF(DC91=BO91,BP91,IF(DC91=BS91,BT91,IF(DC91=BW91,BX91,IF(DC91=CA91,CB91,IF(DC91=CE91,CF91,IF(DC91=CI91,CJ91,IF(DC91=CM91,CN91,IF(DC91=CQ91,CR91,IF(DC91=CU91,CV91,IF(DC91=CY91,CZ91,0))))))))))</f>
        <v>8</v>
      </c>
      <c r="DE91">
        <f>IF(DC91=BO91,BQ91,IF(DC91=BS91,BU91,IF(DC91=BW91,BY91,IF(DC91=CA91,CC91,IF(DC91=CE91,CG91,IF(DC91=CI91,CK91,IF(DC91=CM91,CO91,IF(DC91=CQ91,CS91,IF(DC91=CU91,CW91,IF(DC91=CY91,DA91,0))))))))))</f>
        <v>0.44144</v>
      </c>
      <c r="DF91">
        <f t="shared" si="59"/>
        <v>0</v>
      </c>
      <c r="DG91">
        <f t="shared" si="60"/>
        <v>1.47388888888889E-2</v>
      </c>
      <c r="DH91">
        <f>IF(DG91=BO91,BP91,IF(DG91=BS91,BT91,IF(DG91=BW91,BX91,IF(DG91=CA91,CB91,IF(DG91=CE91,CF91,IF(DG91=CI91,CJ91,IF(DG91=CM91,CN91,IF(DG91=CQ91,CR91,IF(DG91=CU91,CV91,IF(DG91=CY91,CZ91,IF(DG91=DC91,DD91,0)))))))))))</f>
        <v>8</v>
      </c>
      <c r="DI91">
        <f>IF(DG91=BO91,BQ91,IF(DG91=BS91,BU91,IF(DG91=BW91,BY91,IF(DG91=CA91,CC91,IF(DG91=CE91,CG91,IF(DG91=CI91,CK91,IF(DG91=CM91,CO91,IF(DG91=CQ91,CS91,IF(DG91=CU91,CW91,IF(DG91=CY91,DA91,IF(DG91=DC91,DE91,0)))))))))))</f>
        <v>0.44144</v>
      </c>
      <c r="DJ91">
        <f t="shared" si="61"/>
        <v>0</v>
      </c>
      <c r="DK91">
        <f t="shared" si="62"/>
        <v>1.47388888888889E-2</v>
      </c>
      <c r="DL91">
        <f>IF(DK91=BO91,BP91,IF(DK91=BS91,BT91,IF(DK91=BW91,BX91,IF(DK91=CA91,CB91,IF(DK91=CE91,CF91,IF(DK91=CI91,CJ91,IF(DK91=CM91,CN91,IF(DK91=CQ91,CR91,IF(DK91=CU91,CV91,IF(DK91=CY91,CZ91,IF(DK91=DC91,DD91,IF(DK91=DG91,DH91,0))))))))))))</f>
        <v>8</v>
      </c>
      <c r="DM91">
        <f>IF(DK91=BO91,BQ91,IF(DK91=BS91,BU91,IF(DK91=BW91,BY91,IF(DK91=CA91,CC91,IF(DK91=CE91,CG91,IF(DK91=CI91,CK91,IF(DK91=CM91,CO91,IF(DK91=CQ91,CS91,IF(DK91=CU91,CW91,IF(DK91=CY91,DA91,IF(DK91=DC91,DE91,IF(DK91=DG91,DI91,0))))))))))))</f>
        <v>0.44144</v>
      </c>
      <c r="DN91">
        <f t="shared" si="63"/>
        <v>0</v>
      </c>
      <c r="DO91">
        <f t="shared" si="64"/>
        <v>1.47388888888889E-2</v>
      </c>
      <c r="DP91">
        <f>IF(DO91=BO91,BP91,IF(DO91=BS91,BT91,IF(DO91=BW91,BX91,IF(DO91=CA91,CB91,IF(DO91=CE91,CF91,IF(DO91=CI91,CJ91,IF(DO91=CM91,CN91,IF(DO91=CQ91,CR91,IF(DO91=CU91,CV91,IF(DO91=CY91,CZ91,IF(DO91=DC91,DD91,IF(DO91=DG91,DH91,IF(DO91=DK91,DL91,0)))))))))))))</f>
        <v>8</v>
      </c>
      <c r="DQ91">
        <f>IF(DO91=BO91,BQ91,IF(DO91=BS91,BU91,IF(DO91=BW91,BY91,IF(DO91=CA91,CC91,IF(DO91=CE91,CG91,IF(DO91=CI91,CK91,IF(DO91=CM91,CO91,IF(DO91=CQ91,CS91,IF(DO91=CU91,CW91,IF(DO91=CY91,DA91,IF(DO91=DC91,DE91,IF(DO91=DG91,DI91,IF(DO91=DK91,DM91,0)))))))))))))</f>
        <v>0.44144</v>
      </c>
      <c r="DR91">
        <f t="shared" si="65"/>
        <v>0</v>
      </c>
      <c r="DS91">
        <f t="shared" si="66"/>
        <v>1.47388888888889E-2</v>
      </c>
      <c r="DT91">
        <f>IF(DS91=BO91,BP91,IF(DS91=BS91,BT91,IF(DS91=BW91,BX91,IF(DS91=CA91,CB91,IF(DS91=CE91,CF91,IF(DS91=CI91,CJ91,IF(DS91=CM91,CN91,IF(DS91=CQ91,CR91,IF(DS91=CU91,CV91,IF(DS91=CY91,CZ91,IF(DS91=DC91,DD91,IF(DS91=DG91,DH91,IF(DS91=DK91,DL91,IF(DS91=DO91,DP91,0))))))))))))))</f>
        <v>8</v>
      </c>
      <c r="DU91">
        <f>IF(DS91=BO91,BQ91,IF(DS91=BS91,BU91,IF(DS91=BW91,BY91,IF(DS91=CA91,CC91,IF(DS91=CE91,CG91,IF(DS91=CI91,CK91,IF(DS91=CM91,CO91,IF(DS91=CQ91,CS91,IF(DS91=CU91,CW91,IF(DS91=CY91,DA91,IF(DS91=DC91,DE91,IF(DS91=DG91,DI91,IF(DS91=DK91,DM91,IF(DS91=DO91,DQ91,0))))))))))))))</f>
        <v>0.44144</v>
      </c>
      <c r="DV91">
        <f t="shared" si="67"/>
        <v>0</v>
      </c>
      <c r="DW91">
        <v>22500.5</v>
      </c>
      <c r="DX91">
        <v>5</v>
      </c>
      <c r="DY91">
        <v>0</v>
      </c>
      <c r="EA91">
        <v>4</v>
      </c>
      <c r="EB91">
        <v>10.114099490560401</v>
      </c>
      <c r="EC91">
        <v>0.8</v>
      </c>
      <c r="ED91">
        <v>1.3628292799999999</v>
      </c>
      <c r="EE91">
        <v>1.47388888888889E-2</v>
      </c>
      <c r="EF91">
        <v>0.44144</v>
      </c>
      <c r="EG91">
        <v>4.1393677713723198</v>
      </c>
      <c r="EH91">
        <v>8</v>
      </c>
      <c r="EI91">
        <v>0</v>
      </c>
      <c r="EJ91">
        <v>4.5909760000000001E-2</v>
      </c>
      <c r="EK91">
        <v>1</v>
      </c>
      <c r="EL91">
        <v>0</v>
      </c>
      <c r="EM91">
        <v>34</v>
      </c>
      <c r="EN91">
        <v>1</v>
      </c>
      <c r="EO91">
        <v>4</v>
      </c>
      <c r="EP91">
        <v>8</v>
      </c>
      <c r="EQ91">
        <v>20</v>
      </c>
      <c r="ER91">
        <v>14.1987814663817</v>
      </c>
      <c r="ES91">
        <v>4.37440792343443</v>
      </c>
      <c r="ET91">
        <v>5.7372372034344297</v>
      </c>
      <c r="EU91">
        <v>0.418548524781229</v>
      </c>
      <c r="EV91">
        <v>0.46445828478122902</v>
      </c>
      <c r="EW91">
        <v>4.5909760000000001E-2</v>
      </c>
      <c r="EX91">
        <v>0.418548524781229</v>
      </c>
      <c r="EY91">
        <v>0.46445828478122902</v>
      </c>
      <c r="EZ91">
        <v>0.10141144000000001</v>
      </c>
      <c r="FA91">
        <v>0.86715113699963198</v>
      </c>
      <c r="FB91">
        <v>0.968562576999632</v>
      </c>
      <c r="FC91">
        <v>1.6166904</v>
      </c>
      <c r="FD91">
        <v>7.4987709029924599</v>
      </c>
      <c r="FE91">
        <v>9.1154613029924594</v>
      </c>
      <c r="FF91">
        <v>4.5909760000000001E-2</v>
      </c>
      <c r="FG91">
        <v>0.418548524781229</v>
      </c>
      <c r="FH91">
        <v>0.46445828478122902</v>
      </c>
    </row>
    <row r="92" spans="1:164" x14ac:dyDescent="0.2">
      <c r="A92">
        <v>91</v>
      </c>
      <c r="B92">
        <v>103</v>
      </c>
      <c r="C92">
        <v>162</v>
      </c>
      <c r="D92">
        <v>1</v>
      </c>
      <c r="E92">
        <v>11</v>
      </c>
      <c r="F92" t="s">
        <v>280</v>
      </c>
      <c r="G92" t="s">
        <v>281</v>
      </c>
      <c r="H92">
        <v>3</v>
      </c>
      <c r="I92">
        <v>1</v>
      </c>
      <c r="K92" t="s">
        <v>282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1</v>
      </c>
      <c r="S92">
        <v>1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5</v>
      </c>
      <c r="AE92">
        <v>10</v>
      </c>
      <c r="AF92">
        <v>5</v>
      </c>
      <c r="AG92">
        <v>7</v>
      </c>
      <c r="AH92">
        <v>7</v>
      </c>
      <c r="AI92">
        <v>0.18731944444444401</v>
      </c>
      <c r="AJ92">
        <v>8.5863300000000002</v>
      </c>
      <c r="AK92">
        <v>0.30446388888888898</v>
      </c>
      <c r="AL92">
        <v>16.058720000000001</v>
      </c>
      <c r="AM92">
        <v>0.198575</v>
      </c>
      <c r="AN92">
        <v>13.58858</v>
      </c>
      <c r="AO92">
        <v>0.19471666666666701</v>
      </c>
      <c r="AP92">
        <v>11.21509</v>
      </c>
      <c r="AQ92">
        <v>0.218016666666667</v>
      </c>
      <c r="AR92">
        <v>11.54298</v>
      </c>
      <c r="AS92">
        <v>0.18320277777777799</v>
      </c>
      <c r="AT92">
        <v>8.04312</v>
      </c>
      <c r="AU92">
        <v>6.4769444444444393E-2</v>
      </c>
      <c r="AV92">
        <v>1.51359</v>
      </c>
      <c r="AW92">
        <v>8.3150000000000002E-2</v>
      </c>
      <c r="AX92">
        <v>3.25589</v>
      </c>
      <c r="AY92">
        <v>0.104955555555556</v>
      </c>
      <c r="AZ92">
        <v>5.3221800000000004</v>
      </c>
      <c r="BA92">
        <v>0.119627777777778</v>
      </c>
      <c r="BB92">
        <v>6.1560699999999997</v>
      </c>
      <c r="BC92">
        <v>0.17913333333333301</v>
      </c>
      <c r="BD92">
        <v>7.9675900000000004</v>
      </c>
      <c r="BE92">
        <v>0.218944444444444</v>
      </c>
      <c r="BF92">
        <v>15.005240000000001</v>
      </c>
      <c r="BG92">
        <v>0.28281944444444401</v>
      </c>
      <c r="BH92">
        <v>18.408090000000001</v>
      </c>
      <c r="BI92">
        <v>0.32664722222222198</v>
      </c>
      <c r="BJ92">
        <v>20.382010000000001</v>
      </c>
      <c r="BK92">
        <v>0.394786111111111</v>
      </c>
      <c r="BL92">
        <v>27.197659999999999</v>
      </c>
      <c r="BM92">
        <v>0.436288888888889</v>
      </c>
      <c r="BN92">
        <v>29.190329999999999</v>
      </c>
      <c r="BO92">
        <f t="shared" si="34"/>
        <v>6.4769444444444393E-2</v>
      </c>
      <c r="BP92">
        <v>6</v>
      </c>
      <c r="BQ92">
        <v>1.51359</v>
      </c>
      <c r="BR92">
        <f t="shared" si="35"/>
        <v>0</v>
      </c>
      <c r="BS92">
        <f t="shared" si="36"/>
        <v>6.4769444444444393E-2</v>
      </c>
      <c r="BT92">
        <f t="shared" si="37"/>
        <v>6</v>
      </c>
      <c r="BU92">
        <f t="shared" si="38"/>
        <v>1.51359</v>
      </c>
      <c r="BV92">
        <f t="shared" si="39"/>
        <v>0</v>
      </c>
      <c r="BW92">
        <f t="shared" si="40"/>
        <v>6.4769444444444393E-2</v>
      </c>
      <c r="BX92">
        <f t="shared" si="41"/>
        <v>6</v>
      </c>
      <c r="BY92">
        <f t="shared" si="42"/>
        <v>1.51359</v>
      </c>
      <c r="BZ92">
        <f t="shared" si="43"/>
        <v>0</v>
      </c>
      <c r="CA92">
        <f t="shared" si="44"/>
        <v>6.4769444444444393E-2</v>
      </c>
      <c r="CB92">
        <f>IF(CA92=BO92,BP92,IF(CA92=BS92,BT92,IF(CA92=BW92,BX92,0)))</f>
        <v>6</v>
      </c>
      <c r="CC92">
        <f>IF(CA92=BO92,BQ92,IF(CA92=BS92,BU92,IF(CA92=BW92,BY92,0)))</f>
        <v>1.51359</v>
      </c>
      <c r="CD92">
        <f t="shared" si="45"/>
        <v>0</v>
      </c>
      <c r="CE92">
        <f t="shared" si="46"/>
        <v>6.4769444444444393E-2</v>
      </c>
      <c r="CF92">
        <f>IF(CE92=BO92,BP92,IF(CE92=BS92,BT92,IF(CE92=BW92,BX92,IF(CE92=CA92,CB92,0))))</f>
        <v>6</v>
      </c>
      <c r="CG92">
        <f>IF(CE92=BO92,BQ92,IF(CE92=BS92,BU92,IF(CE92=BW92,BY92,IF(CE92=CA92,CC92,0))))</f>
        <v>1.51359</v>
      </c>
      <c r="CH92">
        <f t="shared" si="47"/>
        <v>0</v>
      </c>
      <c r="CI92">
        <f t="shared" si="48"/>
        <v>8.3150000000000002E-2</v>
      </c>
      <c r="CJ92">
        <v>7</v>
      </c>
      <c r="CK92">
        <v>3.25589</v>
      </c>
      <c r="CL92">
        <f t="shared" si="49"/>
        <v>3</v>
      </c>
      <c r="CM92">
        <f t="shared" si="50"/>
        <v>6.4769444444444393E-2</v>
      </c>
      <c r="CN92">
        <f>IF(CM92=BO92,BP92,IF(CM92=BS92,BT92,IF(CM92=BW92,BX92,IF(CM92=CA92,CB92,IF(CM92=CE92,CF92,IF(CM92=CI92,CJ92,0))))))</f>
        <v>6</v>
      </c>
      <c r="CO92">
        <f>IF(CM92=BO92,BQ92,IF(CM92=BS92,BU92,IF(CM92=BW92,BY92,IF(CM92=CA92,CC92,IF(CM92=CE92,CG92,IF(CM92=CI92,CK92,0))))))</f>
        <v>1.51359</v>
      </c>
      <c r="CP92">
        <f t="shared" si="51"/>
        <v>0</v>
      </c>
      <c r="CQ92">
        <f t="shared" si="52"/>
        <v>6.4769444444444393E-2</v>
      </c>
      <c r="CR92">
        <f>IF(CQ92=BO92,BP92,IF(CQ92=BS92,BT92,IF(CQ92=BW92,BX92,IF(CQ92=CA92,CB92,IF(CQ92=CE92,CF92,IF(CQ92=CI92,CJ92,IF(CQ92=CM92,CN92,0)))))))</f>
        <v>6</v>
      </c>
      <c r="CS92">
        <f>IF(CQ92=BO92,BQ92,IF(CQ92=BS92,BU92,IF(CQ92=BW92,BY92,IF(CQ92=CA92,CC92,IF(CQ92=CE92,CG92,IF(CQ92=CI92,CK92,IF(CQ92=CM92,CO92,0)))))))</f>
        <v>1.51359</v>
      </c>
      <c r="CT92">
        <f t="shared" si="53"/>
        <v>0</v>
      </c>
      <c r="CU92">
        <f t="shared" si="54"/>
        <v>6.4769444444444393E-2</v>
      </c>
      <c r="CV92">
        <f>IF(CU92=BO92,BP92,IF(CU92=BS92,BT92,IF(CU92=BW92,BX92,IF(CU92=CA92,CB92,IF(CU92=CE92,CF92,IF(CU92=CI92,CJ92,IF(CU92=CM92,CN92,IF(CU92=CQ92,CR92,0))))))))</f>
        <v>6</v>
      </c>
      <c r="CW92">
        <f>IF(CU92=BO92,BQ92,IF(CU92=BS92,BU92,IF(CU92=BW92,BY92,IF(CU92=CA92,CC92,IF(CU92=CE92,CG92,IF(CU92=CI92,CK92,IF(CU92=CM92,CO92,IF(CU92=CQ92,CS92,0))))))))</f>
        <v>1.51359</v>
      </c>
      <c r="CX92">
        <f t="shared" si="55"/>
        <v>0</v>
      </c>
      <c r="CY92">
        <f t="shared" si="56"/>
        <v>6.4769444444444393E-2</v>
      </c>
      <c r="CZ92">
        <f>IF(CY92=BO92,BP92,IF(CY92=BS92,BT92,IF(CY92=BW92,BX92,IF(CY92=CA92,CB92,IF(CY92=CE92,CF92,IF(CY92=CI92,CJ92,IF(CY92=CM92,CN92,IF(CY92=CQ92,CR92,IF(CY92=CU92,CV92,0)))))))))</f>
        <v>6</v>
      </c>
      <c r="DA92">
        <f>IF(CY92=BO92,BQ92,IF(CY92=BS92,BU92,IF(CY92=BW92,BY92,IF(CY92=CA92,CC92,IF(CY92=CE92,CG92,IF(CY92=CI92,CK92,IF(CY92=CM92,CO92,IF(CY92=CQ92,CS92,IF(CY92=CU92,CW92,0)))))))))</f>
        <v>1.51359</v>
      </c>
      <c r="DB92">
        <f t="shared" si="57"/>
        <v>0</v>
      </c>
      <c r="DC92">
        <f t="shared" si="58"/>
        <v>6.4769444444444393E-2</v>
      </c>
      <c r="DD92">
        <f>IF(DC92=BO92,BP92,IF(DC92=BS92,BT92,IF(DC92=BW92,BX92,IF(DC92=CA92,CB92,IF(DC92=CE92,CF92,IF(DC92=CI92,CJ92,IF(DC92=CM92,CN92,IF(DC92=CQ92,CR92,IF(DC92=CU92,CV92,IF(DC92=CY92,CZ92,0))))))))))</f>
        <v>6</v>
      </c>
      <c r="DE92">
        <f>IF(DC92=BO92,BQ92,IF(DC92=BS92,BU92,IF(DC92=BW92,BY92,IF(DC92=CA92,CC92,IF(DC92=CE92,CG92,IF(DC92=CI92,CK92,IF(DC92=CM92,CO92,IF(DC92=CQ92,CS92,IF(DC92=CU92,CW92,IF(DC92=CY92,DA92,0))))))))))</f>
        <v>1.51359</v>
      </c>
      <c r="DF92">
        <f t="shared" si="59"/>
        <v>0</v>
      </c>
      <c r="DG92">
        <f t="shared" si="60"/>
        <v>6.4769444444444393E-2</v>
      </c>
      <c r="DH92">
        <f>IF(DG92=BO92,BP92,IF(DG92=BS92,BT92,IF(DG92=BW92,BX92,IF(DG92=CA92,CB92,IF(DG92=CE92,CF92,IF(DG92=CI92,CJ92,IF(DG92=CM92,CN92,IF(DG92=CQ92,CR92,IF(DG92=CU92,CV92,IF(DG92=CY92,CZ92,IF(DG92=DC92,DD92,0)))))))))))</f>
        <v>6</v>
      </c>
      <c r="DI92">
        <f>IF(DG92=BO92,BQ92,IF(DG92=BS92,BU92,IF(DG92=BW92,BY92,IF(DG92=CA92,CC92,IF(DG92=CE92,CG92,IF(DG92=CI92,CK92,IF(DG92=CM92,CO92,IF(DG92=CQ92,CS92,IF(DG92=CU92,CW92,IF(DG92=CY92,DA92,IF(DG92=DC92,DE92,0)))))))))))</f>
        <v>1.51359</v>
      </c>
      <c r="DJ92">
        <f t="shared" si="61"/>
        <v>0</v>
      </c>
      <c r="DK92">
        <f t="shared" si="62"/>
        <v>6.4769444444444393E-2</v>
      </c>
      <c r="DL92">
        <f>IF(DK92=BO92,BP92,IF(DK92=BS92,BT92,IF(DK92=BW92,BX92,IF(DK92=CA92,CB92,IF(DK92=CE92,CF92,IF(DK92=CI92,CJ92,IF(DK92=CM92,CN92,IF(DK92=CQ92,CR92,IF(DK92=CU92,CV92,IF(DK92=CY92,CZ92,IF(DK92=DC92,DD92,IF(DK92=DG92,DH92,0))))))))))))</f>
        <v>6</v>
      </c>
      <c r="DM92">
        <f>IF(DK92=BO92,BQ92,IF(DK92=BS92,BU92,IF(DK92=BW92,BY92,IF(DK92=CA92,CC92,IF(DK92=CE92,CG92,IF(DK92=CI92,CK92,IF(DK92=CM92,CO92,IF(DK92=CQ92,CS92,IF(DK92=CU92,CW92,IF(DK92=CY92,DA92,IF(DK92=DC92,DE92,IF(DK92=DG92,DI92,0))))))))))))</f>
        <v>1.51359</v>
      </c>
      <c r="DN92">
        <f t="shared" si="63"/>
        <v>0</v>
      </c>
      <c r="DO92">
        <f t="shared" si="64"/>
        <v>6.4769444444444393E-2</v>
      </c>
      <c r="DP92">
        <f>IF(DO92=BO92,BP92,IF(DO92=BS92,BT92,IF(DO92=BW92,BX92,IF(DO92=CA92,CB92,IF(DO92=CE92,CF92,IF(DO92=CI92,CJ92,IF(DO92=CM92,CN92,IF(DO92=CQ92,CR92,IF(DO92=CU92,CV92,IF(DO92=CY92,CZ92,IF(DO92=DC92,DD92,IF(DO92=DG92,DH92,IF(DO92=DK92,DL92,0)))))))))))))</f>
        <v>6</v>
      </c>
      <c r="DQ92">
        <f>IF(DO92=BO92,BQ92,IF(DO92=BS92,BU92,IF(DO92=BW92,BY92,IF(DO92=CA92,CC92,IF(DO92=CE92,CG92,IF(DO92=CI92,CK92,IF(DO92=CM92,CO92,IF(DO92=CQ92,CS92,IF(DO92=CU92,CW92,IF(DO92=CY92,DA92,IF(DO92=DC92,DE92,IF(DO92=DG92,DI92,IF(DO92=DK92,DM92,0)))))))))))))</f>
        <v>1.51359</v>
      </c>
      <c r="DR92">
        <f t="shared" si="65"/>
        <v>0</v>
      </c>
      <c r="DS92">
        <f t="shared" si="66"/>
        <v>6.4769444444444393E-2</v>
      </c>
      <c r="DT92">
        <f>IF(DS92=BO92,BP92,IF(DS92=BS92,BT92,IF(DS92=BW92,BX92,IF(DS92=CA92,CB92,IF(DS92=CE92,CF92,IF(DS92=CI92,CJ92,IF(DS92=CM92,CN92,IF(DS92=CQ92,CR92,IF(DS92=CU92,CV92,IF(DS92=CY92,CZ92,IF(DS92=DC92,DD92,IF(DS92=DG92,DH92,IF(DS92=DK92,DL92,IF(DS92=DO92,DP92,0))))))))))))))</f>
        <v>6</v>
      </c>
      <c r="DU92">
        <f>IF(DS92=BO92,BQ92,IF(DS92=BS92,BU92,IF(DS92=BW92,BY92,IF(DS92=CA92,CC92,IF(DS92=CE92,CG92,IF(DS92=CI92,CK92,IF(DS92=CM92,CO92,IF(DS92=CQ92,CS92,IF(DS92=CU92,CW92,IF(DS92=CY92,DA92,IF(DS92=DC92,DE92,IF(DS92=DG92,DI92,IF(DS92=DK92,DM92,IF(DS92=DO92,DQ92,0))))))))))))))</f>
        <v>1.51359</v>
      </c>
      <c r="DV92">
        <f t="shared" si="67"/>
        <v>0</v>
      </c>
      <c r="DW92">
        <v>67500.5</v>
      </c>
      <c r="DX92">
        <v>3</v>
      </c>
      <c r="DY92">
        <v>20</v>
      </c>
      <c r="EA92">
        <v>4</v>
      </c>
      <c r="EB92">
        <v>30.341848966137199</v>
      </c>
      <c r="EC92">
        <v>1.3333333333333299</v>
      </c>
      <c r="ED92">
        <v>2.8216305333333298</v>
      </c>
      <c r="EE92">
        <v>6.4769444444444393E-2</v>
      </c>
      <c r="EF92">
        <v>1.51359</v>
      </c>
      <c r="EG92">
        <v>13.2912627673608</v>
      </c>
      <c r="EH92">
        <v>6</v>
      </c>
      <c r="EI92">
        <v>0</v>
      </c>
      <c r="EJ92">
        <v>0.26235560000000002</v>
      </c>
      <c r="EK92">
        <v>1</v>
      </c>
      <c r="EL92">
        <v>0</v>
      </c>
      <c r="EM92">
        <v>55</v>
      </c>
      <c r="EN92">
        <v>0</v>
      </c>
      <c r="EO92">
        <v>2</v>
      </c>
      <c r="EP92">
        <v>7</v>
      </c>
      <c r="EQ92">
        <v>5</v>
      </c>
      <c r="ER92">
        <v>14.1987814663817</v>
      </c>
      <c r="ES92">
        <v>5.3194157121413701</v>
      </c>
      <c r="ET92">
        <v>8.1410462454746995</v>
      </c>
      <c r="EU92">
        <v>1.83929437473123</v>
      </c>
      <c r="EV92">
        <v>2.1016499747312301</v>
      </c>
      <c r="EW92">
        <v>0.92251119999999998</v>
      </c>
      <c r="EX92">
        <v>2.9804819940320399</v>
      </c>
      <c r="EY92">
        <v>3.9029931940320401</v>
      </c>
      <c r="EZ92">
        <v>0.26235560000000002</v>
      </c>
      <c r="FA92">
        <v>1.83929437473123</v>
      </c>
      <c r="FB92">
        <v>2.1016499747312301</v>
      </c>
      <c r="FC92">
        <v>1.94394893333333</v>
      </c>
      <c r="FD92">
        <v>5.5294787957245797</v>
      </c>
      <c r="FE92">
        <v>7.4734277290579101</v>
      </c>
      <c r="FF92">
        <v>0.26235560000000002</v>
      </c>
      <c r="FG92">
        <v>1.83929437473123</v>
      </c>
      <c r="FH92">
        <v>2.1016499747312301</v>
      </c>
    </row>
    <row r="93" spans="1:164" x14ac:dyDescent="0.2">
      <c r="A93">
        <v>92</v>
      </c>
      <c r="B93">
        <v>104</v>
      </c>
      <c r="C93">
        <v>163</v>
      </c>
      <c r="D93">
        <v>1</v>
      </c>
      <c r="E93">
        <v>11</v>
      </c>
      <c r="F93" t="s">
        <v>283</v>
      </c>
      <c r="H93">
        <v>3</v>
      </c>
      <c r="I93">
        <v>1</v>
      </c>
      <c r="K93" t="s">
        <v>277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8</v>
      </c>
      <c r="AE93">
        <v>12</v>
      </c>
      <c r="AF93">
        <v>6</v>
      </c>
      <c r="AG93">
        <v>7</v>
      </c>
      <c r="AH93">
        <v>7</v>
      </c>
      <c r="AI93">
        <v>0.18731944444444401</v>
      </c>
      <c r="AJ93">
        <v>8.5863300000000002</v>
      </c>
      <c r="AK93">
        <v>0.30446388888888898</v>
      </c>
      <c r="AL93">
        <v>16.058720000000001</v>
      </c>
      <c r="AM93">
        <v>0.198575</v>
      </c>
      <c r="AN93">
        <v>13.58858</v>
      </c>
      <c r="AO93">
        <v>0.19471666666666701</v>
      </c>
      <c r="AP93">
        <v>11.21509</v>
      </c>
      <c r="AQ93">
        <v>0.218016666666667</v>
      </c>
      <c r="AR93">
        <v>11.54298</v>
      </c>
      <c r="AS93">
        <v>0.18320277777777799</v>
      </c>
      <c r="AT93">
        <v>8.04312</v>
      </c>
      <c r="AU93">
        <v>6.4769444444444393E-2</v>
      </c>
      <c r="AV93">
        <v>1.51359</v>
      </c>
      <c r="AW93">
        <v>8.3150000000000002E-2</v>
      </c>
      <c r="AX93">
        <v>3.25589</v>
      </c>
      <c r="AY93">
        <v>0.104955555555556</v>
      </c>
      <c r="AZ93">
        <v>5.3221800000000004</v>
      </c>
      <c r="BA93">
        <v>0.119627777777778</v>
      </c>
      <c r="BB93">
        <v>6.1560699999999997</v>
      </c>
      <c r="BC93">
        <v>0.17913333333333301</v>
      </c>
      <c r="BD93">
        <v>7.9675900000000004</v>
      </c>
      <c r="BE93">
        <v>0.218944444444444</v>
      </c>
      <c r="BF93">
        <v>15.005240000000001</v>
      </c>
      <c r="BG93">
        <v>0.28281944444444401</v>
      </c>
      <c r="BH93">
        <v>18.408090000000001</v>
      </c>
      <c r="BI93">
        <v>0.32664722222222198</v>
      </c>
      <c r="BJ93">
        <v>20.382010000000001</v>
      </c>
      <c r="BK93">
        <v>0.394786111111111</v>
      </c>
      <c r="BL93">
        <v>27.197659999999999</v>
      </c>
      <c r="BM93">
        <v>0.436288888888889</v>
      </c>
      <c r="BN93">
        <v>29.190329999999999</v>
      </c>
      <c r="BO93">
        <f t="shared" si="34"/>
        <v>6.4769444444444393E-2</v>
      </c>
      <c r="BP93">
        <v>6</v>
      </c>
      <c r="BQ93">
        <v>1.51359</v>
      </c>
      <c r="BR93">
        <f t="shared" si="35"/>
        <v>0</v>
      </c>
      <c r="BS93">
        <f t="shared" si="36"/>
        <v>6.4769444444444393E-2</v>
      </c>
      <c r="BT93">
        <f t="shared" si="37"/>
        <v>6</v>
      </c>
      <c r="BU93">
        <f t="shared" si="38"/>
        <v>1.51359</v>
      </c>
      <c r="BV93">
        <f t="shared" si="39"/>
        <v>0</v>
      </c>
      <c r="BW93">
        <f t="shared" si="40"/>
        <v>6.4769444444444393E-2</v>
      </c>
      <c r="BX93">
        <f t="shared" si="41"/>
        <v>6</v>
      </c>
      <c r="BY93">
        <f t="shared" si="42"/>
        <v>1.51359</v>
      </c>
      <c r="BZ93">
        <f t="shared" si="43"/>
        <v>0</v>
      </c>
      <c r="CA93">
        <f t="shared" si="44"/>
        <v>6.4769444444444393E-2</v>
      </c>
      <c r="CB93">
        <f>IF(CA93=BO93,BP93,IF(CA93=BS93,BT93,IF(CA93=BW93,BX93,0)))</f>
        <v>6</v>
      </c>
      <c r="CC93">
        <f>IF(CA93=BO93,BQ93,IF(CA93=BS93,BU93,IF(CA93=BW93,BY93,0)))</f>
        <v>1.51359</v>
      </c>
      <c r="CD93">
        <f t="shared" si="45"/>
        <v>0</v>
      </c>
      <c r="CE93">
        <f t="shared" si="46"/>
        <v>6.4769444444444393E-2</v>
      </c>
      <c r="CF93">
        <f>IF(CE93=BO93,BP93,IF(CE93=BS93,BT93,IF(CE93=BW93,BX93,IF(CE93=CA93,CB93,0))))</f>
        <v>6</v>
      </c>
      <c r="CG93">
        <f>IF(CE93=BO93,BQ93,IF(CE93=BS93,BU93,IF(CE93=BW93,BY93,IF(CE93=CA93,CC93,0))))</f>
        <v>1.51359</v>
      </c>
      <c r="CH93">
        <f t="shared" si="47"/>
        <v>0</v>
      </c>
      <c r="CI93">
        <f t="shared" si="48"/>
        <v>8.3150000000000002E-2</v>
      </c>
      <c r="CJ93">
        <v>7</v>
      </c>
      <c r="CK93">
        <v>3.25589</v>
      </c>
      <c r="CL93">
        <f t="shared" si="49"/>
        <v>3</v>
      </c>
      <c r="CM93">
        <f t="shared" si="50"/>
        <v>6.4769444444444393E-2</v>
      </c>
      <c r="CN93">
        <f>IF(CM93=BO93,BP93,IF(CM93=BS93,BT93,IF(CM93=BW93,BX93,IF(CM93=CA93,CB93,IF(CM93=CE93,CF93,IF(CM93=CI93,CJ93,0))))))</f>
        <v>6</v>
      </c>
      <c r="CO93">
        <f>IF(CM93=BO93,BQ93,IF(CM93=BS93,BU93,IF(CM93=BW93,BY93,IF(CM93=CA93,CC93,IF(CM93=CE93,CG93,IF(CM93=CI93,CK93,0))))))</f>
        <v>1.51359</v>
      </c>
      <c r="CP93">
        <f t="shared" si="51"/>
        <v>0</v>
      </c>
      <c r="CQ93">
        <f t="shared" si="52"/>
        <v>6.4769444444444393E-2</v>
      </c>
      <c r="CR93">
        <f>IF(CQ93=BO93,BP93,IF(CQ93=BS93,BT93,IF(CQ93=BW93,BX93,IF(CQ93=CA93,CB93,IF(CQ93=CE93,CF93,IF(CQ93=CI93,CJ93,IF(CQ93=CM93,CN93,0)))))))</f>
        <v>6</v>
      </c>
      <c r="CS93">
        <f>IF(CQ93=BO93,BQ93,IF(CQ93=BS93,BU93,IF(CQ93=BW93,BY93,IF(CQ93=CA93,CC93,IF(CQ93=CE93,CG93,IF(CQ93=CI93,CK93,IF(CQ93=CM93,CO93,0)))))))</f>
        <v>1.51359</v>
      </c>
      <c r="CT93">
        <f t="shared" si="53"/>
        <v>0</v>
      </c>
      <c r="CU93">
        <f t="shared" si="54"/>
        <v>6.4769444444444393E-2</v>
      </c>
      <c r="CV93">
        <f>IF(CU93=BO93,BP93,IF(CU93=BS93,BT93,IF(CU93=BW93,BX93,IF(CU93=CA93,CB93,IF(CU93=CE93,CF93,IF(CU93=CI93,CJ93,IF(CU93=CM93,CN93,IF(CU93=CQ93,CR93,0))))))))</f>
        <v>6</v>
      </c>
      <c r="CW93">
        <f>IF(CU93=BO93,BQ93,IF(CU93=BS93,BU93,IF(CU93=BW93,BY93,IF(CU93=CA93,CC93,IF(CU93=CE93,CG93,IF(CU93=CI93,CK93,IF(CU93=CM93,CO93,IF(CU93=CQ93,CS93,0))))))))</f>
        <v>1.51359</v>
      </c>
      <c r="CX93">
        <f t="shared" si="55"/>
        <v>0</v>
      </c>
      <c r="CY93">
        <f t="shared" si="56"/>
        <v>6.4769444444444393E-2</v>
      </c>
      <c r="CZ93">
        <f>IF(CY93=BO93,BP93,IF(CY93=BS93,BT93,IF(CY93=BW93,BX93,IF(CY93=CA93,CB93,IF(CY93=CE93,CF93,IF(CY93=CI93,CJ93,IF(CY93=CM93,CN93,IF(CY93=CQ93,CR93,IF(CY93=CU93,CV93,0)))))))))</f>
        <v>6</v>
      </c>
      <c r="DA93">
        <f>IF(CY93=BO93,BQ93,IF(CY93=BS93,BU93,IF(CY93=BW93,BY93,IF(CY93=CA93,CC93,IF(CY93=CE93,CG93,IF(CY93=CI93,CK93,IF(CY93=CM93,CO93,IF(CY93=CQ93,CS93,IF(CY93=CU93,CW93,0)))))))))</f>
        <v>1.51359</v>
      </c>
      <c r="DB93">
        <f t="shared" si="57"/>
        <v>0</v>
      </c>
      <c r="DC93">
        <f t="shared" si="58"/>
        <v>6.4769444444444393E-2</v>
      </c>
      <c r="DD93">
        <f>IF(DC93=BO93,BP93,IF(DC93=BS93,BT93,IF(DC93=BW93,BX93,IF(DC93=CA93,CB93,IF(DC93=CE93,CF93,IF(DC93=CI93,CJ93,IF(DC93=CM93,CN93,IF(DC93=CQ93,CR93,IF(DC93=CU93,CV93,IF(DC93=CY93,CZ93,0))))))))))</f>
        <v>6</v>
      </c>
      <c r="DE93">
        <f>IF(DC93=BO93,BQ93,IF(DC93=BS93,BU93,IF(DC93=BW93,BY93,IF(DC93=CA93,CC93,IF(DC93=CE93,CG93,IF(DC93=CI93,CK93,IF(DC93=CM93,CO93,IF(DC93=CQ93,CS93,IF(DC93=CU93,CW93,IF(DC93=CY93,DA93,0))))))))))</f>
        <v>1.51359</v>
      </c>
      <c r="DF93">
        <f t="shared" si="59"/>
        <v>0</v>
      </c>
      <c r="DG93">
        <f t="shared" si="60"/>
        <v>6.4769444444444393E-2</v>
      </c>
      <c r="DH93">
        <f>IF(DG93=BO93,BP93,IF(DG93=BS93,BT93,IF(DG93=BW93,BX93,IF(DG93=CA93,CB93,IF(DG93=CE93,CF93,IF(DG93=CI93,CJ93,IF(DG93=CM93,CN93,IF(DG93=CQ93,CR93,IF(DG93=CU93,CV93,IF(DG93=CY93,CZ93,IF(DG93=DC93,DD93,0)))))))))))</f>
        <v>6</v>
      </c>
      <c r="DI93">
        <f>IF(DG93=BO93,BQ93,IF(DG93=BS93,BU93,IF(DG93=BW93,BY93,IF(DG93=CA93,CC93,IF(DG93=CE93,CG93,IF(DG93=CI93,CK93,IF(DG93=CM93,CO93,IF(DG93=CQ93,CS93,IF(DG93=CU93,CW93,IF(DG93=CY93,DA93,IF(DG93=DC93,DE93,0)))))))))))</f>
        <v>1.51359</v>
      </c>
      <c r="DJ93">
        <f t="shared" si="61"/>
        <v>0</v>
      </c>
      <c r="DK93">
        <f t="shared" si="62"/>
        <v>6.4769444444444393E-2</v>
      </c>
      <c r="DL93">
        <f>IF(DK93=BO93,BP93,IF(DK93=BS93,BT93,IF(DK93=BW93,BX93,IF(DK93=CA93,CB93,IF(DK93=CE93,CF93,IF(DK93=CI93,CJ93,IF(DK93=CM93,CN93,IF(DK93=CQ93,CR93,IF(DK93=CU93,CV93,IF(DK93=CY93,CZ93,IF(DK93=DC93,DD93,IF(DK93=DG93,DH93,0))))))))))))</f>
        <v>6</v>
      </c>
      <c r="DM93">
        <f>IF(DK93=BO93,BQ93,IF(DK93=BS93,BU93,IF(DK93=BW93,BY93,IF(DK93=CA93,CC93,IF(DK93=CE93,CG93,IF(DK93=CI93,CK93,IF(DK93=CM93,CO93,IF(DK93=CQ93,CS93,IF(DK93=CU93,CW93,IF(DK93=CY93,DA93,IF(DK93=DC93,DE93,IF(DK93=DG93,DI93,0))))))))))))</f>
        <v>1.51359</v>
      </c>
      <c r="DN93">
        <f t="shared" si="63"/>
        <v>0</v>
      </c>
      <c r="DO93">
        <f t="shared" si="64"/>
        <v>6.4769444444444393E-2</v>
      </c>
      <c r="DP93">
        <f>IF(DO93=BO93,BP93,IF(DO93=BS93,BT93,IF(DO93=BW93,BX93,IF(DO93=CA93,CB93,IF(DO93=CE93,CF93,IF(DO93=CI93,CJ93,IF(DO93=CM93,CN93,IF(DO93=CQ93,CR93,IF(DO93=CU93,CV93,IF(DO93=CY93,CZ93,IF(DO93=DC93,DD93,IF(DO93=DG93,DH93,IF(DO93=DK93,DL93,0)))))))))))))</f>
        <v>6</v>
      </c>
      <c r="DQ93">
        <f>IF(DO93=BO93,BQ93,IF(DO93=BS93,BU93,IF(DO93=BW93,BY93,IF(DO93=CA93,CC93,IF(DO93=CE93,CG93,IF(DO93=CI93,CK93,IF(DO93=CM93,CO93,IF(DO93=CQ93,CS93,IF(DO93=CU93,CW93,IF(DO93=CY93,DA93,IF(DO93=DC93,DE93,IF(DO93=DG93,DI93,IF(DO93=DK93,DM93,0)))))))))))))</f>
        <v>1.51359</v>
      </c>
      <c r="DR93">
        <f t="shared" si="65"/>
        <v>0</v>
      </c>
      <c r="DS93">
        <f t="shared" si="66"/>
        <v>6.4769444444444393E-2</v>
      </c>
      <c r="DT93">
        <f>IF(DS93=BO93,BP93,IF(DS93=BS93,BT93,IF(DS93=BW93,BX93,IF(DS93=CA93,CB93,IF(DS93=CE93,CF93,IF(DS93=CI93,CJ93,IF(DS93=CM93,CN93,IF(DS93=CQ93,CR93,IF(DS93=CU93,CV93,IF(DS93=CY93,CZ93,IF(DS93=DC93,DD93,IF(DS93=DG93,DH93,IF(DS93=DK93,DL93,IF(DS93=DO93,DP93,0))))))))))))))</f>
        <v>6</v>
      </c>
      <c r="DU93">
        <f>IF(DS93=BO93,BQ93,IF(DS93=BS93,BU93,IF(DS93=BW93,BY93,IF(DS93=CA93,CC93,IF(DS93=CE93,CG93,IF(DS93=CI93,CK93,IF(DS93=CM93,CO93,IF(DS93=CQ93,CS93,IF(DS93=CU93,CW93,IF(DS93=CY93,DA93,IF(DS93=DC93,DE93,IF(DS93=DG93,DI93,IF(DS93=DK93,DM93,IF(DS93=DO93,DQ93,0))))))))))))))</f>
        <v>1.51359</v>
      </c>
      <c r="DV93">
        <f t="shared" si="67"/>
        <v>0</v>
      </c>
      <c r="DW93">
        <v>7500</v>
      </c>
      <c r="DX93">
        <v>3</v>
      </c>
      <c r="DY93">
        <v>20</v>
      </c>
      <c r="DZ93">
        <v>2</v>
      </c>
      <c r="EA93">
        <v>2</v>
      </c>
      <c r="EB93">
        <v>3.37129157926281</v>
      </c>
      <c r="EC93">
        <v>0.66666666666666696</v>
      </c>
      <c r="ED93">
        <v>2.1549638666666699</v>
      </c>
      <c r="EE93">
        <v>6.4769444444444393E-2</v>
      </c>
      <c r="EF93">
        <v>1.51359</v>
      </c>
      <c r="EG93">
        <v>2.5203764485615499</v>
      </c>
      <c r="EH93">
        <v>6</v>
      </c>
      <c r="EI93">
        <v>0</v>
      </c>
      <c r="EJ93">
        <v>0.26235560000000002</v>
      </c>
      <c r="EK93">
        <v>1</v>
      </c>
      <c r="EL93">
        <v>0</v>
      </c>
      <c r="EM93">
        <v>47</v>
      </c>
      <c r="EN93">
        <v>1</v>
      </c>
      <c r="EO93">
        <v>2</v>
      </c>
      <c r="EP93">
        <v>7</v>
      </c>
      <c r="EQ93">
        <v>6</v>
      </c>
      <c r="ER93">
        <v>14.1987814663817</v>
      </c>
      <c r="ES93">
        <v>5.3194157121413701</v>
      </c>
      <c r="ET93">
        <v>7.4743795788080396</v>
      </c>
      <c r="EU93">
        <v>1.83929437473123</v>
      </c>
      <c r="EV93">
        <v>2.1016499747312301</v>
      </c>
      <c r="EW93">
        <v>0.92251119999999998</v>
      </c>
      <c r="EX93">
        <v>2.9804819940320399</v>
      </c>
      <c r="EY93">
        <v>3.9029931940320401</v>
      </c>
      <c r="EZ93">
        <v>0.26235560000000002</v>
      </c>
      <c r="FA93">
        <v>1.83929437473123</v>
      </c>
      <c r="FB93">
        <v>2.1016499747312301</v>
      </c>
      <c r="FC93">
        <v>1.94394893333333</v>
      </c>
      <c r="FD93">
        <v>5.5294787957245797</v>
      </c>
      <c r="FE93">
        <v>7.4734277290579101</v>
      </c>
      <c r="FF93">
        <v>0.26235560000000002</v>
      </c>
      <c r="FG93">
        <v>1.83929437473123</v>
      </c>
      <c r="FH93">
        <v>2.1016499747312301</v>
      </c>
    </row>
    <row r="94" spans="1:164" x14ac:dyDescent="0.2">
      <c r="A94">
        <v>93</v>
      </c>
      <c r="B94">
        <v>105</v>
      </c>
      <c r="C94">
        <v>164</v>
      </c>
      <c r="D94">
        <v>1</v>
      </c>
      <c r="E94">
        <v>11</v>
      </c>
      <c r="F94" t="s">
        <v>158</v>
      </c>
      <c r="G94" t="s">
        <v>279</v>
      </c>
      <c r="H94">
        <v>3</v>
      </c>
      <c r="I94">
        <v>4</v>
      </c>
      <c r="K94" t="s">
        <v>284</v>
      </c>
      <c r="L94">
        <v>0</v>
      </c>
      <c r="M94">
        <v>0</v>
      </c>
      <c r="N94">
        <v>0</v>
      </c>
      <c r="O94">
        <v>0</v>
      </c>
      <c r="P94">
        <v>0</v>
      </c>
      <c r="Q94">
        <v>2</v>
      </c>
      <c r="R94">
        <v>1</v>
      </c>
      <c r="S94">
        <v>4</v>
      </c>
      <c r="T94">
        <v>1</v>
      </c>
      <c r="U94">
        <v>0</v>
      </c>
      <c r="V94">
        <v>2</v>
      </c>
      <c r="W94">
        <v>0</v>
      </c>
      <c r="X94">
        <v>0</v>
      </c>
      <c r="Y94">
        <v>0</v>
      </c>
      <c r="Z94">
        <v>0</v>
      </c>
      <c r="AA94">
        <v>0</v>
      </c>
      <c r="AB94">
        <v>2</v>
      </c>
      <c r="AC94">
        <v>0</v>
      </c>
      <c r="AD94">
        <v>18</v>
      </c>
      <c r="AE94">
        <v>30</v>
      </c>
      <c r="AF94">
        <v>15</v>
      </c>
      <c r="AG94">
        <v>17</v>
      </c>
      <c r="AH94">
        <v>4</v>
      </c>
      <c r="AI94">
        <v>0.101869444444444</v>
      </c>
      <c r="AJ94">
        <v>2.5364100000000001</v>
      </c>
      <c r="AK94">
        <v>0.39300277777777798</v>
      </c>
      <c r="AL94">
        <v>23.350680000000001</v>
      </c>
      <c r="AM94">
        <v>0.287113888888889</v>
      </c>
      <c r="AN94">
        <v>20.88054</v>
      </c>
      <c r="AO94">
        <v>0.28325555555555598</v>
      </c>
      <c r="AP94">
        <v>18.50704</v>
      </c>
      <c r="AQ94">
        <v>0.30655555555555603</v>
      </c>
      <c r="AR94">
        <v>18.83494</v>
      </c>
      <c r="AS94">
        <v>0.27174166666666699</v>
      </c>
      <c r="AT94">
        <v>15.33508</v>
      </c>
      <c r="AU94">
        <v>0.17108611111111099</v>
      </c>
      <c r="AV94">
        <v>9.7995400000000004</v>
      </c>
      <c r="AW94">
        <v>0.14636388888888899</v>
      </c>
      <c r="AX94">
        <v>7.7733600000000003</v>
      </c>
      <c r="AY94">
        <v>0.134308333333333</v>
      </c>
      <c r="AZ94">
        <v>6.1965599999999998</v>
      </c>
      <c r="BA94">
        <v>0.1193</v>
      </c>
      <c r="BB94">
        <v>5.6135799999999998</v>
      </c>
      <c r="BC94">
        <v>0.11445</v>
      </c>
      <c r="BD94">
        <v>3.04745</v>
      </c>
      <c r="BE94">
        <v>0.14373333333333299</v>
      </c>
      <c r="BF94">
        <v>8.4337599999999995</v>
      </c>
      <c r="BG94">
        <v>0.20760555555555599</v>
      </c>
      <c r="BH94">
        <v>11.83661</v>
      </c>
      <c r="BI94">
        <v>0.25143333333333301</v>
      </c>
      <c r="BJ94">
        <v>13.81053</v>
      </c>
      <c r="BK94">
        <v>0.31957222222222198</v>
      </c>
      <c r="BL94">
        <v>20.626169999999998</v>
      </c>
      <c r="BM94">
        <v>0.361077777777778</v>
      </c>
      <c r="BN94">
        <v>22.618849999999998</v>
      </c>
      <c r="BO94">
        <f t="shared" si="34"/>
        <v>0.101869444444444</v>
      </c>
      <c r="BP94" t="s">
        <v>407</v>
      </c>
      <c r="BQ94">
        <v>2.5364100000000001</v>
      </c>
      <c r="BR94">
        <v>4</v>
      </c>
      <c r="BS94">
        <f t="shared" si="36"/>
        <v>0.101869444444444</v>
      </c>
      <c r="BT94" t="str">
        <f t="shared" si="37"/>
        <v>AMP</v>
      </c>
      <c r="BU94">
        <f t="shared" si="38"/>
        <v>2.5364100000000001</v>
      </c>
      <c r="BV94">
        <v>4</v>
      </c>
      <c r="BW94">
        <f t="shared" si="40"/>
        <v>0.101869444444444</v>
      </c>
      <c r="BX94" t="str">
        <f t="shared" si="41"/>
        <v>AMP</v>
      </c>
      <c r="BY94">
        <f t="shared" si="42"/>
        <v>2.5364100000000001</v>
      </c>
      <c r="BZ94">
        <v>4</v>
      </c>
      <c r="CA94">
        <f t="shared" si="44"/>
        <v>0.101869444444444</v>
      </c>
      <c r="CB94" t="str">
        <f>IF(CA94=BO94,BP94,IF(CA94=BS94,BT94,IF(CA94=BW94,BX94,0)))</f>
        <v>AMP</v>
      </c>
      <c r="CC94">
        <f>IF(CA94=BO94,BQ94,IF(CA94=BS94,BU94,IF(CA94=BW94,BY94,0)))</f>
        <v>2.5364100000000001</v>
      </c>
      <c r="CD94">
        <v>4</v>
      </c>
      <c r="CE94">
        <f t="shared" si="46"/>
        <v>0.101869444444444</v>
      </c>
      <c r="CF94" t="str">
        <f>IF(CE94=BO94,BP94,IF(CE94=BS94,BT94,IF(CE94=BW94,BX94,IF(CE94=CA94,CB94,0))))</f>
        <v>AMP</v>
      </c>
      <c r="CG94">
        <f>IF(CE94=BO94,BQ94,IF(CE94=BS94,BU94,IF(CE94=BW94,BY94,IF(CE94=CA94,CC94,0))))</f>
        <v>2.5364100000000001</v>
      </c>
      <c r="CH94">
        <v>4</v>
      </c>
      <c r="CI94">
        <f t="shared" si="48"/>
        <v>0.101869444444444</v>
      </c>
      <c r="CJ94" t="str">
        <f>IF(CI94=BO94,BP94,IF(CI94=BS94,BT94,IF(CI94=BW94,BX94,IF(CI94=CA94,CB94,IF(CI94=CE94,CF94,0)))))</f>
        <v>AMP</v>
      </c>
      <c r="CK94">
        <f>IF(CI94=BO94,BQ94,IF(CI94=BS94,BU94,IF(CI94=BW94,BY94,IF(CI94=CA94,CC94,IF(CI94=CE94,CG94,0)))))</f>
        <v>2.5364100000000001</v>
      </c>
      <c r="CL94">
        <v>4</v>
      </c>
      <c r="CM94">
        <f t="shared" si="50"/>
        <v>0.101869444444444</v>
      </c>
      <c r="CN94" t="str">
        <f>IF(CM94=BO94,BP94,IF(CM94=BS94,BT94,IF(CM94=BW94,BX94,IF(CM94=CA94,CB94,IF(CM94=CE94,CF94,IF(CM94=CI94,CJ94,0))))))</f>
        <v>AMP</v>
      </c>
      <c r="CO94">
        <f>IF(CM94=BO94,BQ94,IF(CM94=BS94,BU94,IF(CM94=BW94,BY94,IF(CM94=CA94,CC94,IF(CM94=CE94,CG94,IF(CM94=CI94,CK94,0))))))</f>
        <v>2.5364100000000001</v>
      </c>
      <c r="CP94">
        <v>4</v>
      </c>
      <c r="CQ94">
        <f t="shared" si="52"/>
        <v>0.101869444444444</v>
      </c>
      <c r="CR94" t="str">
        <f>IF(CQ94=BO94,BP94,IF(CQ94=BS94,BT94,IF(CQ94=BW94,BX94,IF(CQ94=CA94,CB94,IF(CQ94=CE94,CF94,IF(CQ94=CI94,CJ94,IF(CQ94=CM94,CN94,0)))))))</f>
        <v>AMP</v>
      </c>
      <c r="CS94">
        <f>IF(CQ94=BO94,BQ94,IF(CQ94=BS94,BU94,IF(CQ94=BW94,BY94,IF(CQ94=CA94,CC94,IF(CQ94=CE94,CG94,IF(CQ94=CI94,CK94,IF(CQ94=CM94,CO94,0)))))))</f>
        <v>2.5364100000000001</v>
      </c>
      <c r="CT94">
        <v>4</v>
      </c>
      <c r="CU94">
        <f t="shared" si="54"/>
        <v>0.101869444444444</v>
      </c>
      <c r="CV94" t="str">
        <f>IF(CU94=BO94,BP94,IF(CU94=BS94,BT94,IF(CU94=BW94,BX94,IF(CU94=CA94,CB94,IF(CU94=CE94,CF94,IF(CU94=CI94,CJ94,IF(CU94=CM94,CN94,IF(CU94=CQ94,CR94,0))))))))</f>
        <v>AMP</v>
      </c>
      <c r="CW94">
        <f>IF(CU94=BO94,BQ94,IF(CU94=BS94,BU94,IF(CU94=BW94,BY94,IF(CU94=CA94,CC94,IF(CU94=CE94,CG94,IF(CU94=CI94,CK94,IF(CU94=CM94,CO94,IF(CU94=CQ94,CS94,0))))))))</f>
        <v>2.5364100000000001</v>
      </c>
      <c r="CX94">
        <v>4</v>
      </c>
      <c r="CY94">
        <f t="shared" si="56"/>
        <v>0.101869444444444</v>
      </c>
      <c r="CZ94" t="str">
        <f>IF(CY94=BO94,BP94,IF(CY94=BS94,BT94,IF(CY94=BW94,BX94,IF(CY94=CA94,CB94,IF(CY94=CE94,CF94,IF(CY94=CI94,CJ94,IF(CY94=CM94,CN94,IF(CY94=CQ94,CR94,IF(CY94=CU94,CV94,0)))))))))</f>
        <v>AMP</v>
      </c>
      <c r="DA94">
        <f>IF(CY94=BO94,BQ94,IF(CY94=BS94,BU94,IF(CY94=BW94,BY94,IF(CY94=CA94,CC94,IF(CY94=CE94,CG94,IF(CY94=CI94,CK94,IF(CY94=CM94,CO94,IF(CY94=CQ94,CS94,IF(CY94=CU94,CW94,0)))))))))</f>
        <v>2.5364100000000001</v>
      </c>
      <c r="DB94">
        <v>4</v>
      </c>
      <c r="DC94">
        <f t="shared" si="58"/>
        <v>0.101869444444444</v>
      </c>
      <c r="DD94" t="str">
        <f>IF(DC94=BO94,BP94,IF(DC94=BS94,BT94,IF(DC94=BW94,BX94,IF(DC94=CA94,CB94,IF(DC94=CE94,CF94,IF(DC94=CI94,CJ94,IF(DC94=CM94,CN94,IF(DC94=CQ94,CR94,IF(DC94=CU94,CV94,IF(DC94=CY94,CZ94,0))))))))))</f>
        <v>AMP</v>
      </c>
      <c r="DE94">
        <f>IF(DC94=BO94,BQ94,IF(DC94=BS94,BU94,IF(DC94=BW94,BY94,IF(DC94=CA94,CC94,IF(DC94=CE94,CG94,IF(DC94=CI94,CK94,IF(DC94=CM94,CO94,IF(DC94=CQ94,CS94,IF(DC94=CU94,CW94,IF(DC94=CY94,DA94,0))))))))))</f>
        <v>2.5364100000000001</v>
      </c>
      <c r="DF94">
        <v>4</v>
      </c>
      <c r="DG94">
        <f t="shared" si="60"/>
        <v>0.101869444444444</v>
      </c>
      <c r="DH94" t="str">
        <f>IF(DG94=BO94,BP94,IF(DG94=BS94,BT94,IF(DG94=BW94,BX94,IF(DG94=CA94,CB94,IF(DG94=CE94,CF94,IF(DG94=CI94,CJ94,IF(DG94=CM94,CN94,IF(DG94=CQ94,CR94,IF(DG94=CU94,CV94,IF(DG94=CY94,CZ94,IF(DG94=DC94,DD94,0)))))))))))</f>
        <v>AMP</v>
      </c>
      <c r="DI94">
        <f>IF(DG94=BO94,BQ94,IF(DG94=BS94,BU94,IF(DG94=BW94,BY94,IF(DG94=CA94,CC94,IF(DG94=CE94,CG94,IF(DG94=CI94,CK94,IF(DG94=CM94,CO94,IF(DG94=CQ94,CS94,IF(DG94=CU94,CW94,IF(DG94=CY94,DA94,IF(DG94=DC94,DE94,0)))))))))))</f>
        <v>2.5364100000000001</v>
      </c>
      <c r="DJ94">
        <v>4</v>
      </c>
      <c r="DK94">
        <f t="shared" si="62"/>
        <v>0.101869444444444</v>
      </c>
      <c r="DL94" t="str">
        <f>IF(DK94=BO94,BP94,IF(DK94=BS94,BT94,IF(DK94=BW94,BX94,IF(DK94=CA94,CB94,IF(DK94=CE94,CF94,IF(DK94=CI94,CJ94,IF(DK94=CM94,CN94,IF(DK94=CQ94,CR94,IF(DK94=CU94,CV94,IF(DK94=CY94,CZ94,IF(DK94=DC94,DD94,IF(DK94=DG94,DH94,0))))))))))))</f>
        <v>AMP</v>
      </c>
      <c r="DM94">
        <f>IF(DK94=BO94,BQ94,IF(DK94=BS94,BU94,IF(DK94=BW94,BY94,IF(DK94=CA94,CC94,IF(DK94=CE94,CG94,IF(DK94=CI94,CK94,IF(DK94=CM94,CO94,IF(DK94=CQ94,CS94,IF(DK94=CU94,CW94,IF(DK94=CY94,DA94,IF(DK94=DC94,DE94,IF(DK94=DG94,DI94,0))))))))))))</f>
        <v>2.5364100000000001</v>
      </c>
      <c r="DN94">
        <v>4</v>
      </c>
      <c r="DO94">
        <f t="shared" si="64"/>
        <v>0.101869444444444</v>
      </c>
      <c r="DP94" t="str">
        <f>IF(DO94=BO94,BP94,IF(DO94=BS94,BT94,IF(DO94=BW94,BX94,IF(DO94=CA94,CB94,IF(DO94=CE94,CF94,IF(DO94=CI94,CJ94,IF(DO94=CM94,CN94,IF(DO94=CQ94,CR94,IF(DO94=CU94,CV94,IF(DO94=CY94,CZ94,IF(DO94=DC94,DD94,IF(DO94=DG94,DH94,IF(DO94=DK94,DL94,0)))))))))))))</f>
        <v>AMP</v>
      </c>
      <c r="DQ94">
        <f>IF(DO94=BO94,BQ94,IF(DO94=BS94,BU94,IF(DO94=BW94,BY94,IF(DO94=CA94,CC94,IF(DO94=CE94,CG94,IF(DO94=CI94,CK94,IF(DO94=CM94,CO94,IF(DO94=CQ94,CS94,IF(DO94=CU94,CW94,IF(DO94=CY94,DA94,IF(DO94=DC94,DE94,IF(DO94=DG94,DI94,IF(DO94=DK94,DM94,0)))))))))))))</f>
        <v>2.5364100000000001</v>
      </c>
      <c r="DR94">
        <v>4</v>
      </c>
      <c r="DS94">
        <f t="shared" si="66"/>
        <v>0.11445</v>
      </c>
      <c r="DT94">
        <v>10</v>
      </c>
      <c r="DU94">
        <v>3.04745</v>
      </c>
      <c r="DV94">
        <v>4</v>
      </c>
      <c r="DW94">
        <v>31226.480769230799</v>
      </c>
      <c r="DX94">
        <v>6</v>
      </c>
      <c r="DY94">
        <v>0</v>
      </c>
      <c r="EA94">
        <v>4</v>
      </c>
      <c r="EB94">
        <v>14.0364762223093</v>
      </c>
      <c r="EC94">
        <v>0.66666666666666696</v>
      </c>
      <c r="ED94">
        <v>0.88648886666666704</v>
      </c>
      <c r="EE94">
        <v>0.11445</v>
      </c>
      <c r="EF94">
        <v>3.04745</v>
      </c>
      <c r="EG94">
        <v>3.6136883493741201</v>
      </c>
      <c r="EH94">
        <v>10</v>
      </c>
      <c r="EI94">
        <v>0</v>
      </c>
      <c r="EJ94">
        <v>0.264112333333333</v>
      </c>
      <c r="EK94">
        <v>1</v>
      </c>
      <c r="EL94">
        <v>1</v>
      </c>
      <c r="EM94">
        <v>44</v>
      </c>
      <c r="EN94">
        <v>1</v>
      </c>
      <c r="EO94">
        <v>3</v>
      </c>
      <c r="EP94">
        <v>4</v>
      </c>
      <c r="EQ94">
        <v>15</v>
      </c>
      <c r="ER94">
        <v>14.1987814663817</v>
      </c>
      <c r="ES94">
        <v>2.8928439595367399</v>
      </c>
      <c r="ET94">
        <v>3.7793328262034098</v>
      </c>
      <c r="EU94">
        <v>3.2501010776547701</v>
      </c>
      <c r="EV94">
        <v>3.5142134109880998</v>
      </c>
      <c r="EW94">
        <v>0.53703520000000005</v>
      </c>
      <c r="EX94">
        <v>3.81402934822788</v>
      </c>
      <c r="EY94">
        <v>4.35106454822788</v>
      </c>
      <c r="EZ94">
        <v>0.88648886666666704</v>
      </c>
      <c r="FA94">
        <v>2.8928439595367399</v>
      </c>
      <c r="FB94">
        <v>3.7793328262034098</v>
      </c>
      <c r="FC94">
        <v>1.6039434666666701</v>
      </c>
      <c r="FD94">
        <v>8.0437674649437501</v>
      </c>
      <c r="FE94">
        <v>9.6477109316104208</v>
      </c>
      <c r="FF94">
        <v>0.88648886666666704</v>
      </c>
      <c r="FG94">
        <v>2.8928439595367399</v>
      </c>
      <c r="FH94">
        <v>3.7793328262034098</v>
      </c>
    </row>
    <row r="95" spans="1:164" x14ac:dyDescent="0.2">
      <c r="A95">
        <v>94</v>
      </c>
      <c r="B95">
        <v>106</v>
      </c>
      <c r="C95">
        <v>165</v>
      </c>
      <c r="D95">
        <v>1</v>
      </c>
      <c r="E95">
        <v>11</v>
      </c>
      <c r="F95" t="s">
        <v>187</v>
      </c>
      <c r="G95" t="s">
        <v>285</v>
      </c>
      <c r="H95">
        <v>3</v>
      </c>
      <c r="I95">
        <v>1</v>
      </c>
      <c r="K95" t="s">
        <v>286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1</v>
      </c>
      <c r="AD95">
        <v>5</v>
      </c>
      <c r="AE95">
        <v>8</v>
      </c>
      <c r="AF95">
        <v>4</v>
      </c>
      <c r="AG95">
        <v>10</v>
      </c>
      <c r="AH95">
        <v>6</v>
      </c>
      <c r="AI95">
        <v>0.58650833333333297</v>
      </c>
      <c r="AJ95">
        <v>47.792670000000001</v>
      </c>
      <c r="AK95">
        <v>0.45012222222222198</v>
      </c>
      <c r="AL95">
        <v>27.754380000000001</v>
      </c>
      <c r="AM95">
        <v>0.37033611111111098</v>
      </c>
      <c r="AN95">
        <v>28.40652</v>
      </c>
      <c r="AO95">
        <v>0.42151666666666698</v>
      </c>
      <c r="AP95">
        <v>31.020630000000001</v>
      </c>
      <c r="AQ95">
        <v>0.460852777777778</v>
      </c>
      <c r="AR95">
        <v>33.041110000000003</v>
      </c>
      <c r="AS95">
        <v>0.50542777777777803</v>
      </c>
      <c r="AT95">
        <v>36.381799999999998</v>
      </c>
      <c r="AU95">
        <v>0.50188333333333301</v>
      </c>
      <c r="AV95">
        <v>40.116660000000003</v>
      </c>
      <c r="AW95">
        <v>0.511438888888889</v>
      </c>
      <c r="AX95">
        <v>43.042700000000004</v>
      </c>
      <c r="AY95">
        <v>0.52142500000000003</v>
      </c>
      <c r="AZ95">
        <v>44.28143</v>
      </c>
      <c r="BA95">
        <v>0.534775</v>
      </c>
      <c r="BB95">
        <v>45.602139999999999</v>
      </c>
      <c r="BC95">
        <v>0.59560277777777804</v>
      </c>
      <c r="BD95">
        <v>46.926839999999999</v>
      </c>
      <c r="BE95">
        <v>0.60662222222222195</v>
      </c>
      <c r="BF95">
        <v>53.303800000000003</v>
      </c>
      <c r="BG95">
        <v>0.67049722222222197</v>
      </c>
      <c r="BH95">
        <v>56.706650000000003</v>
      </c>
      <c r="BI95">
        <v>0.71432222222222197</v>
      </c>
      <c r="BJ95">
        <v>58.680570000000003</v>
      </c>
      <c r="BK95">
        <v>0.78246388888888896</v>
      </c>
      <c r="BL95">
        <v>65.496210000000005</v>
      </c>
      <c r="BM95">
        <v>0.82396666666666696</v>
      </c>
      <c r="BN95">
        <v>67.488889999999998</v>
      </c>
      <c r="BO95">
        <f t="shared" si="34"/>
        <v>0.37033611111111098</v>
      </c>
      <c r="BP95">
        <v>2</v>
      </c>
      <c r="BQ95">
        <v>28.40652</v>
      </c>
      <c r="BR95">
        <f t="shared" si="35"/>
        <v>0</v>
      </c>
      <c r="BS95">
        <f t="shared" si="36"/>
        <v>0.42151666666666698</v>
      </c>
      <c r="BT95">
        <v>3</v>
      </c>
      <c r="BU95">
        <v>31.020630000000001</v>
      </c>
      <c r="BV95">
        <f t="shared" si="39"/>
        <v>0</v>
      </c>
      <c r="BW95">
        <f t="shared" si="40"/>
        <v>0.37033611111111098</v>
      </c>
      <c r="BX95">
        <f t="shared" si="41"/>
        <v>2</v>
      </c>
      <c r="BY95">
        <f t="shared" si="42"/>
        <v>28.40652</v>
      </c>
      <c r="BZ95">
        <f t="shared" si="43"/>
        <v>0</v>
      </c>
      <c r="CA95">
        <f t="shared" si="44"/>
        <v>0.37033611111111098</v>
      </c>
      <c r="CB95">
        <f>IF(CA95=BO95,BP95,IF(CA95=BS95,BT95,IF(CA95=BW95,BX95,0)))</f>
        <v>2</v>
      </c>
      <c r="CC95">
        <f>IF(CA95=BO95,BQ95,IF(CA95=BS95,BU95,IF(CA95=BW95,BY95,0)))</f>
        <v>28.40652</v>
      </c>
      <c r="CD95">
        <f t="shared" si="45"/>
        <v>0</v>
      </c>
      <c r="CE95">
        <f t="shared" si="46"/>
        <v>0.37033611111111098</v>
      </c>
      <c r="CF95">
        <f>IF(CE95=BO95,BP95,IF(CE95=BS95,BT95,IF(CE95=BW95,BX95,IF(CE95=CA95,CB95,0))))</f>
        <v>2</v>
      </c>
      <c r="CG95">
        <f>IF(CE95=BO95,BQ95,IF(CE95=BS95,BU95,IF(CE95=BW95,BY95,IF(CE95=CA95,CC95,0))))</f>
        <v>28.40652</v>
      </c>
      <c r="CH95">
        <f t="shared" si="47"/>
        <v>0</v>
      </c>
      <c r="CI95">
        <f t="shared" si="48"/>
        <v>0.37033611111111098</v>
      </c>
      <c r="CJ95">
        <f>IF(CI95=BO95,BP95,IF(CI95=BS95,BT95,IF(CI95=BW95,BX95,IF(CI95=CA95,CB95,IF(CI95=CE95,CF95,0)))))</f>
        <v>2</v>
      </c>
      <c r="CK95">
        <f>IF(CI95=BO95,BQ95,IF(CI95=BS95,BU95,IF(CI95=BW95,BY95,IF(CI95=CA95,CC95,IF(CI95=CE95,CG95,0)))))</f>
        <v>28.40652</v>
      </c>
      <c r="CL95">
        <f t="shared" si="49"/>
        <v>0</v>
      </c>
      <c r="CM95">
        <f t="shared" si="50"/>
        <v>0.37033611111111098</v>
      </c>
      <c r="CN95">
        <f>IF(CM95=BO95,BP95,IF(CM95=BS95,BT95,IF(CM95=BW95,BX95,IF(CM95=CA95,CB95,IF(CM95=CE95,CF95,IF(CM95=CI95,CJ95,0))))))</f>
        <v>2</v>
      </c>
      <c r="CO95">
        <f>IF(CM95=BO95,BQ95,IF(CM95=BS95,BU95,IF(CM95=BW95,BY95,IF(CM95=CA95,CC95,IF(CM95=CE95,CG95,IF(CM95=CI95,CK95,0))))))</f>
        <v>28.40652</v>
      </c>
      <c r="CP95">
        <f t="shared" si="51"/>
        <v>0</v>
      </c>
      <c r="CQ95">
        <f t="shared" si="52"/>
        <v>0.37033611111111098</v>
      </c>
      <c r="CR95">
        <f>IF(CQ95=BO95,BP95,IF(CQ95=BS95,BT95,IF(CQ95=BW95,BX95,IF(CQ95=CA95,CB95,IF(CQ95=CE95,CF95,IF(CQ95=CI95,CJ95,IF(CQ95=CM95,CN95,0)))))))</f>
        <v>2</v>
      </c>
      <c r="CS95">
        <f>IF(CQ95=BO95,BQ95,IF(CQ95=BS95,BU95,IF(CQ95=BW95,BY95,IF(CQ95=CA95,CC95,IF(CQ95=CE95,CG95,IF(CQ95=CI95,CK95,IF(CQ95=CM95,CO95,0)))))))</f>
        <v>28.40652</v>
      </c>
      <c r="CT95">
        <f t="shared" si="53"/>
        <v>0</v>
      </c>
      <c r="CU95">
        <f t="shared" si="54"/>
        <v>0.37033611111111098</v>
      </c>
      <c r="CV95">
        <f>IF(CU95=BO95,BP95,IF(CU95=BS95,BT95,IF(CU95=BW95,BX95,IF(CU95=CA95,CB95,IF(CU95=CE95,CF95,IF(CU95=CI95,CJ95,IF(CU95=CM95,CN95,IF(CU95=CQ95,CR95,0))))))))</f>
        <v>2</v>
      </c>
      <c r="CW95">
        <f>IF(CU95=BO95,BQ95,IF(CU95=BS95,BU95,IF(CU95=BW95,BY95,IF(CU95=CA95,CC95,IF(CU95=CE95,CG95,IF(CU95=CI95,CK95,IF(CU95=CM95,CO95,IF(CU95=CQ95,CS95,0))))))))</f>
        <v>28.40652</v>
      </c>
      <c r="CX95">
        <f t="shared" si="55"/>
        <v>0</v>
      </c>
      <c r="CY95">
        <f t="shared" si="56"/>
        <v>0.37033611111111098</v>
      </c>
      <c r="CZ95">
        <f>IF(CY95=BO95,BP95,IF(CY95=BS95,BT95,IF(CY95=BW95,BX95,IF(CY95=CA95,CB95,IF(CY95=CE95,CF95,IF(CY95=CI95,CJ95,IF(CY95=CM95,CN95,IF(CY95=CQ95,CR95,IF(CY95=CU95,CV95,0)))))))))</f>
        <v>2</v>
      </c>
      <c r="DA95">
        <f>IF(CY95=BO95,BQ95,IF(CY95=BS95,BU95,IF(CY95=BW95,BY95,IF(CY95=CA95,CC95,IF(CY95=CE95,CG95,IF(CY95=CI95,CK95,IF(CY95=CM95,CO95,IF(CY95=CQ95,CS95,IF(CY95=CU95,CW95,0)))))))))</f>
        <v>28.40652</v>
      </c>
      <c r="DB95">
        <f t="shared" si="57"/>
        <v>0</v>
      </c>
      <c r="DC95">
        <f t="shared" si="58"/>
        <v>0.37033611111111098</v>
      </c>
      <c r="DD95">
        <f>IF(DC95=BO95,BP95,IF(DC95=BS95,BT95,IF(DC95=BW95,BX95,IF(DC95=CA95,CB95,IF(DC95=CE95,CF95,IF(DC95=CI95,CJ95,IF(DC95=CM95,CN95,IF(DC95=CQ95,CR95,IF(DC95=CU95,CV95,IF(DC95=CY95,CZ95,0))))))))))</f>
        <v>2</v>
      </c>
      <c r="DE95">
        <f>IF(DC95=BO95,BQ95,IF(DC95=BS95,BU95,IF(DC95=BW95,BY95,IF(DC95=CA95,CC95,IF(DC95=CE95,CG95,IF(DC95=CI95,CK95,IF(DC95=CM95,CO95,IF(DC95=CQ95,CS95,IF(DC95=CU95,CW95,IF(DC95=CY95,DA95,0))))))))))</f>
        <v>28.40652</v>
      </c>
      <c r="DF95">
        <f t="shared" si="59"/>
        <v>0</v>
      </c>
      <c r="DG95">
        <f t="shared" si="60"/>
        <v>0.37033611111111098</v>
      </c>
      <c r="DH95">
        <f>IF(DG95=BO95,BP95,IF(DG95=BS95,BT95,IF(DG95=BW95,BX95,IF(DG95=CA95,CB95,IF(DG95=CE95,CF95,IF(DG95=CI95,CJ95,IF(DG95=CM95,CN95,IF(DG95=CQ95,CR95,IF(DG95=CU95,CV95,IF(DG95=CY95,CZ95,IF(DG95=DC95,DD95,0)))))))))))</f>
        <v>2</v>
      </c>
      <c r="DI95">
        <f>IF(DG95=BO95,BQ95,IF(DG95=BS95,BU95,IF(DG95=BW95,BY95,IF(DG95=CA95,CC95,IF(DG95=CE95,CG95,IF(DG95=CI95,CK95,IF(DG95=CM95,CO95,IF(DG95=CQ95,CS95,IF(DG95=CU95,CW95,IF(DG95=CY95,DA95,IF(DG95=DC95,DE95,0)))))))))))</f>
        <v>28.40652</v>
      </c>
      <c r="DJ95">
        <f t="shared" si="61"/>
        <v>0</v>
      </c>
      <c r="DK95">
        <f t="shared" si="62"/>
        <v>0.37033611111111098</v>
      </c>
      <c r="DL95">
        <f>IF(DK95=BO95,BP95,IF(DK95=BS95,BT95,IF(DK95=BW95,BX95,IF(DK95=CA95,CB95,IF(DK95=CE95,CF95,IF(DK95=CI95,CJ95,IF(DK95=CM95,CN95,IF(DK95=CQ95,CR95,IF(DK95=CU95,CV95,IF(DK95=CY95,CZ95,IF(DK95=DC95,DD95,IF(DK95=DG95,DH95,0))))))))))))</f>
        <v>2</v>
      </c>
      <c r="DM95">
        <f>IF(DK95=BO95,BQ95,IF(DK95=BS95,BU95,IF(DK95=BW95,BY95,IF(DK95=CA95,CC95,IF(DK95=CE95,CG95,IF(DK95=CI95,CK95,IF(DK95=CM95,CO95,IF(DK95=CQ95,CS95,IF(DK95=CU95,CW95,IF(DK95=CY95,DA95,IF(DK95=DC95,DE95,IF(DK95=DG95,DI95,0))))))))))))</f>
        <v>28.40652</v>
      </c>
      <c r="DN95">
        <f t="shared" si="63"/>
        <v>0</v>
      </c>
      <c r="DO95">
        <f t="shared" si="64"/>
        <v>0.37033611111111098</v>
      </c>
      <c r="DP95">
        <f>IF(DO95=BO95,BP95,IF(DO95=BS95,BT95,IF(DO95=BW95,BX95,IF(DO95=CA95,CB95,IF(DO95=CE95,CF95,IF(DO95=CI95,CJ95,IF(DO95=CM95,CN95,IF(DO95=CQ95,CR95,IF(DO95=CU95,CV95,IF(DO95=CY95,CZ95,IF(DO95=DC95,DD95,IF(DO95=DG95,DH95,IF(DO95=DK95,DL95,0)))))))))))))</f>
        <v>2</v>
      </c>
      <c r="DQ95">
        <f>IF(DO95=BO95,BQ95,IF(DO95=BS95,BU95,IF(DO95=BW95,BY95,IF(DO95=CA95,CC95,IF(DO95=CE95,CG95,IF(DO95=CI95,CK95,IF(DO95=CM95,CO95,IF(DO95=CQ95,CS95,IF(DO95=CU95,CW95,IF(DO95=CY95,DA95,IF(DO95=DC95,DE95,IF(DO95=DG95,DI95,IF(DO95=DK95,DM95,0)))))))))))))</f>
        <v>28.40652</v>
      </c>
      <c r="DR95">
        <f t="shared" si="65"/>
        <v>0</v>
      </c>
      <c r="DS95">
        <f t="shared" si="66"/>
        <v>0.37033611111111098</v>
      </c>
      <c r="DT95">
        <f>IF(DS95=BO95,BP95,IF(DS95=BS95,BT95,IF(DS95=BW95,BX95,IF(DS95=CA95,CB95,IF(DS95=CE95,CF95,IF(DS95=CI95,CJ95,IF(DS95=CM95,CN95,IF(DS95=CQ95,CR95,IF(DS95=CU95,CV95,IF(DS95=CY95,CZ95,IF(DS95=DC95,DD95,IF(DS95=DG95,DH95,IF(DS95=DK95,DL95,IF(DS95=DO95,DP95,0))))))))))))))</f>
        <v>2</v>
      </c>
      <c r="DU95">
        <f>IF(DS95=BO95,BQ95,IF(DS95=BS95,BU95,IF(DS95=BW95,BY95,IF(DS95=CA95,CC95,IF(DS95=CE95,CG95,IF(DS95=CI95,CK95,IF(DS95=CM95,CO95,IF(DS95=CQ95,CS95,IF(DS95=CU95,CW95,IF(DS95=CY95,DA95,IF(DS95=DC95,DE95,IF(DS95=DG95,DI95,IF(DS95=DK95,DM95,IF(DS95=DO95,DQ95,0))))))))))))))</f>
        <v>28.40652</v>
      </c>
      <c r="DV95">
        <f t="shared" si="67"/>
        <v>0</v>
      </c>
      <c r="DW95">
        <v>22500.5</v>
      </c>
      <c r="DX95">
        <v>4</v>
      </c>
      <c r="DY95">
        <v>0</v>
      </c>
      <c r="EA95">
        <v>4</v>
      </c>
      <c r="EB95">
        <v>10.114099490560401</v>
      </c>
      <c r="EC95">
        <v>1</v>
      </c>
      <c r="ED95">
        <v>7.2130470999999998</v>
      </c>
      <c r="EE95">
        <v>0.37033611111111098</v>
      </c>
      <c r="EF95">
        <v>28.40652</v>
      </c>
      <c r="EG95">
        <v>15.3299142830816</v>
      </c>
      <c r="EH95">
        <v>2</v>
      </c>
      <c r="EI95">
        <v>0</v>
      </c>
      <c r="EJ95">
        <v>3.6928475999999999</v>
      </c>
      <c r="EK95">
        <v>1</v>
      </c>
      <c r="EL95">
        <v>0</v>
      </c>
      <c r="EM95">
        <v>42</v>
      </c>
      <c r="EN95">
        <v>1</v>
      </c>
      <c r="EO95">
        <v>4</v>
      </c>
      <c r="EP95">
        <v>6</v>
      </c>
      <c r="EQ95">
        <v>4</v>
      </c>
      <c r="ER95">
        <v>14.1987814663817</v>
      </c>
      <c r="ES95">
        <v>16.655407306423498</v>
      </c>
      <c r="ET95">
        <v>23.868454406423499</v>
      </c>
      <c r="EU95">
        <v>10.5166430215526</v>
      </c>
      <c r="EV95">
        <v>14.2094906215526</v>
      </c>
      <c r="EW95">
        <v>5.7565859000000001</v>
      </c>
      <c r="EX95">
        <v>14.807199252216099</v>
      </c>
      <c r="EY95">
        <v>20.563785152216099</v>
      </c>
      <c r="EZ95">
        <v>3.6928475999999999</v>
      </c>
      <c r="FA95">
        <v>10.5166430215526</v>
      </c>
      <c r="FB95">
        <v>14.2094906215526</v>
      </c>
      <c r="FC95">
        <v>4.0326819</v>
      </c>
      <c r="FD95">
        <v>11.9700460688753</v>
      </c>
      <c r="FE95">
        <v>16.002727968875298</v>
      </c>
      <c r="FF95">
        <v>3.6928475999999999</v>
      </c>
      <c r="FG95">
        <v>10.5166430215526</v>
      </c>
      <c r="FH95">
        <v>14.2094906215526</v>
      </c>
    </row>
    <row r="96" spans="1:164" x14ac:dyDescent="0.2">
      <c r="A96">
        <v>95</v>
      </c>
      <c r="B96">
        <v>107</v>
      </c>
      <c r="C96">
        <v>166</v>
      </c>
      <c r="D96">
        <v>1</v>
      </c>
      <c r="E96">
        <v>11</v>
      </c>
      <c r="F96" t="s">
        <v>187</v>
      </c>
      <c r="G96" t="s">
        <v>122</v>
      </c>
      <c r="H96">
        <v>3</v>
      </c>
      <c r="I96">
        <v>4</v>
      </c>
      <c r="K96" t="s">
        <v>287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1</v>
      </c>
      <c r="Z96">
        <v>0</v>
      </c>
      <c r="AA96">
        <v>0</v>
      </c>
      <c r="AB96">
        <v>5</v>
      </c>
      <c r="AC96">
        <v>0</v>
      </c>
      <c r="AD96">
        <v>2</v>
      </c>
      <c r="AE96">
        <v>10</v>
      </c>
      <c r="AF96">
        <v>5</v>
      </c>
      <c r="AG96">
        <v>10</v>
      </c>
      <c r="AH96">
        <v>6</v>
      </c>
      <c r="AI96">
        <v>0.58650833333333297</v>
      </c>
      <c r="AJ96">
        <v>47.792670000000001</v>
      </c>
      <c r="AK96">
        <v>0.45012222222222198</v>
      </c>
      <c r="AL96">
        <v>27.754380000000001</v>
      </c>
      <c r="AM96">
        <v>0.37033611111111098</v>
      </c>
      <c r="AN96">
        <v>28.40652</v>
      </c>
      <c r="AO96">
        <v>0.42151666666666698</v>
      </c>
      <c r="AP96">
        <v>31.020630000000001</v>
      </c>
      <c r="AQ96">
        <v>0.460852777777778</v>
      </c>
      <c r="AR96">
        <v>33.041110000000003</v>
      </c>
      <c r="AS96">
        <v>0.50542777777777803</v>
      </c>
      <c r="AT96">
        <v>36.381799999999998</v>
      </c>
      <c r="AU96">
        <v>0.50188333333333301</v>
      </c>
      <c r="AV96">
        <v>40.116660000000003</v>
      </c>
      <c r="AW96">
        <v>0.511438888888889</v>
      </c>
      <c r="AX96">
        <v>43.042700000000004</v>
      </c>
      <c r="AY96">
        <v>0.52142500000000003</v>
      </c>
      <c r="AZ96">
        <v>44.28143</v>
      </c>
      <c r="BA96">
        <v>0.534775</v>
      </c>
      <c r="BB96">
        <v>45.602139999999999</v>
      </c>
      <c r="BC96">
        <v>0.59560277777777804</v>
      </c>
      <c r="BD96">
        <v>46.926839999999999</v>
      </c>
      <c r="BE96">
        <v>0.60662222222222195</v>
      </c>
      <c r="BF96">
        <v>53.303800000000003</v>
      </c>
      <c r="BG96">
        <v>0.67049722222222197</v>
      </c>
      <c r="BH96">
        <v>56.706650000000003</v>
      </c>
      <c r="BI96">
        <v>0.71432222222222197</v>
      </c>
      <c r="BJ96">
        <v>58.680570000000003</v>
      </c>
      <c r="BK96">
        <v>0.78246388888888896</v>
      </c>
      <c r="BL96">
        <v>65.496210000000005</v>
      </c>
      <c r="BM96">
        <v>0.82396666666666696</v>
      </c>
      <c r="BN96">
        <v>67.488889999999998</v>
      </c>
      <c r="BO96">
        <f t="shared" si="34"/>
        <v>0.37033611111111098</v>
      </c>
      <c r="BP96">
        <v>2</v>
      </c>
      <c r="BQ96">
        <v>28.40652</v>
      </c>
      <c r="BR96">
        <f t="shared" si="35"/>
        <v>0</v>
      </c>
      <c r="BS96">
        <f t="shared" si="36"/>
        <v>0.42151666666666698</v>
      </c>
      <c r="BT96">
        <v>3</v>
      </c>
      <c r="BU96">
        <v>31.020630000000001</v>
      </c>
      <c r="BV96">
        <f t="shared" si="39"/>
        <v>0</v>
      </c>
      <c r="BW96">
        <f t="shared" si="40"/>
        <v>0.37033611111111098</v>
      </c>
      <c r="BX96">
        <f t="shared" si="41"/>
        <v>2</v>
      </c>
      <c r="BY96">
        <f t="shared" si="42"/>
        <v>28.40652</v>
      </c>
      <c r="BZ96">
        <f t="shared" si="43"/>
        <v>0</v>
      </c>
      <c r="CA96">
        <f t="shared" si="44"/>
        <v>0.37033611111111098</v>
      </c>
      <c r="CB96">
        <f>IF(CA96=BO96,BP96,IF(CA96=BS96,BT96,IF(CA96=BW96,BX96,0)))</f>
        <v>2</v>
      </c>
      <c r="CC96">
        <f>IF(CA96=BO96,BQ96,IF(CA96=BS96,BU96,IF(CA96=BW96,BY96,0)))</f>
        <v>28.40652</v>
      </c>
      <c r="CD96">
        <f t="shared" si="45"/>
        <v>0</v>
      </c>
      <c r="CE96">
        <f t="shared" si="46"/>
        <v>0.37033611111111098</v>
      </c>
      <c r="CF96">
        <f>IF(CE96=BO96,BP96,IF(CE96=BS96,BT96,IF(CE96=BW96,BX96,IF(CE96=CA96,CB96,0))))</f>
        <v>2</v>
      </c>
      <c r="CG96">
        <f>IF(CE96=BO96,BQ96,IF(CE96=BS96,BU96,IF(CE96=BW96,BY96,IF(CE96=CA96,CC96,0))))</f>
        <v>28.40652</v>
      </c>
      <c r="CH96">
        <f t="shared" si="47"/>
        <v>0</v>
      </c>
      <c r="CI96">
        <f t="shared" si="48"/>
        <v>0.37033611111111098</v>
      </c>
      <c r="CJ96">
        <f>IF(CI96=BO96,BP96,IF(CI96=BS96,BT96,IF(CI96=BW96,BX96,IF(CI96=CA96,CB96,IF(CI96=CE96,CF96,0)))))</f>
        <v>2</v>
      </c>
      <c r="CK96">
        <f>IF(CI96=BO96,BQ96,IF(CI96=BS96,BU96,IF(CI96=BW96,BY96,IF(CI96=CA96,CC96,IF(CI96=CE96,CG96,0)))))</f>
        <v>28.40652</v>
      </c>
      <c r="CL96">
        <f t="shared" si="49"/>
        <v>0</v>
      </c>
      <c r="CM96">
        <f t="shared" si="50"/>
        <v>0.37033611111111098</v>
      </c>
      <c r="CN96">
        <f>IF(CM96=BO96,BP96,IF(CM96=BS96,BT96,IF(CM96=BW96,BX96,IF(CM96=CA96,CB96,IF(CM96=CE96,CF96,IF(CM96=CI96,CJ96,0))))))</f>
        <v>2</v>
      </c>
      <c r="CO96">
        <f>IF(CM96=BO96,BQ96,IF(CM96=BS96,BU96,IF(CM96=BW96,BY96,IF(CM96=CA96,CC96,IF(CM96=CE96,CG96,IF(CM96=CI96,CK96,0))))))</f>
        <v>28.40652</v>
      </c>
      <c r="CP96">
        <f t="shared" si="51"/>
        <v>0</v>
      </c>
      <c r="CQ96">
        <f t="shared" si="52"/>
        <v>0.37033611111111098</v>
      </c>
      <c r="CR96">
        <f>IF(CQ96=BO96,BP96,IF(CQ96=BS96,BT96,IF(CQ96=BW96,BX96,IF(CQ96=CA96,CB96,IF(CQ96=CE96,CF96,IF(CQ96=CI96,CJ96,IF(CQ96=CM96,CN96,0)))))))</f>
        <v>2</v>
      </c>
      <c r="CS96">
        <f>IF(CQ96=BO96,BQ96,IF(CQ96=BS96,BU96,IF(CQ96=BW96,BY96,IF(CQ96=CA96,CC96,IF(CQ96=CE96,CG96,IF(CQ96=CI96,CK96,IF(CQ96=CM96,CO96,0)))))))</f>
        <v>28.40652</v>
      </c>
      <c r="CT96">
        <f t="shared" si="53"/>
        <v>0</v>
      </c>
      <c r="CU96">
        <f t="shared" si="54"/>
        <v>0.37033611111111098</v>
      </c>
      <c r="CV96">
        <f>IF(CU96=BO96,BP96,IF(CU96=BS96,BT96,IF(CU96=BW96,BX96,IF(CU96=CA96,CB96,IF(CU96=CE96,CF96,IF(CU96=CI96,CJ96,IF(CU96=CM96,CN96,IF(CU96=CQ96,CR96,0))))))))</f>
        <v>2</v>
      </c>
      <c r="CW96">
        <f>IF(CU96=BO96,BQ96,IF(CU96=BS96,BU96,IF(CU96=BW96,BY96,IF(CU96=CA96,CC96,IF(CU96=CE96,CG96,IF(CU96=CI96,CK96,IF(CU96=CM96,CO96,IF(CU96=CQ96,CS96,0))))))))</f>
        <v>28.40652</v>
      </c>
      <c r="CX96">
        <f t="shared" si="55"/>
        <v>0</v>
      </c>
      <c r="CY96">
        <f t="shared" si="56"/>
        <v>0.37033611111111098</v>
      </c>
      <c r="CZ96">
        <f>IF(CY96=BO96,BP96,IF(CY96=BS96,BT96,IF(CY96=BW96,BX96,IF(CY96=CA96,CB96,IF(CY96=CE96,CF96,IF(CY96=CI96,CJ96,IF(CY96=CM96,CN96,IF(CY96=CQ96,CR96,IF(CY96=CU96,CV96,0)))))))))</f>
        <v>2</v>
      </c>
      <c r="DA96">
        <f>IF(CY96=BO96,BQ96,IF(CY96=BS96,BU96,IF(CY96=BW96,BY96,IF(CY96=CA96,CC96,IF(CY96=CE96,CG96,IF(CY96=CI96,CK96,IF(CY96=CM96,CO96,IF(CY96=CQ96,CS96,IF(CY96=CU96,CW96,0)))))))))</f>
        <v>28.40652</v>
      </c>
      <c r="DB96">
        <f t="shared" si="57"/>
        <v>0</v>
      </c>
      <c r="DC96">
        <f t="shared" si="58"/>
        <v>0.37033611111111098</v>
      </c>
      <c r="DD96">
        <f>IF(DC96=BO96,BP96,IF(DC96=BS96,BT96,IF(DC96=BW96,BX96,IF(DC96=CA96,CB96,IF(DC96=CE96,CF96,IF(DC96=CI96,CJ96,IF(DC96=CM96,CN96,IF(DC96=CQ96,CR96,IF(DC96=CU96,CV96,IF(DC96=CY96,CZ96,0))))))))))</f>
        <v>2</v>
      </c>
      <c r="DE96">
        <f>IF(DC96=BO96,BQ96,IF(DC96=BS96,BU96,IF(DC96=BW96,BY96,IF(DC96=CA96,CC96,IF(DC96=CE96,CG96,IF(DC96=CI96,CK96,IF(DC96=CM96,CO96,IF(DC96=CQ96,CS96,IF(DC96=CU96,CW96,IF(DC96=CY96,DA96,0))))))))))</f>
        <v>28.40652</v>
      </c>
      <c r="DF96">
        <f t="shared" si="59"/>
        <v>0</v>
      </c>
      <c r="DG96">
        <f t="shared" si="60"/>
        <v>0.37033611111111098</v>
      </c>
      <c r="DH96">
        <f>IF(DG96=BO96,BP96,IF(DG96=BS96,BT96,IF(DG96=BW96,BX96,IF(DG96=CA96,CB96,IF(DG96=CE96,CF96,IF(DG96=CI96,CJ96,IF(DG96=CM96,CN96,IF(DG96=CQ96,CR96,IF(DG96=CU96,CV96,IF(DG96=CY96,CZ96,IF(DG96=DC96,DD96,0)))))))))))</f>
        <v>2</v>
      </c>
      <c r="DI96">
        <f>IF(DG96=BO96,BQ96,IF(DG96=BS96,BU96,IF(DG96=BW96,BY96,IF(DG96=CA96,CC96,IF(DG96=CE96,CG96,IF(DG96=CI96,CK96,IF(DG96=CM96,CO96,IF(DG96=CQ96,CS96,IF(DG96=CU96,CW96,IF(DG96=CY96,DA96,IF(DG96=DC96,DE96,0)))))))))))</f>
        <v>28.40652</v>
      </c>
      <c r="DJ96">
        <f t="shared" si="61"/>
        <v>0</v>
      </c>
      <c r="DK96">
        <f t="shared" si="62"/>
        <v>0.37033611111111098</v>
      </c>
      <c r="DL96">
        <f>IF(DK96=BO96,BP96,IF(DK96=BS96,BT96,IF(DK96=BW96,BX96,IF(DK96=CA96,CB96,IF(DK96=CE96,CF96,IF(DK96=CI96,CJ96,IF(DK96=CM96,CN96,IF(DK96=CQ96,CR96,IF(DK96=CU96,CV96,IF(DK96=CY96,CZ96,IF(DK96=DC96,DD96,IF(DK96=DG96,DH96,0))))))))))))</f>
        <v>2</v>
      </c>
      <c r="DM96">
        <f>IF(DK96=BO96,BQ96,IF(DK96=BS96,BU96,IF(DK96=BW96,BY96,IF(DK96=CA96,CC96,IF(DK96=CE96,CG96,IF(DK96=CI96,CK96,IF(DK96=CM96,CO96,IF(DK96=CQ96,CS96,IF(DK96=CU96,CW96,IF(DK96=CY96,DA96,IF(DK96=DC96,DE96,IF(DK96=DG96,DI96,0))))))))))))</f>
        <v>28.40652</v>
      </c>
      <c r="DN96">
        <f t="shared" si="63"/>
        <v>0</v>
      </c>
      <c r="DO96">
        <f t="shared" si="64"/>
        <v>0.37033611111111098</v>
      </c>
      <c r="DP96">
        <f>IF(DO96=BO96,BP96,IF(DO96=BS96,BT96,IF(DO96=BW96,BX96,IF(DO96=CA96,CB96,IF(DO96=CE96,CF96,IF(DO96=CI96,CJ96,IF(DO96=CM96,CN96,IF(DO96=CQ96,CR96,IF(DO96=CU96,CV96,IF(DO96=CY96,CZ96,IF(DO96=DC96,DD96,IF(DO96=DG96,DH96,IF(DO96=DK96,DL96,0)))))))))))))</f>
        <v>2</v>
      </c>
      <c r="DQ96">
        <f>IF(DO96=BO96,BQ96,IF(DO96=BS96,BU96,IF(DO96=BW96,BY96,IF(DO96=CA96,CC96,IF(DO96=CE96,CG96,IF(DO96=CI96,CK96,IF(DO96=CM96,CO96,IF(DO96=CQ96,CS96,IF(DO96=CU96,CW96,IF(DO96=CY96,DA96,IF(DO96=DC96,DE96,IF(DO96=DG96,DI96,IF(DO96=DK96,DM96,0)))))))))))))</f>
        <v>28.40652</v>
      </c>
      <c r="DR96">
        <f t="shared" si="65"/>
        <v>0</v>
      </c>
      <c r="DS96">
        <f t="shared" si="66"/>
        <v>0.37033611111111098</v>
      </c>
      <c r="DT96">
        <f>IF(DS96=BO96,BP96,IF(DS96=BS96,BT96,IF(DS96=BW96,BX96,IF(DS96=CA96,CB96,IF(DS96=CE96,CF96,IF(DS96=CI96,CJ96,IF(DS96=CM96,CN96,IF(DS96=CQ96,CR96,IF(DS96=CU96,CV96,IF(DS96=CY96,CZ96,IF(DS96=DC96,DD96,IF(DS96=DG96,DH96,IF(DS96=DK96,DL96,IF(DS96=DO96,DP96,0))))))))))))))</f>
        <v>2</v>
      </c>
      <c r="DU96">
        <f>IF(DS96=BO96,BQ96,IF(DS96=BS96,BU96,IF(DS96=BW96,BY96,IF(DS96=CA96,CC96,IF(DS96=CE96,CG96,IF(DS96=CI96,CK96,IF(DS96=CM96,CO96,IF(DS96=CQ96,CS96,IF(DS96=CU96,CW96,IF(DS96=CY96,DA96,IF(DS96=DC96,DE96,IF(DS96=DG96,DI96,IF(DS96=DK96,DM96,IF(DS96=DO96,DQ96,0))))))))))))))</f>
        <v>28.40652</v>
      </c>
      <c r="DV96">
        <f t="shared" si="67"/>
        <v>0</v>
      </c>
      <c r="DW96">
        <v>7500</v>
      </c>
      <c r="DX96">
        <v>4</v>
      </c>
      <c r="DY96">
        <v>20</v>
      </c>
      <c r="DZ96">
        <v>6</v>
      </c>
      <c r="EA96">
        <v>6</v>
      </c>
      <c r="EB96">
        <v>3.37129157926281</v>
      </c>
      <c r="EC96">
        <v>1.5</v>
      </c>
      <c r="ED96">
        <v>7.7130470999999998</v>
      </c>
      <c r="EE96">
        <v>0.37033611111111098</v>
      </c>
      <c r="EF96">
        <v>28.40652</v>
      </c>
      <c r="EG96">
        <v>7.9204882229977098</v>
      </c>
      <c r="EH96">
        <v>2</v>
      </c>
      <c r="EI96">
        <v>0</v>
      </c>
      <c r="EJ96">
        <v>3.6928475999999999</v>
      </c>
      <c r="EK96">
        <v>1</v>
      </c>
      <c r="EL96">
        <v>0</v>
      </c>
      <c r="EM96">
        <v>42</v>
      </c>
      <c r="EN96">
        <v>1</v>
      </c>
      <c r="EO96">
        <v>2</v>
      </c>
      <c r="EP96">
        <v>6</v>
      </c>
      <c r="EQ96">
        <v>5</v>
      </c>
      <c r="ER96">
        <v>14.1987814663817</v>
      </c>
      <c r="ES96">
        <v>16.655407306423498</v>
      </c>
      <c r="ET96">
        <v>24.368454406423499</v>
      </c>
      <c r="EU96">
        <v>10.5166430215526</v>
      </c>
      <c r="EV96">
        <v>14.2094906215526</v>
      </c>
      <c r="EW96">
        <v>5.7565859000000001</v>
      </c>
      <c r="EX96">
        <v>14.807199252216099</v>
      </c>
      <c r="EY96">
        <v>20.563785152216099</v>
      </c>
      <c r="EZ96">
        <v>3.6928475999999999</v>
      </c>
      <c r="FA96">
        <v>10.5166430215526</v>
      </c>
      <c r="FB96">
        <v>14.2094906215526</v>
      </c>
      <c r="FC96">
        <v>4.0326819</v>
      </c>
      <c r="FD96">
        <v>11.9700460688753</v>
      </c>
      <c r="FE96">
        <v>16.002727968875298</v>
      </c>
      <c r="FF96">
        <v>3.6928475999999999</v>
      </c>
      <c r="FG96">
        <v>10.5166430215526</v>
      </c>
      <c r="FH96">
        <v>14.2094906215526</v>
      </c>
    </row>
    <row r="97" spans="1:164" x14ac:dyDescent="0.2">
      <c r="A97">
        <v>96</v>
      </c>
      <c r="B97">
        <v>108</v>
      </c>
      <c r="C97">
        <v>169</v>
      </c>
      <c r="D97">
        <v>3</v>
      </c>
      <c r="E97">
        <v>12</v>
      </c>
      <c r="F97" t="s">
        <v>288</v>
      </c>
      <c r="G97" t="s">
        <v>289</v>
      </c>
      <c r="H97">
        <v>3</v>
      </c>
      <c r="I97">
        <v>3</v>
      </c>
      <c r="K97" t="s">
        <v>170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2</v>
      </c>
      <c r="AC97">
        <v>2</v>
      </c>
      <c r="AD97">
        <v>3</v>
      </c>
      <c r="AE97">
        <v>8</v>
      </c>
      <c r="AF97">
        <v>4</v>
      </c>
      <c r="AG97">
        <v>5</v>
      </c>
      <c r="AH97">
        <v>5</v>
      </c>
      <c r="AI97">
        <v>0.40377222222222198</v>
      </c>
      <c r="AJ97">
        <v>21.68085</v>
      </c>
      <c r="AK97">
        <v>0.37228611111111098</v>
      </c>
      <c r="AL97">
        <v>11.58466</v>
      </c>
      <c r="AM97">
        <v>0.26991111111111099</v>
      </c>
      <c r="AN97">
        <v>10.12307</v>
      </c>
      <c r="AO97">
        <v>0.255202777777778</v>
      </c>
      <c r="AP97">
        <v>8.6622500000000002</v>
      </c>
      <c r="AQ97">
        <v>0.31812777777777801</v>
      </c>
      <c r="AR97">
        <v>10.73414</v>
      </c>
      <c r="AS97">
        <v>0.31245000000000001</v>
      </c>
      <c r="AT97">
        <v>10.14893</v>
      </c>
      <c r="AU97">
        <v>0.30712499999999998</v>
      </c>
      <c r="AV97">
        <v>12.55533</v>
      </c>
      <c r="AW97">
        <v>0.32870277777777801</v>
      </c>
      <c r="AX97">
        <v>16.930879999999998</v>
      </c>
      <c r="AY97">
        <v>0.33868888888888898</v>
      </c>
      <c r="AZ97">
        <v>18.169609999999999</v>
      </c>
      <c r="BA97">
        <v>0.35203888888888901</v>
      </c>
      <c r="BB97">
        <v>19.490320000000001</v>
      </c>
      <c r="BC97">
        <v>0.41286666666666699</v>
      </c>
      <c r="BD97">
        <v>20.815020000000001</v>
      </c>
      <c r="BE97">
        <v>0.42388611111111102</v>
      </c>
      <c r="BF97">
        <v>27.191980000000001</v>
      </c>
      <c r="BG97">
        <v>0.48776111111111098</v>
      </c>
      <c r="BH97">
        <v>30.594830000000002</v>
      </c>
      <c r="BI97">
        <v>0.53158611111111098</v>
      </c>
      <c r="BJ97">
        <v>32.568750000000001</v>
      </c>
      <c r="BK97">
        <v>0.59972777777777797</v>
      </c>
      <c r="BL97">
        <v>39.384390000000003</v>
      </c>
      <c r="BM97">
        <v>0.64123055555555597</v>
      </c>
      <c r="BN97">
        <v>41.377070000000003</v>
      </c>
      <c r="BO97">
        <f t="shared" si="34"/>
        <v>0.255202777777778</v>
      </c>
      <c r="BP97">
        <v>3</v>
      </c>
      <c r="BQ97">
        <v>8.6622500000000002</v>
      </c>
      <c r="BR97">
        <f t="shared" si="35"/>
        <v>0</v>
      </c>
      <c r="BS97">
        <f t="shared" si="36"/>
        <v>0.255202777777778</v>
      </c>
      <c r="BT97">
        <f t="shared" si="37"/>
        <v>3</v>
      </c>
      <c r="BU97">
        <f t="shared" si="38"/>
        <v>8.6622500000000002</v>
      </c>
      <c r="BV97">
        <f t="shared" si="39"/>
        <v>0</v>
      </c>
      <c r="BW97">
        <f t="shared" si="40"/>
        <v>0.26991111111111099</v>
      </c>
      <c r="BX97">
        <v>2</v>
      </c>
      <c r="BY97">
        <v>10.12307</v>
      </c>
      <c r="BZ97">
        <f t="shared" si="43"/>
        <v>0</v>
      </c>
      <c r="CA97">
        <f t="shared" si="44"/>
        <v>0.255202777777778</v>
      </c>
      <c r="CB97">
        <f>IF(CA97=BO97,BP97,IF(CA97=BS97,BT97,IF(CA97=BW97,BX97,0)))</f>
        <v>3</v>
      </c>
      <c r="CC97">
        <f>IF(CA97=BO97,BQ97,IF(CA97=BS97,BU97,IF(CA97=BW97,BY97,0)))</f>
        <v>8.6622500000000002</v>
      </c>
      <c r="CD97">
        <f t="shared" si="45"/>
        <v>0</v>
      </c>
      <c r="CE97">
        <f t="shared" si="46"/>
        <v>0.255202777777778</v>
      </c>
      <c r="CF97">
        <f>IF(CE97=BO97,BP97,IF(CE97=BS97,BT97,IF(CE97=BW97,BX97,IF(CE97=CA97,CB97,0))))</f>
        <v>3</v>
      </c>
      <c r="CG97">
        <f>IF(CE97=BO97,BQ97,IF(CE97=BS97,BU97,IF(CE97=BW97,BY97,IF(CE97=CA97,CC97,0))))</f>
        <v>8.6622500000000002</v>
      </c>
      <c r="CH97">
        <f t="shared" si="47"/>
        <v>0</v>
      </c>
      <c r="CI97">
        <f t="shared" si="48"/>
        <v>0.255202777777778</v>
      </c>
      <c r="CJ97">
        <f>IF(CI97=BO97,BP97,IF(CI97=BS97,BT97,IF(CI97=BW97,BX97,IF(CI97=CA97,CB97,IF(CI97=CE97,CF97,0)))))</f>
        <v>3</v>
      </c>
      <c r="CK97">
        <f>IF(CI97=BO97,BQ97,IF(CI97=BS97,BU97,IF(CI97=BW97,BY97,IF(CI97=CA97,CC97,IF(CI97=CE97,CG97,0)))))</f>
        <v>8.6622500000000002</v>
      </c>
      <c r="CL97">
        <f t="shared" si="49"/>
        <v>0</v>
      </c>
      <c r="CM97">
        <f t="shared" si="50"/>
        <v>0.255202777777778</v>
      </c>
      <c r="CN97">
        <f>IF(CM97=BO97,BP97,IF(CM97=BS97,BT97,IF(CM97=BW97,BX97,IF(CM97=CA97,CB97,IF(CM97=CE97,CF97,IF(CM97=CI97,CJ97,0))))))</f>
        <v>3</v>
      </c>
      <c r="CO97">
        <f>IF(CM97=BO97,BQ97,IF(CM97=BS97,BU97,IF(CM97=BW97,BY97,IF(CM97=CA97,CC97,IF(CM97=CE97,CG97,IF(CM97=CI97,CK97,0))))))</f>
        <v>8.6622500000000002</v>
      </c>
      <c r="CP97">
        <f t="shared" si="51"/>
        <v>0</v>
      </c>
      <c r="CQ97">
        <f t="shared" si="52"/>
        <v>0.255202777777778</v>
      </c>
      <c r="CR97">
        <f>IF(CQ97=BO97,BP97,IF(CQ97=BS97,BT97,IF(CQ97=BW97,BX97,IF(CQ97=CA97,CB97,IF(CQ97=CE97,CF97,IF(CQ97=CI97,CJ97,IF(CQ97=CM97,CN97,0)))))))</f>
        <v>3</v>
      </c>
      <c r="CS97">
        <f>IF(CQ97=BO97,BQ97,IF(CQ97=BS97,BU97,IF(CQ97=BW97,BY97,IF(CQ97=CA97,CC97,IF(CQ97=CE97,CG97,IF(CQ97=CI97,CK97,IF(CQ97=CM97,CO97,0)))))))</f>
        <v>8.6622500000000002</v>
      </c>
      <c r="CT97">
        <f t="shared" si="53"/>
        <v>0</v>
      </c>
      <c r="CU97">
        <f t="shared" si="54"/>
        <v>0.255202777777778</v>
      </c>
      <c r="CV97">
        <f>IF(CU97=BO97,BP97,IF(CU97=BS97,BT97,IF(CU97=BW97,BX97,IF(CU97=CA97,CB97,IF(CU97=CE97,CF97,IF(CU97=CI97,CJ97,IF(CU97=CM97,CN97,IF(CU97=CQ97,CR97,0))))))))</f>
        <v>3</v>
      </c>
      <c r="CW97">
        <f>IF(CU97=BO97,BQ97,IF(CU97=BS97,BU97,IF(CU97=BW97,BY97,IF(CU97=CA97,CC97,IF(CU97=CE97,CG97,IF(CU97=CI97,CK97,IF(CU97=CM97,CO97,IF(CU97=CQ97,CS97,0))))))))</f>
        <v>8.6622500000000002</v>
      </c>
      <c r="CX97">
        <f t="shared" si="55"/>
        <v>0</v>
      </c>
      <c r="CY97">
        <f t="shared" si="56"/>
        <v>0.255202777777778</v>
      </c>
      <c r="CZ97">
        <f>IF(CY97=BO97,BP97,IF(CY97=BS97,BT97,IF(CY97=BW97,BX97,IF(CY97=CA97,CB97,IF(CY97=CE97,CF97,IF(CY97=CI97,CJ97,IF(CY97=CM97,CN97,IF(CY97=CQ97,CR97,IF(CY97=CU97,CV97,0)))))))))</f>
        <v>3</v>
      </c>
      <c r="DA97">
        <f>IF(CY97=BO97,BQ97,IF(CY97=BS97,BU97,IF(CY97=BW97,BY97,IF(CY97=CA97,CC97,IF(CY97=CE97,CG97,IF(CY97=CI97,CK97,IF(CY97=CM97,CO97,IF(CY97=CQ97,CS97,IF(CY97=CU97,CW97,0)))))))))</f>
        <v>8.6622500000000002</v>
      </c>
      <c r="DB97">
        <f t="shared" si="57"/>
        <v>0</v>
      </c>
      <c r="DC97">
        <f t="shared" si="58"/>
        <v>0.255202777777778</v>
      </c>
      <c r="DD97">
        <f>IF(DC97=BO97,BP97,IF(DC97=BS97,BT97,IF(DC97=BW97,BX97,IF(DC97=CA97,CB97,IF(DC97=CE97,CF97,IF(DC97=CI97,CJ97,IF(DC97=CM97,CN97,IF(DC97=CQ97,CR97,IF(DC97=CU97,CV97,IF(DC97=CY97,CZ97,0))))))))))</f>
        <v>3</v>
      </c>
      <c r="DE97">
        <f>IF(DC97=BO97,BQ97,IF(DC97=BS97,BU97,IF(DC97=BW97,BY97,IF(DC97=CA97,CC97,IF(DC97=CE97,CG97,IF(DC97=CI97,CK97,IF(DC97=CM97,CO97,IF(DC97=CQ97,CS97,IF(DC97=CU97,CW97,IF(DC97=CY97,DA97,0))))))))))</f>
        <v>8.6622500000000002</v>
      </c>
      <c r="DF97">
        <f t="shared" si="59"/>
        <v>0</v>
      </c>
      <c r="DG97">
        <f t="shared" si="60"/>
        <v>0.255202777777778</v>
      </c>
      <c r="DH97">
        <f>IF(DG97=BO97,BP97,IF(DG97=BS97,BT97,IF(DG97=BW97,BX97,IF(DG97=CA97,CB97,IF(DG97=CE97,CF97,IF(DG97=CI97,CJ97,IF(DG97=CM97,CN97,IF(DG97=CQ97,CR97,IF(DG97=CU97,CV97,IF(DG97=CY97,CZ97,IF(DG97=DC97,DD97,0)))))))))))</f>
        <v>3</v>
      </c>
      <c r="DI97">
        <f>IF(DG97=BO97,BQ97,IF(DG97=BS97,BU97,IF(DG97=BW97,BY97,IF(DG97=CA97,CC97,IF(DG97=CE97,CG97,IF(DG97=CI97,CK97,IF(DG97=CM97,CO97,IF(DG97=CQ97,CS97,IF(DG97=CU97,CW97,IF(DG97=CY97,DA97,IF(DG97=DC97,DE97,0)))))))))))</f>
        <v>8.6622500000000002</v>
      </c>
      <c r="DJ97">
        <f t="shared" si="61"/>
        <v>0</v>
      </c>
      <c r="DK97">
        <f t="shared" si="62"/>
        <v>0.255202777777778</v>
      </c>
      <c r="DL97">
        <f>IF(DK97=BO97,BP97,IF(DK97=BS97,BT97,IF(DK97=BW97,BX97,IF(DK97=CA97,CB97,IF(DK97=CE97,CF97,IF(DK97=CI97,CJ97,IF(DK97=CM97,CN97,IF(DK97=CQ97,CR97,IF(DK97=CU97,CV97,IF(DK97=CY97,CZ97,IF(DK97=DC97,DD97,IF(DK97=DG97,DH97,0))))))))))))</f>
        <v>3</v>
      </c>
      <c r="DM97">
        <f>IF(DK97=BO97,BQ97,IF(DK97=BS97,BU97,IF(DK97=BW97,BY97,IF(DK97=CA97,CC97,IF(DK97=CE97,CG97,IF(DK97=CI97,CK97,IF(DK97=CM97,CO97,IF(DK97=CQ97,CS97,IF(DK97=CU97,CW97,IF(DK97=CY97,DA97,IF(DK97=DC97,DE97,IF(DK97=DG97,DI97,0))))))))))))</f>
        <v>8.6622500000000002</v>
      </c>
      <c r="DN97">
        <f t="shared" si="63"/>
        <v>0</v>
      </c>
      <c r="DO97">
        <f t="shared" si="64"/>
        <v>0.255202777777778</v>
      </c>
      <c r="DP97">
        <f>IF(DO97=BO97,BP97,IF(DO97=BS97,BT97,IF(DO97=BW97,BX97,IF(DO97=CA97,CB97,IF(DO97=CE97,CF97,IF(DO97=CI97,CJ97,IF(DO97=CM97,CN97,IF(DO97=CQ97,CR97,IF(DO97=CU97,CV97,IF(DO97=CY97,CZ97,IF(DO97=DC97,DD97,IF(DO97=DG97,DH97,IF(DO97=DK97,DL97,0)))))))))))))</f>
        <v>3</v>
      </c>
      <c r="DQ97">
        <f>IF(DO97=BO97,BQ97,IF(DO97=BS97,BU97,IF(DO97=BW97,BY97,IF(DO97=CA97,CC97,IF(DO97=CE97,CG97,IF(DO97=CI97,CK97,IF(DO97=CM97,CO97,IF(DO97=CQ97,CS97,IF(DO97=CU97,CW97,IF(DO97=CY97,DA97,IF(DO97=DC97,DE97,IF(DO97=DG97,DI97,IF(DO97=DK97,DM97,0)))))))))))))</f>
        <v>8.6622500000000002</v>
      </c>
      <c r="DR97">
        <f t="shared" si="65"/>
        <v>0</v>
      </c>
      <c r="DS97">
        <f t="shared" si="66"/>
        <v>0.255202777777778</v>
      </c>
      <c r="DT97">
        <f>IF(DS97=BO97,BP97,IF(DS97=BS97,BT97,IF(DS97=BW97,BX97,IF(DS97=CA97,CB97,IF(DS97=CE97,CF97,IF(DS97=CI97,CJ97,IF(DS97=CM97,CN97,IF(DS97=CQ97,CR97,IF(DS97=CU97,CV97,IF(DS97=CY97,CZ97,IF(DS97=DC97,DD97,IF(DS97=DG97,DH97,IF(DS97=DK97,DL97,IF(DS97=DO97,DP97,0))))))))))))))</f>
        <v>3</v>
      </c>
      <c r="DU97">
        <f>IF(DS97=BO97,BQ97,IF(DS97=BS97,BU97,IF(DS97=BW97,BY97,IF(DS97=CA97,CC97,IF(DS97=CE97,CG97,IF(DS97=CI97,CK97,IF(DS97=CM97,CO97,IF(DS97=CQ97,CS97,IF(DS97=CU97,CW97,IF(DS97=CY97,DA97,IF(DS97=DC97,DE97,IF(DS97=DG97,DI97,IF(DS97=DK97,DM97,IF(DS97=DO97,DQ97,0))))))))))))))</f>
        <v>8.6622500000000002</v>
      </c>
      <c r="DV97">
        <f t="shared" si="67"/>
        <v>0</v>
      </c>
      <c r="DW97">
        <v>22500.5</v>
      </c>
      <c r="DX97">
        <v>2</v>
      </c>
      <c r="DY97">
        <v>0</v>
      </c>
      <c r="DZ97">
        <v>6</v>
      </c>
      <c r="EA97">
        <v>6</v>
      </c>
      <c r="EB97">
        <v>10.114099490560401</v>
      </c>
      <c r="EC97">
        <v>3</v>
      </c>
      <c r="ED97">
        <v>8.6370210000000007</v>
      </c>
      <c r="EE97">
        <v>0.255202777777778</v>
      </c>
      <c r="EF97">
        <v>8.6622500000000002</v>
      </c>
      <c r="EG97">
        <v>13.404871871113601</v>
      </c>
      <c r="EH97">
        <v>3</v>
      </c>
      <c r="EI97">
        <v>0</v>
      </c>
      <c r="EJ97">
        <v>2.2521849999999999</v>
      </c>
      <c r="EK97">
        <v>1</v>
      </c>
      <c r="EL97">
        <v>0</v>
      </c>
      <c r="EM97">
        <v>25</v>
      </c>
      <c r="EN97">
        <v>0</v>
      </c>
      <c r="EO97">
        <v>2</v>
      </c>
      <c r="EP97">
        <v>5</v>
      </c>
      <c r="EQ97">
        <v>4</v>
      </c>
      <c r="ER97">
        <v>14.1987814663817</v>
      </c>
      <c r="ES97">
        <v>11.4661470910573</v>
      </c>
      <c r="ET97">
        <v>20.103168091057299</v>
      </c>
      <c r="EU97">
        <v>7.2471369425604699</v>
      </c>
      <c r="EV97">
        <v>9.4993219425604707</v>
      </c>
      <c r="EW97">
        <v>4.7240985999999996</v>
      </c>
      <c r="EX97">
        <v>9.6179390368499202</v>
      </c>
      <c r="EY97">
        <v>14.3420376368499</v>
      </c>
      <c r="EZ97">
        <v>2.2521849999999999</v>
      </c>
      <c r="FA97">
        <v>7.2471369425604699</v>
      </c>
      <c r="FB97">
        <v>9.4993219425604707</v>
      </c>
      <c r="FC97">
        <v>2.2521849999999999</v>
      </c>
      <c r="FD97">
        <v>7.2471369425604699</v>
      </c>
      <c r="FE97">
        <v>9.4993219425604707</v>
      </c>
      <c r="FF97">
        <v>2.6319982</v>
      </c>
      <c r="FG97">
        <v>7.66481776402986</v>
      </c>
      <c r="FH97">
        <v>10.2968159640299</v>
      </c>
    </row>
    <row r="98" spans="1:164" x14ac:dyDescent="0.2">
      <c r="A98">
        <v>97</v>
      </c>
      <c r="B98">
        <v>109</v>
      </c>
      <c r="C98">
        <v>170</v>
      </c>
      <c r="D98">
        <v>3</v>
      </c>
      <c r="E98">
        <v>12</v>
      </c>
      <c r="F98" t="s">
        <v>158</v>
      </c>
      <c r="G98" t="s">
        <v>290</v>
      </c>
      <c r="H98">
        <v>3</v>
      </c>
      <c r="I98">
        <v>5</v>
      </c>
      <c r="K98" t="s">
        <v>260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3</v>
      </c>
      <c r="AC98">
        <v>0</v>
      </c>
      <c r="AD98">
        <v>36</v>
      </c>
      <c r="AE98">
        <v>40</v>
      </c>
      <c r="AF98">
        <v>20</v>
      </c>
      <c r="AG98">
        <v>27</v>
      </c>
      <c r="AH98">
        <v>6</v>
      </c>
      <c r="AI98">
        <v>1.15479722222222</v>
      </c>
      <c r="AJ98">
        <v>64.035899999999998</v>
      </c>
      <c r="AK98">
        <v>1.21013611111111</v>
      </c>
      <c r="AL98">
        <v>64.038839999999993</v>
      </c>
      <c r="AM98">
        <v>1.13035277777778</v>
      </c>
      <c r="AN98">
        <v>64.690979999999996</v>
      </c>
      <c r="AO98">
        <v>1.16871666666667</v>
      </c>
      <c r="AP98">
        <v>67.036360000000002</v>
      </c>
      <c r="AQ98">
        <v>1.2208666666666701</v>
      </c>
      <c r="AR98">
        <v>69.325580000000002</v>
      </c>
      <c r="AS98">
        <v>1.2094861111111099</v>
      </c>
      <c r="AT98">
        <v>68.180300000000003</v>
      </c>
      <c r="AU98">
        <v>1.1927027777777801</v>
      </c>
      <c r="AV98">
        <v>67.684269999999998</v>
      </c>
      <c r="AW98">
        <v>1.1889361111111101</v>
      </c>
      <c r="AX98">
        <v>91.674589999999995</v>
      </c>
      <c r="AY98">
        <v>1.16559722222222</v>
      </c>
      <c r="AZ98">
        <v>64.464650000000006</v>
      </c>
      <c r="BA98">
        <v>1.15058888888889</v>
      </c>
      <c r="BB98">
        <v>63.881680000000003</v>
      </c>
      <c r="BC98">
        <v>1.1673777777777801</v>
      </c>
      <c r="BD98">
        <v>64.546940000000006</v>
      </c>
      <c r="BE98">
        <v>1.06751111111111</v>
      </c>
      <c r="BF98">
        <v>80.594989999999996</v>
      </c>
      <c r="BG98">
        <v>1.0871666666666699</v>
      </c>
      <c r="BH98">
        <v>80.230490000000003</v>
      </c>
      <c r="BI98">
        <v>1.09283333333333</v>
      </c>
      <c r="BJ98">
        <v>77.407240000000002</v>
      </c>
      <c r="BK98">
        <v>1.07588888888889</v>
      </c>
      <c r="BL98">
        <v>76.609979999999993</v>
      </c>
      <c r="BM98">
        <v>1.09846111111111</v>
      </c>
      <c r="BN98">
        <v>76.197209999999998</v>
      </c>
      <c r="BO98">
        <f t="shared" si="34"/>
        <v>1.06751111111111</v>
      </c>
      <c r="BP98">
        <v>14</v>
      </c>
      <c r="BQ98">
        <v>80.594989999999996</v>
      </c>
      <c r="BR98">
        <f t="shared" si="35"/>
        <v>0</v>
      </c>
      <c r="BS98">
        <f t="shared" si="36"/>
        <v>1.06751111111111</v>
      </c>
      <c r="BT98">
        <f t="shared" si="37"/>
        <v>14</v>
      </c>
      <c r="BU98">
        <f t="shared" si="38"/>
        <v>80.594989999999996</v>
      </c>
      <c r="BV98">
        <f t="shared" si="39"/>
        <v>0</v>
      </c>
      <c r="BW98">
        <f t="shared" si="40"/>
        <v>1.06751111111111</v>
      </c>
      <c r="BX98">
        <f t="shared" si="41"/>
        <v>14</v>
      </c>
      <c r="BY98">
        <f t="shared" si="42"/>
        <v>80.594989999999996</v>
      </c>
      <c r="BZ98">
        <f t="shared" si="43"/>
        <v>0</v>
      </c>
      <c r="CA98">
        <f t="shared" si="44"/>
        <v>1.06751111111111</v>
      </c>
      <c r="CB98">
        <f>IF(CA98=BO98,BP98,IF(CA98=BS98,BT98,IF(CA98=BW98,BX98,0)))</f>
        <v>14</v>
      </c>
      <c r="CC98">
        <f>IF(CA98=BO98,BQ98,IF(CA98=BS98,BU98,IF(CA98=BW98,BY98,0)))</f>
        <v>80.594989999999996</v>
      </c>
      <c r="CD98">
        <f t="shared" si="45"/>
        <v>0</v>
      </c>
      <c r="CE98">
        <f t="shared" si="46"/>
        <v>1.06751111111111</v>
      </c>
      <c r="CF98">
        <f>IF(CE98=BO98,BP98,IF(CE98=BS98,BT98,IF(CE98=BW98,BX98,IF(CE98=CA98,CB98,0))))</f>
        <v>14</v>
      </c>
      <c r="CG98">
        <f>IF(CE98=BO98,BQ98,IF(CE98=BS98,BU98,IF(CE98=BW98,BY98,IF(CE98=CA98,CC98,0))))</f>
        <v>80.594989999999996</v>
      </c>
      <c r="CH98">
        <f t="shared" si="47"/>
        <v>0</v>
      </c>
      <c r="CI98">
        <f t="shared" si="48"/>
        <v>1.06751111111111</v>
      </c>
      <c r="CJ98">
        <f>IF(CI98=BO98,BP98,IF(CI98=BS98,BT98,IF(CI98=BW98,BX98,IF(CI98=CA98,CB98,IF(CI98=CE98,CF98,0)))))</f>
        <v>14</v>
      </c>
      <c r="CK98">
        <f>IF(CI98=BO98,BQ98,IF(CI98=BS98,BU98,IF(CI98=BW98,BY98,IF(CI98=CA98,CC98,IF(CI98=CE98,CG98,0)))))</f>
        <v>80.594989999999996</v>
      </c>
      <c r="CL98">
        <f t="shared" si="49"/>
        <v>0</v>
      </c>
      <c r="CM98">
        <f t="shared" si="50"/>
        <v>1.06751111111111</v>
      </c>
      <c r="CN98">
        <f>IF(CM98=BO98,BP98,IF(CM98=BS98,BT98,IF(CM98=BW98,BX98,IF(CM98=CA98,CB98,IF(CM98=CE98,CF98,IF(CM98=CI98,CJ98,0))))))</f>
        <v>14</v>
      </c>
      <c r="CO98">
        <f>IF(CM98=BO98,BQ98,IF(CM98=BS98,BU98,IF(CM98=BW98,BY98,IF(CM98=CA98,CC98,IF(CM98=CE98,CG98,IF(CM98=CI98,CK98,0))))))</f>
        <v>80.594989999999996</v>
      </c>
      <c r="CP98">
        <f t="shared" si="51"/>
        <v>0</v>
      </c>
      <c r="CQ98">
        <f t="shared" si="52"/>
        <v>1.06751111111111</v>
      </c>
      <c r="CR98">
        <f>IF(CQ98=BO98,BP98,IF(CQ98=BS98,BT98,IF(CQ98=BW98,BX98,IF(CQ98=CA98,CB98,IF(CQ98=CE98,CF98,IF(CQ98=CI98,CJ98,IF(CQ98=CM98,CN98,0)))))))</f>
        <v>14</v>
      </c>
      <c r="CS98">
        <f>IF(CQ98=BO98,BQ98,IF(CQ98=BS98,BU98,IF(CQ98=BW98,BY98,IF(CQ98=CA98,CC98,IF(CQ98=CE98,CG98,IF(CQ98=CI98,CK98,IF(CQ98=CM98,CO98,0)))))))</f>
        <v>80.594989999999996</v>
      </c>
      <c r="CT98">
        <f t="shared" si="53"/>
        <v>0</v>
      </c>
      <c r="CU98">
        <f t="shared" si="54"/>
        <v>1.06751111111111</v>
      </c>
      <c r="CV98">
        <f>IF(CU98=BO98,BP98,IF(CU98=BS98,BT98,IF(CU98=BW98,BX98,IF(CU98=CA98,CB98,IF(CU98=CE98,CF98,IF(CU98=CI98,CJ98,IF(CU98=CM98,CN98,IF(CU98=CQ98,CR98,0))))))))</f>
        <v>14</v>
      </c>
      <c r="CW98">
        <f>IF(CU98=BO98,BQ98,IF(CU98=BS98,BU98,IF(CU98=BW98,BY98,IF(CU98=CA98,CC98,IF(CU98=CE98,CG98,IF(CU98=CI98,CK98,IF(CU98=CM98,CO98,IF(CU98=CQ98,CS98,0))))))))</f>
        <v>80.594989999999996</v>
      </c>
      <c r="CX98">
        <f t="shared" si="55"/>
        <v>0</v>
      </c>
      <c r="CY98">
        <f t="shared" si="56"/>
        <v>1.06751111111111</v>
      </c>
      <c r="CZ98">
        <f>IF(CY98=BO98,BP98,IF(CY98=BS98,BT98,IF(CY98=BW98,BX98,IF(CY98=CA98,CB98,IF(CY98=CE98,CF98,IF(CY98=CI98,CJ98,IF(CY98=CM98,CN98,IF(CY98=CQ98,CR98,IF(CY98=CU98,CV98,0)))))))))</f>
        <v>14</v>
      </c>
      <c r="DA98">
        <f>IF(CY98=BO98,BQ98,IF(CY98=BS98,BU98,IF(CY98=BW98,BY98,IF(CY98=CA98,CC98,IF(CY98=CE98,CG98,IF(CY98=CI98,CK98,IF(CY98=CM98,CO98,IF(CY98=CQ98,CS98,IF(CY98=CU98,CW98,0)))))))))</f>
        <v>80.594989999999996</v>
      </c>
      <c r="DB98">
        <f t="shared" si="57"/>
        <v>0</v>
      </c>
      <c r="DC98">
        <f t="shared" si="58"/>
        <v>1.07588888888889</v>
      </c>
      <c r="DD98">
        <v>17</v>
      </c>
      <c r="DE98">
        <v>76.609979999999993</v>
      </c>
      <c r="DF98">
        <f t="shared" si="59"/>
        <v>0</v>
      </c>
      <c r="DG98">
        <f t="shared" si="60"/>
        <v>1.06751111111111</v>
      </c>
      <c r="DH98">
        <f>IF(DG98=BO98,BP98,IF(DG98=BS98,BT98,IF(DG98=BW98,BX98,IF(DG98=CA98,CB98,IF(DG98=CE98,CF98,IF(DG98=CI98,CJ98,IF(DG98=CM98,CN98,IF(DG98=CQ98,CR98,IF(DG98=CU98,CV98,IF(DG98=CY98,CZ98,IF(DG98=DC98,DD98,0)))))))))))</f>
        <v>14</v>
      </c>
      <c r="DI98">
        <f>IF(DG98=BO98,BQ98,IF(DG98=BS98,BU98,IF(DG98=BW98,BY98,IF(DG98=CA98,CC98,IF(DG98=CE98,CG98,IF(DG98=CI98,CK98,IF(DG98=CM98,CO98,IF(DG98=CQ98,CS98,IF(DG98=CU98,CW98,IF(DG98=CY98,DA98,IF(DG98=DC98,DE98,0)))))))))))</f>
        <v>80.594989999999996</v>
      </c>
      <c r="DJ98">
        <f t="shared" si="61"/>
        <v>0</v>
      </c>
      <c r="DK98">
        <f t="shared" si="62"/>
        <v>1.06751111111111</v>
      </c>
      <c r="DL98">
        <f>IF(DK98=BO98,BP98,IF(DK98=BS98,BT98,IF(DK98=BW98,BX98,IF(DK98=CA98,CB98,IF(DK98=CE98,CF98,IF(DK98=CI98,CJ98,IF(DK98=CM98,CN98,IF(DK98=CQ98,CR98,IF(DK98=CU98,CV98,IF(DK98=CY98,CZ98,IF(DK98=DC98,DD98,IF(DK98=DG98,DH98,0))))))))))))</f>
        <v>14</v>
      </c>
      <c r="DM98">
        <f>IF(DK98=BO98,BQ98,IF(DK98=BS98,BU98,IF(DK98=BW98,BY98,IF(DK98=CA98,CC98,IF(DK98=CE98,CG98,IF(DK98=CI98,CK98,IF(DK98=CM98,CO98,IF(DK98=CQ98,CS98,IF(DK98=CU98,CW98,IF(DK98=CY98,DA98,IF(DK98=DC98,DE98,IF(DK98=DG98,DI98,0))))))))))))</f>
        <v>80.594989999999996</v>
      </c>
      <c r="DN98">
        <f t="shared" si="63"/>
        <v>0</v>
      </c>
      <c r="DO98">
        <f t="shared" si="64"/>
        <v>1.06751111111111</v>
      </c>
      <c r="DP98">
        <f>IF(DO98=BO98,BP98,IF(DO98=BS98,BT98,IF(DO98=BW98,BX98,IF(DO98=CA98,CB98,IF(DO98=CE98,CF98,IF(DO98=CI98,CJ98,IF(DO98=CM98,CN98,IF(DO98=CQ98,CR98,IF(DO98=CU98,CV98,IF(DO98=CY98,CZ98,IF(DO98=DC98,DD98,IF(DO98=DG98,DH98,IF(DO98=DK98,DL98,0)))))))))))))</f>
        <v>14</v>
      </c>
      <c r="DQ98">
        <f>IF(DO98=BO98,BQ98,IF(DO98=BS98,BU98,IF(DO98=BW98,BY98,IF(DO98=CA98,CC98,IF(DO98=CE98,CG98,IF(DO98=CI98,CK98,IF(DO98=CM98,CO98,IF(DO98=CQ98,CS98,IF(DO98=CU98,CW98,IF(DO98=CY98,DA98,IF(DO98=DC98,DE98,IF(DO98=DG98,DI98,IF(DO98=DK98,DM98,0)))))))))))))</f>
        <v>80.594989999999996</v>
      </c>
      <c r="DR98">
        <f t="shared" si="65"/>
        <v>0</v>
      </c>
      <c r="DS98">
        <f t="shared" si="66"/>
        <v>1.06751111111111</v>
      </c>
      <c r="DT98">
        <f>IF(DS98=BO98,BP98,IF(DS98=BS98,BT98,IF(DS98=BW98,BX98,IF(DS98=CA98,CB98,IF(DS98=CE98,CF98,IF(DS98=CI98,CJ98,IF(DS98=CM98,CN98,IF(DS98=CQ98,CR98,IF(DS98=CU98,CV98,IF(DS98=CY98,CZ98,IF(DS98=DC98,DD98,IF(DS98=DG98,DH98,IF(DS98=DK98,DL98,IF(DS98=DO98,DP98,0))))))))))))))</f>
        <v>14</v>
      </c>
      <c r="DU98">
        <f>IF(DS98=BO98,BQ98,IF(DS98=BS98,BU98,IF(DS98=BW98,BY98,IF(DS98=CA98,CC98,IF(DS98=CE98,CG98,IF(DS98=CI98,CK98,IF(DS98=CM98,CO98,IF(DS98=CQ98,CS98,IF(DS98=CU98,CW98,IF(DS98=CY98,DA98,IF(DS98=DC98,DE98,IF(DS98=DG98,DI98,IF(DS98=DK98,DM98,IF(DS98=DO98,DQ98,0))))))))))))))</f>
        <v>80.594989999999996</v>
      </c>
      <c r="DV98">
        <f t="shared" si="67"/>
        <v>0</v>
      </c>
      <c r="DW98">
        <v>31226.480769230799</v>
      </c>
      <c r="DX98">
        <v>6</v>
      </c>
      <c r="DY98">
        <v>0</v>
      </c>
      <c r="DZ98">
        <v>6</v>
      </c>
      <c r="EA98">
        <v>6</v>
      </c>
      <c r="EB98">
        <v>14.0364762223093</v>
      </c>
      <c r="EC98">
        <v>1</v>
      </c>
      <c r="ED98">
        <v>6.5497779999999999</v>
      </c>
      <c r="EE98">
        <v>1.06751111111111</v>
      </c>
      <c r="EF98">
        <v>80.594989999999996</v>
      </c>
      <c r="EG98">
        <v>35.621228494371501</v>
      </c>
      <c r="EH98">
        <v>14</v>
      </c>
      <c r="EI98">
        <v>0</v>
      </c>
      <c r="EJ98">
        <v>6.9848991333333297</v>
      </c>
      <c r="EK98">
        <v>1</v>
      </c>
      <c r="EL98">
        <v>0</v>
      </c>
      <c r="EM98">
        <v>19</v>
      </c>
      <c r="EN98">
        <v>0</v>
      </c>
      <c r="EO98">
        <v>2</v>
      </c>
      <c r="EP98">
        <v>6</v>
      </c>
      <c r="EQ98">
        <v>20</v>
      </c>
      <c r="ER98">
        <v>14.1987814663817</v>
      </c>
      <c r="ES98">
        <v>32.793426792635799</v>
      </c>
      <c r="ET98">
        <v>39.343204792635802</v>
      </c>
      <c r="EU98">
        <v>30.314713959201899</v>
      </c>
      <c r="EV98">
        <v>37.299613092535203</v>
      </c>
      <c r="EW98">
        <v>5.5869363333333304</v>
      </c>
      <c r="EX98">
        <v>33.100120472309598</v>
      </c>
      <c r="EY98">
        <v>38.687056805643003</v>
      </c>
      <c r="EZ98">
        <v>6.9848991333333297</v>
      </c>
      <c r="FA98">
        <v>30.314713959201899</v>
      </c>
      <c r="FB98">
        <v>37.299613092535203</v>
      </c>
      <c r="FC98">
        <v>5.8098178666666698</v>
      </c>
      <c r="FD98">
        <v>33.188705092236198</v>
      </c>
      <c r="FE98">
        <v>38.998522958902797</v>
      </c>
      <c r="FF98">
        <v>6.9848991333333297</v>
      </c>
      <c r="FG98">
        <v>30.314713959201899</v>
      </c>
      <c r="FH98">
        <v>37.299613092535203</v>
      </c>
    </row>
    <row r="99" spans="1:164" x14ac:dyDescent="0.2">
      <c r="A99">
        <v>98</v>
      </c>
      <c r="B99">
        <v>110</v>
      </c>
      <c r="C99">
        <v>171</v>
      </c>
      <c r="D99">
        <v>1</v>
      </c>
      <c r="E99">
        <v>11</v>
      </c>
      <c r="F99" t="s">
        <v>187</v>
      </c>
      <c r="G99" t="s">
        <v>291</v>
      </c>
      <c r="H99">
        <v>3</v>
      </c>
      <c r="I99">
        <v>1</v>
      </c>
      <c r="K99" t="s">
        <v>292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1</v>
      </c>
      <c r="AD99">
        <v>5</v>
      </c>
      <c r="AE99">
        <v>8</v>
      </c>
      <c r="AF99">
        <v>4</v>
      </c>
      <c r="AG99">
        <v>10</v>
      </c>
      <c r="AH99">
        <v>6</v>
      </c>
      <c r="AI99">
        <v>0.58650833333333297</v>
      </c>
      <c r="AJ99">
        <v>47.792670000000001</v>
      </c>
      <c r="AK99">
        <v>0.45012222222222198</v>
      </c>
      <c r="AL99">
        <v>27.754380000000001</v>
      </c>
      <c r="AM99">
        <v>0.37033611111111098</v>
      </c>
      <c r="AN99">
        <v>28.40652</v>
      </c>
      <c r="AO99">
        <v>0.42151666666666698</v>
      </c>
      <c r="AP99">
        <v>31.020630000000001</v>
      </c>
      <c r="AQ99">
        <v>0.460852777777778</v>
      </c>
      <c r="AR99">
        <v>33.041110000000003</v>
      </c>
      <c r="AS99">
        <v>0.50542777777777803</v>
      </c>
      <c r="AT99">
        <v>36.381799999999998</v>
      </c>
      <c r="AU99">
        <v>0.50188333333333301</v>
      </c>
      <c r="AV99">
        <v>40.116660000000003</v>
      </c>
      <c r="AW99">
        <v>0.511438888888889</v>
      </c>
      <c r="AX99">
        <v>43.042700000000004</v>
      </c>
      <c r="AY99">
        <v>0.52142500000000003</v>
      </c>
      <c r="AZ99">
        <v>44.28143</v>
      </c>
      <c r="BA99">
        <v>0.534775</v>
      </c>
      <c r="BB99">
        <v>45.602139999999999</v>
      </c>
      <c r="BC99">
        <v>0.59560277777777804</v>
      </c>
      <c r="BD99">
        <v>46.926839999999999</v>
      </c>
      <c r="BE99">
        <v>0.60662222222222195</v>
      </c>
      <c r="BF99">
        <v>53.303800000000003</v>
      </c>
      <c r="BG99">
        <v>0.67049722222222197</v>
      </c>
      <c r="BH99">
        <v>56.706650000000003</v>
      </c>
      <c r="BI99">
        <v>0.71432222222222197</v>
      </c>
      <c r="BJ99">
        <v>58.680570000000003</v>
      </c>
      <c r="BK99">
        <v>0.78246388888888896</v>
      </c>
      <c r="BL99">
        <v>65.496210000000005</v>
      </c>
      <c r="BM99">
        <v>0.82396666666666696</v>
      </c>
      <c r="BN99">
        <v>67.488889999999998</v>
      </c>
      <c r="BO99">
        <f t="shared" si="34"/>
        <v>0.37033611111111098</v>
      </c>
      <c r="BP99">
        <v>2</v>
      </c>
      <c r="BQ99">
        <v>28.40652</v>
      </c>
      <c r="BR99">
        <f t="shared" si="35"/>
        <v>0</v>
      </c>
      <c r="BS99">
        <f t="shared" si="36"/>
        <v>0.42151666666666698</v>
      </c>
      <c r="BT99">
        <v>3</v>
      </c>
      <c r="BU99">
        <v>31.020630000000001</v>
      </c>
      <c r="BV99">
        <f t="shared" si="39"/>
        <v>0</v>
      </c>
      <c r="BW99">
        <f t="shared" si="40"/>
        <v>0.37033611111111098</v>
      </c>
      <c r="BX99">
        <f t="shared" si="41"/>
        <v>2</v>
      </c>
      <c r="BY99">
        <f t="shared" si="42"/>
        <v>28.40652</v>
      </c>
      <c r="BZ99">
        <f t="shared" si="43"/>
        <v>0</v>
      </c>
      <c r="CA99">
        <f t="shared" si="44"/>
        <v>0.37033611111111098</v>
      </c>
      <c r="CB99">
        <f>IF(CA99=BO99,BP99,IF(CA99=BS99,BT99,IF(CA99=BW99,BX99,0)))</f>
        <v>2</v>
      </c>
      <c r="CC99">
        <f>IF(CA99=BO99,BQ99,IF(CA99=BS99,BU99,IF(CA99=BW99,BY99,0)))</f>
        <v>28.40652</v>
      </c>
      <c r="CD99">
        <f t="shared" si="45"/>
        <v>0</v>
      </c>
      <c r="CE99">
        <f t="shared" si="46"/>
        <v>0.37033611111111098</v>
      </c>
      <c r="CF99">
        <f>IF(CE99=BO99,BP99,IF(CE99=BS99,BT99,IF(CE99=BW99,BX99,IF(CE99=CA99,CB99,0))))</f>
        <v>2</v>
      </c>
      <c r="CG99">
        <f>IF(CE99=BO99,BQ99,IF(CE99=BS99,BU99,IF(CE99=BW99,BY99,IF(CE99=CA99,CC99,0))))</f>
        <v>28.40652</v>
      </c>
      <c r="CH99">
        <f t="shared" si="47"/>
        <v>0</v>
      </c>
      <c r="CI99">
        <f t="shared" si="48"/>
        <v>0.37033611111111098</v>
      </c>
      <c r="CJ99">
        <f>IF(CI99=BO99,BP99,IF(CI99=BS99,BT99,IF(CI99=BW99,BX99,IF(CI99=CA99,CB99,IF(CI99=CE99,CF99,0)))))</f>
        <v>2</v>
      </c>
      <c r="CK99">
        <f>IF(CI99=BO99,BQ99,IF(CI99=BS99,BU99,IF(CI99=BW99,BY99,IF(CI99=CA99,CC99,IF(CI99=CE99,CG99,0)))))</f>
        <v>28.40652</v>
      </c>
      <c r="CL99">
        <f t="shared" si="49"/>
        <v>0</v>
      </c>
      <c r="CM99">
        <f t="shared" si="50"/>
        <v>0.37033611111111098</v>
      </c>
      <c r="CN99">
        <f>IF(CM99=BO99,BP99,IF(CM99=BS99,BT99,IF(CM99=BW99,BX99,IF(CM99=CA99,CB99,IF(CM99=CE99,CF99,IF(CM99=CI99,CJ99,0))))))</f>
        <v>2</v>
      </c>
      <c r="CO99">
        <f>IF(CM99=BO99,BQ99,IF(CM99=BS99,BU99,IF(CM99=BW99,BY99,IF(CM99=CA99,CC99,IF(CM99=CE99,CG99,IF(CM99=CI99,CK99,0))))))</f>
        <v>28.40652</v>
      </c>
      <c r="CP99">
        <f t="shared" si="51"/>
        <v>0</v>
      </c>
      <c r="CQ99">
        <f t="shared" si="52"/>
        <v>0.37033611111111098</v>
      </c>
      <c r="CR99">
        <f>IF(CQ99=BO99,BP99,IF(CQ99=BS99,BT99,IF(CQ99=BW99,BX99,IF(CQ99=CA99,CB99,IF(CQ99=CE99,CF99,IF(CQ99=CI99,CJ99,IF(CQ99=CM99,CN99,0)))))))</f>
        <v>2</v>
      </c>
      <c r="CS99">
        <f>IF(CQ99=BO99,BQ99,IF(CQ99=BS99,BU99,IF(CQ99=BW99,BY99,IF(CQ99=CA99,CC99,IF(CQ99=CE99,CG99,IF(CQ99=CI99,CK99,IF(CQ99=CM99,CO99,0)))))))</f>
        <v>28.40652</v>
      </c>
      <c r="CT99">
        <f t="shared" si="53"/>
        <v>0</v>
      </c>
      <c r="CU99">
        <f t="shared" si="54"/>
        <v>0.37033611111111098</v>
      </c>
      <c r="CV99">
        <f>IF(CU99=BO99,BP99,IF(CU99=BS99,BT99,IF(CU99=BW99,BX99,IF(CU99=CA99,CB99,IF(CU99=CE99,CF99,IF(CU99=CI99,CJ99,IF(CU99=CM99,CN99,IF(CU99=CQ99,CR99,0))))))))</f>
        <v>2</v>
      </c>
      <c r="CW99">
        <f>IF(CU99=BO99,BQ99,IF(CU99=BS99,BU99,IF(CU99=BW99,BY99,IF(CU99=CA99,CC99,IF(CU99=CE99,CG99,IF(CU99=CI99,CK99,IF(CU99=CM99,CO99,IF(CU99=CQ99,CS99,0))))))))</f>
        <v>28.40652</v>
      </c>
      <c r="CX99">
        <f t="shared" si="55"/>
        <v>0</v>
      </c>
      <c r="CY99">
        <f t="shared" si="56"/>
        <v>0.37033611111111098</v>
      </c>
      <c r="CZ99">
        <f>IF(CY99=BO99,BP99,IF(CY99=BS99,BT99,IF(CY99=BW99,BX99,IF(CY99=CA99,CB99,IF(CY99=CE99,CF99,IF(CY99=CI99,CJ99,IF(CY99=CM99,CN99,IF(CY99=CQ99,CR99,IF(CY99=CU99,CV99,0)))))))))</f>
        <v>2</v>
      </c>
      <c r="DA99">
        <f>IF(CY99=BO99,BQ99,IF(CY99=BS99,BU99,IF(CY99=BW99,BY99,IF(CY99=CA99,CC99,IF(CY99=CE99,CG99,IF(CY99=CI99,CK99,IF(CY99=CM99,CO99,IF(CY99=CQ99,CS99,IF(CY99=CU99,CW99,0)))))))))</f>
        <v>28.40652</v>
      </c>
      <c r="DB99">
        <f t="shared" si="57"/>
        <v>0</v>
      </c>
      <c r="DC99">
        <f t="shared" si="58"/>
        <v>0.37033611111111098</v>
      </c>
      <c r="DD99">
        <f>IF(DC99=BO99,BP99,IF(DC99=BS99,BT99,IF(DC99=BW99,BX99,IF(DC99=CA99,CB99,IF(DC99=CE99,CF99,IF(DC99=CI99,CJ99,IF(DC99=CM99,CN99,IF(DC99=CQ99,CR99,IF(DC99=CU99,CV99,IF(DC99=CY99,CZ99,0))))))))))</f>
        <v>2</v>
      </c>
      <c r="DE99">
        <f>IF(DC99=BO99,BQ99,IF(DC99=BS99,BU99,IF(DC99=BW99,BY99,IF(DC99=CA99,CC99,IF(DC99=CE99,CG99,IF(DC99=CI99,CK99,IF(DC99=CM99,CO99,IF(DC99=CQ99,CS99,IF(DC99=CU99,CW99,IF(DC99=CY99,DA99,0))))))))))</f>
        <v>28.40652</v>
      </c>
      <c r="DF99">
        <f t="shared" si="59"/>
        <v>0</v>
      </c>
      <c r="DG99">
        <f t="shared" si="60"/>
        <v>0.37033611111111098</v>
      </c>
      <c r="DH99">
        <f>IF(DG99=BO99,BP99,IF(DG99=BS99,BT99,IF(DG99=BW99,BX99,IF(DG99=CA99,CB99,IF(DG99=CE99,CF99,IF(DG99=CI99,CJ99,IF(DG99=CM99,CN99,IF(DG99=CQ99,CR99,IF(DG99=CU99,CV99,IF(DG99=CY99,CZ99,IF(DG99=DC99,DD99,0)))))))))))</f>
        <v>2</v>
      </c>
      <c r="DI99">
        <f>IF(DG99=BO99,BQ99,IF(DG99=BS99,BU99,IF(DG99=BW99,BY99,IF(DG99=CA99,CC99,IF(DG99=CE99,CG99,IF(DG99=CI99,CK99,IF(DG99=CM99,CO99,IF(DG99=CQ99,CS99,IF(DG99=CU99,CW99,IF(DG99=CY99,DA99,IF(DG99=DC99,DE99,0)))))))))))</f>
        <v>28.40652</v>
      </c>
      <c r="DJ99">
        <f t="shared" si="61"/>
        <v>0</v>
      </c>
      <c r="DK99">
        <f t="shared" si="62"/>
        <v>0.37033611111111098</v>
      </c>
      <c r="DL99">
        <f>IF(DK99=BO99,BP99,IF(DK99=BS99,BT99,IF(DK99=BW99,BX99,IF(DK99=CA99,CB99,IF(DK99=CE99,CF99,IF(DK99=CI99,CJ99,IF(DK99=CM99,CN99,IF(DK99=CQ99,CR99,IF(DK99=CU99,CV99,IF(DK99=CY99,CZ99,IF(DK99=DC99,DD99,IF(DK99=DG99,DH99,0))))))))))))</f>
        <v>2</v>
      </c>
      <c r="DM99">
        <f>IF(DK99=BO99,BQ99,IF(DK99=BS99,BU99,IF(DK99=BW99,BY99,IF(DK99=CA99,CC99,IF(DK99=CE99,CG99,IF(DK99=CI99,CK99,IF(DK99=CM99,CO99,IF(DK99=CQ99,CS99,IF(DK99=CU99,CW99,IF(DK99=CY99,DA99,IF(DK99=DC99,DE99,IF(DK99=DG99,DI99,0))))))))))))</f>
        <v>28.40652</v>
      </c>
      <c r="DN99">
        <f t="shared" si="63"/>
        <v>0</v>
      </c>
      <c r="DO99">
        <f t="shared" si="64"/>
        <v>0.37033611111111098</v>
      </c>
      <c r="DP99">
        <f>IF(DO99=BO99,BP99,IF(DO99=BS99,BT99,IF(DO99=BW99,BX99,IF(DO99=CA99,CB99,IF(DO99=CE99,CF99,IF(DO99=CI99,CJ99,IF(DO99=CM99,CN99,IF(DO99=CQ99,CR99,IF(DO99=CU99,CV99,IF(DO99=CY99,CZ99,IF(DO99=DC99,DD99,IF(DO99=DG99,DH99,IF(DO99=DK99,DL99,0)))))))))))))</f>
        <v>2</v>
      </c>
      <c r="DQ99">
        <f>IF(DO99=BO99,BQ99,IF(DO99=BS99,BU99,IF(DO99=BW99,BY99,IF(DO99=CA99,CC99,IF(DO99=CE99,CG99,IF(DO99=CI99,CK99,IF(DO99=CM99,CO99,IF(DO99=CQ99,CS99,IF(DO99=CU99,CW99,IF(DO99=CY99,DA99,IF(DO99=DC99,DE99,IF(DO99=DG99,DI99,IF(DO99=DK99,DM99,0)))))))))))))</f>
        <v>28.40652</v>
      </c>
      <c r="DR99">
        <f t="shared" si="65"/>
        <v>0</v>
      </c>
      <c r="DS99">
        <f t="shared" si="66"/>
        <v>0.37033611111111098</v>
      </c>
      <c r="DT99">
        <f>IF(DS99=BO99,BP99,IF(DS99=BS99,BT99,IF(DS99=BW99,BX99,IF(DS99=CA99,CB99,IF(DS99=CE99,CF99,IF(DS99=CI99,CJ99,IF(DS99=CM99,CN99,IF(DS99=CQ99,CR99,IF(DS99=CU99,CV99,IF(DS99=CY99,CZ99,IF(DS99=DC99,DD99,IF(DS99=DG99,DH99,IF(DS99=DK99,DL99,IF(DS99=DO99,DP99,0))))))))))))))</f>
        <v>2</v>
      </c>
      <c r="DU99">
        <f>IF(DS99=BO99,BQ99,IF(DS99=BS99,BU99,IF(DS99=BW99,BY99,IF(DS99=CA99,CC99,IF(DS99=CE99,CG99,IF(DS99=CI99,CK99,IF(DS99=CM99,CO99,IF(DS99=CQ99,CS99,IF(DS99=CU99,CW99,IF(DS99=CY99,DA99,IF(DS99=DC99,DE99,IF(DS99=DG99,DI99,IF(DS99=DK99,DM99,IF(DS99=DO99,DQ99,0))))))))))))))</f>
        <v>28.40652</v>
      </c>
      <c r="DV99">
        <f t="shared" si="67"/>
        <v>0</v>
      </c>
      <c r="DW99">
        <v>22500.5</v>
      </c>
      <c r="DX99">
        <v>4</v>
      </c>
      <c r="DY99">
        <v>0</v>
      </c>
      <c r="EA99">
        <v>4</v>
      </c>
      <c r="EB99">
        <v>10.114099490560401</v>
      </c>
      <c r="EC99">
        <v>1</v>
      </c>
      <c r="ED99">
        <v>7.2130470999999998</v>
      </c>
      <c r="EE99">
        <v>0.37033611111111098</v>
      </c>
      <c r="EF99">
        <v>28.40652</v>
      </c>
      <c r="EG99">
        <v>15.3299142830816</v>
      </c>
      <c r="EH99">
        <v>2</v>
      </c>
      <c r="EI99">
        <v>0</v>
      </c>
      <c r="EJ99">
        <v>3.6928475999999999</v>
      </c>
      <c r="EK99">
        <v>1</v>
      </c>
      <c r="EL99">
        <v>0</v>
      </c>
      <c r="EM99">
        <v>37</v>
      </c>
      <c r="EN99">
        <v>0</v>
      </c>
      <c r="EO99">
        <v>4</v>
      </c>
      <c r="EP99">
        <v>6</v>
      </c>
      <c r="EQ99">
        <v>4</v>
      </c>
      <c r="ER99">
        <v>14.1987814663817</v>
      </c>
      <c r="ES99">
        <v>16.655407306423498</v>
      </c>
      <c r="ET99">
        <v>23.868454406423499</v>
      </c>
      <c r="EU99">
        <v>10.5166430215526</v>
      </c>
      <c r="EV99">
        <v>14.2094906215526</v>
      </c>
      <c r="EW99">
        <v>5.7565859000000001</v>
      </c>
      <c r="EX99">
        <v>14.807199252216099</v>
      </c>
      <c r="EY99">
        <v>20.563785152216099</v>
      </c>
      <c r="EZ99">
        <v>3.6928475999999999</v>
      </c>
      <c r="FA99">
        <v>10.5166430215526</v>
      </c>
      <c r="FB99">
        <v>14.2094906215526</v>
      </c>
      <c r="FC99">
        <v>4.0326819</v>
      </c>
      <c r="FD99">
        <v>11.9700460688753</v>
      </c>
      <c r="FE99">
        <v>16.002727968875298</v>
      </c>
      <c r="FF99">
        <v>3.6928475999999999</v>
      </c>
      <c r="FG99">
        <v>10.5166430215526</v>
      </c>
      <c r="FH99">
        <v>14.2094906215526</v>
      </c>
    </row>
    <row r="100" spans="1:164" x14ac:dyDescent="0.2">
      <c r="A100">
        <v>99</v>
      </c>
      <c r="B100">
        <v>111</v>
      </c>
      <c r="C100">
        <v>172</v>
      </c>
      <c r="D100">
        <v>1</v>
      </c>
      <c r="E100">
        <v>11</v>
      </c>
      <c r="F100" t="s">
        <v>187</v>
      </c>
      <c r="H100">
        <v>3</v>
      </c>
      <c r="I100">
        <v>3</v>
      </c>
      <c r="K100" t="s">
        <v>292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1</v>
      </c>
      <c r="AD100">
        <v>7</v>
      </c>
      <c r="AE100">
        <v>10</v>
      </c>
      <c r="AF100">
        <v>5</v>
      </c>
      <c r="AG100">
        <v>10</v>
      </c>
      <c r="AH100">
        <v>6</v>
      </c>
      <c r="AI100">
        <v>0.58650833333333297</v>
      </c>
      <c r="AJ100">
        <v>47.792670000000001</v>
      </c>
      <c r="AK100">
        <v>0.45012222222222198</v>
      </c>
      <c r="AL100">
        <v>27.754380000000001</v>
      </c>
      <c r="AM100">
        <v>0.37033611111111098</v>
      </c>
      <c r="AN100">
        <v>28.40652</v>
      </c>
      <c r="AO100">
        <v>0.42151666666666698</v>
      </c>
      <c r="AP100">
        <v>31.020630000000001</v>
      </c>
      <c r="AQ100">
        <v>0.460852777777778</v>
      </c>
      <c r="AR100">
        <v>33.041110000000003</v>
      </c>
      <c r="AS100">
        <v>0.50542777777777803</v>
      </c>
      <c r="AT100">
        <v>36.381799999999998</v>
      </c>
      <c r="AU100">
        <v>0.50188333333333301</v>
      </c>
      <c r="AV100">
        <v>40.116660000000003</v>
      </c>
      <c r="AW100">
        <v>0.511438888888889</v>
      </c>
      <c r="AX100">
        <v>43.042700000000004</v>
      </c>
      <c r="AY100">
        <v>0.52142500000000003</v>
      </c>
      <c r="AZ100">
        <v>44.28143</v>
      </c>
      <c r="BA100">
        <v>0.534775</v>
      </c>
      <c r="BB100">
        <v>45.602139999999999</v>
      </c>
      <c r="BC100">
        <v>0.59560277777777804</v>
      </c>
      <c r="BD100">
        <v>46.926839999999999</v>
      </c>
      <c r="BE100">
        <v>0.60662222222222195</v>
      </c>
      <c r="BF100">
        <v>53.303800000000003</v>
      </c>
      <c r="BG100">
        <v>0.67049722222222197</v>
      </c>
      <c r="BH100">
        <v>56.706650000000003</v>
      </c>
      <c r="BI100">
        <v>0.71432222222222197</v>
      </c>
      <c r="BJ100">
        <v>58.680570000000003</v>
      </c>
      <c r="BK100">
        <v>0.78246388888888896</v>
      </c>
      <c r="BL100">
        <v>65.496210000000005</v>
      </c>
      <c r="BM100">
        <v>0.82396666666666696</v>
      </c>
      <c r="BN100">
        <v>67.488889999999998</v>
      </c>
      <c r="BO100">
        <f t="shared" si="34"/>
        <v>0.37033611111111098</v>
      </c>
      <c r="BP100">
        <v>2</v>
      </c>
      <c r="BQ100">
        <v>28.40652</v>
      </c>
      <c r="BR100">
        <f t="shared" si="35"/>
        <v>0</v>
      </c>
      <c r="BS100">
        <f t="shared" si="36"/>
        <v>0.42151666666666698</v>
      </c>
      <c r="BT100">
        <v>3</v>
      </c>
      <c r="BU100">
        <v>31.020630000000001</v>
      </c>
      <c r="BV100">
        <f t="shared" si="39"/>
        <v>0</v>
      </c>
      <c r="BW100">
        <f t="shared" si="40"/>
        <v>0.37033611111111098</v>
      </c>
      <c r="BX100">
        <f t="shared" si="41"/>
        <v>2</v>
      </c>
      <c r="BY100">
        <f t="shared" si="42"/>
        <v>28.40652</v>
      </c>
      <c r="BZ100">
        <f t="shared" si="43"/>
        <v>0</v>
      </c>
      <c r="CA100">
        <f t="shared" si="44"/>
        <v>0.37033611111111098</v>
      </c>
      <c r="CB100">
        <f>IF(CA100=BO100,BP100,IF(CA100=BS100,BT100,IF(CA100=BW100,BX100,0)))</f>
        <v>2</v>
      </c>
      <c r="CC100">
        <f>IF(CA100=BO100,BQ100,IF(CA100=BS100,BU100,IF(CA100=BW100,BY100,0)))</f>
        <v>28.40652</v>
      </c>
      <c r="CD100">
        <f t="shared" si="45"/>
        <v>0</v>
      </c>
      <c r="CE100">
        <f t="shared" si="46"/>
        <v>0.37033611111111098</v>
      </c>
      <c r="CF100">
        <f>IF(CE100=BO100,BP100,IF(CE100=BS100,BT100,IF(CE100=BW100,BX100,IF(CE100=CA100,CB100,0))))</f>
        <v>2</v>
      </c>
      <c r="CG100">
        <f>IF(CE100=BO100,BQ100,IF(CE100=BS100,BU100,IF(CE100=BW100,BY100,IF(CE100=CA100,CC100,0))))</f>
        <v>28.40652</v>
      </c>
      <c r="CH100">
        <f t="shared" si="47"/>
        <v>0</v>
      </c>
      <c r="CI100">
        <f t="shared" si="48"/>
        <v>0.37033611111111098</v>
      </c>
      <c r="CJ100">
        <f>IF(CI100=BO100,BP100,IF(CI100=BS100,BT100,IF(CI100=BW100,BX100,IF(CI100=CA100,CB100,IF(CI100=CE100,CF100,0)))))</f>
        <v>2</v>
      </c>
      <c r="CK100">
        <f>IF(CI100=BO100,BQ100,IF(CI100=BS100,BU100,IF(CI100=BW100,BY100,IF(CI100=CA100,CC100,IF(CI100=CE100,CG100,0)))))</f>
        <v>28.40652</v>
      </c>
      <c r="CL100">
        <f t="shared" si="49"/>
        <v>0</v>
      </c>
      <c r="CM100">
        <f t="shared" si="50"/>
        <v>0.37033611111111098</v>
      </c>
      <c r="CN100">
        <f>IF(CM100=BO100,BP100,IF(CM100=BS100,BT100,IF(CM100=BW100,BX100,IF(CM100=CA100,CB100,IF(CM100=CE100,CF100,IF(CM100=CI100,CJ100,0))))))</f>
        <v>2</v>
      </c>
      <c r="CO100">
        <f>IF(CM100=BO100,BQ100,IF(CM100=BS100,BU100,IF(CM100=BW100,BY100,IF(CM100=CA100,CC100,IF(CM100=CE100,CG100,IF(CM100=CI100,CK100,0))))))</f>
        <v>28.40652</v>
      </c>
      <c r="CP100">
        <f t="shared" si="51"/>
        <v>0</v>
      </c>
      <c r="CQ100">
        <f t="shared" si="52"/>
        <v>0.37033611111111098</v>
      </c>
      <c r="CR100">
        <f>IF(CQ100=BO100,BP100,IF(CQ100=BS100,BT100,IF(CQ100=BW100,BX100,IF(CQ100=CA100,CB100,IF(CQ100=CE100,CF100,IF(CQ100=CI100,CJ100,IF(CQ100=CM100,CN100,0)))))))</f>
        <v>2</v>
      </c>
      <c r="CS100">
        <f>IF(CQ100=BO100,BQ100,IF(CQ100=BS100,BU100,IF(CQ100=BW100,BY100,IF(CQ100=CA100,CC100,IF(CQ100=CE100,CG100,IF(CQ100=CI100,CK100,IF(CQ100=CM100,CO100,0)))))))</f>
        <v>28.40652</v>
      </c>
      <c r="CT100">
        <f t="shared" si="53"/>
        <v>0</v>
      </c>
      <c r="CU100">
        <f t="shared" si="54"/>
        <v>0.37033611111111098</v>
      </c>
      <c r="CV100">
        <f>IF(CU100=BO100,BP100,IF(CU100=BS100,BT100,IF(CU100=BW100,BX100,IF(CU100=CA100,CB100,IF(CU100=CE100,CF100,IF(CU100=CI100,CJ100,IF(CU100=CM100,CN100,IF(CU100=CQ100,CR100,0))))))))</f>
        <v>2</v>
      </c>
      <c r="CW100">
        <f>IF(CU100=BO100,BQ100,IF(CU100=BS100,BU100,IF(CU100=BW100,BY100,IF(CU100=CA100,CC100,IF(CU100=CE100,CG100,IF(CU100=CI100,CK100,IF(CU100=CM100,CO100,IF(CU100=CQ100,CS100,0))))))))</f>
        <v>28.40652</v>
      </c>
      <c r="CX100">
        <f t="shared" si="55"/>
        <v>0</v>
      </c>
      <c r="CY100">
        <f t="shared" si="56"/>
        <v>0.37033611111111098</v>
      </c>
      <c r="CZ100">
        <f>IF(CY100=BO100,BP100,IF(CY100=BS100,BT100,IF(CY100=BW100,BX100,IF(CY100=CA100,CB100,IF(CY100=CE100,CF100,IF(CY100=CI100,CJ100,IF(CY100=CM100,CN100,IF(CY100=CQ100,CR100,IF(CY100=CU100,CV100,0)))))))))</f>
        <v>2</v>
      </c>
      <c r="DA100">
        <f>IF(CY100=BO100,BQ100,IF(CY100=BS100,BU100,IF(CY100=BW100,BY100,IF(CY100=CA100,CC100,IF(CY100=CE100,CG100,IF(CY100=CI100,CK100,IF(CY100=CM100,CO100,IF(CY100=CQ100,CS100,IF(CY100=CU100,CW100,0)))))))))</f>
        <v>28.40652</v>
      </c>
      <c r="DB100">
        <f t="shared" si="57"/>
        <v>0</v>
      </c>
      <c r="DC100">
        <f t="shared" si="58"/>
        <v>0.37033611111111098</v>
      </c>
      <c r="DD100">
        <f>IF(DC100=BO100,BP100,IF(DC100=BS100,BT100,IF(DC100=BW100,BX100,IF(DC100=CA100,CB100,IF(DC100=CE100,CF100,IF(DC100=CI100,CJ100,IF(DC100=CM100,CN100,IF(DC100=CQ100,CR100,IF(DC100=CU100,CV100,IF(DC100=CY100,CZ100,0))))))))))</f>
        <v>2</v>
      </c>
      <c r="DE100">
        <f>IF(DC100=BO100,BQ100,IF(DC100=BS100,BU100,IF(DC100=BW100,BY100,IF(DC100=CA100,CC100,IF(DC100=CE100,CG100,IF(DC100=CI100,CK100,IF(DC100=CM100,CO100,IF(DC100=CQ100,CS100,IF(DC100=CU100,CW100,IF(DC100=CY100,DA100,0))))))))))</f>
        <v>28.40652</v>
      </c>
      <c r="DF100">
        <f t="shared" si="59"/>
        <v>0</v>
      </c>
      <c r="DG100">
        <f t="shared" si="60"/>
        <v>0.37033611111111098</v>
      </c>
      <c r="DH100">
        <f>IF(DG100=BO100,BP100,IF(DG100=BS100,BT100,IF(DG100=BW100,BX100,IF(DG100=CA100,CB100,IF(DG100=CE100,CF100,IF(DG100=CI100,CJ100,IF(DG100=CM100,CN100,IF(DG100=CQ100,CR100,IF(DG100=CU100,CV100,IF(DG100=CY100,CZ100,IF(DG100=DC100,DD100,0)))))))))))</f>
        <v>2</v>
      </c>
      <c r="DI100">
        <f>IF(DG100=BO100,BQ100,IF(DG100=BS100,BU100,IF(DG100=BW100,BY100,IF(DG100=CA100,CC100,IF(DG100=CE100,CG100,IF(DG100=CI100,CK100,IF(DG100=CM100,CO100,IF(DG100=CQ100,CS100,IF(DG100=CU100,CW100,IF(DG100=CY100,DA100,IF(DG100=DC100,DE100,0)))))))))))</f>
        <v>28.40652</v>
      </c>
      <c r="DJ100">
        <f t="shared" si="61"/>
        <v>0</v>
      </c>
      <c r="DK100">
        <f t="shared" si="62"/>
        <v>0.37033611111111098</v>
      </c>
      <c r="DL100">
        <f>IF(DK100=BO100,BP100,IF(DK100=BS100,BT100,IF(DK100=BW100,BX100,IF(DK100=CA100,CB100,IF(DK100=CE100,CF100,IF(DK100=CI100,CJ100,IF(DK100=CM100,CN100,IF(DK100=CQ100,CR100,IF(DK100=CU100,CV100,IF(DK100=CY100,CZ100,IF(DK100=DC100,DD100,IF(DK100=DG100,DH100,0))))))))))))</f>
        <v>2</v>
      </c>
      <c r="DM100">
        <f>IF(DK100=BO100,BQ100,IF(DK100=BS100,BU100,IF(DK100=BW100,BY100,IF(DK100=CA100,CC100,IF(DK100=CE100,CG100,IF(DK100=CI100,CK100,IF(DK100=CM100,CO100,IF(DK100=CQ100,CS100,IF(DK100=CU100,CW100,IF(DK100=CY100,DA100,IF(DK100=DC100,DE100,IF(DK100=DG100,DI100,0))))))))))))</f>
        <v>28.40652</v>
      </c>
      <c r="DN100">
        <f t="shared" si="63"/>
        <v>0</v>
      </c>
      <c r="DO100">
        <f t="shared" si="64"/>
        <v>0.37033611111111098</v>
      </c>
      <c r="DP100">
        <f>IF(DO100=BO100,BP100,IF(DO100=BS100,BT100,IF(DO100=BW100,BX100,IF(DO100=CA100,CB100,IF(DO100=CE100,CF100,IF(DO100=CI100,CJ100,IF(DO100=CM100,CN100,IF(DO100=CQ100,CR100,IF(DO100=CU100,CV100,IF(DO100=CY100,CZ100,IF(DO100=DC100,DD100,IF(DO100=DG100,DH100,IF(DO100=DK100,DL100,0)))))))))))))</f>
        <v>2</v>
      </c>
      <c r="DQ100">
        <f>IF(DO100=BO100,BQ100,IF(DO100=BS100,BU100,IF(DO100=BW100,BY100,IF(DO100=CA100,CC100,IF(DO100=CE100,CG100,IF(DO100=CI100,CK100,IF(DO100=CM100,CO100,IF(DO100=CQ100,CS100,IF(DO100=CU100,CW100,IF(DO100=CY100,DA100,IF(DO100=DC100,DE100,IF(DO100=DG100,DI100,IF(DO100=DK100,DM100,0)))))))))))))</f>
        <v>28.40652</v>
      </c>
      <c r="DR100">
        <f t="shared" si="65"/>
        <v>0</v>
      </c>
      <c r="DS100">
        <f t="shared" si="66"/>
        <v>0.37033611111111098</v>
      </c>
      <c r="DT100">
        <f>IF(DS100=BO100,BP100,IF(DS100=BS100,BT100,IF(DS100=BW100,BX100,IF(DS100=CA100,CB100,IF(DS100=CE100,CF100,IF(DS100=CI100,CJ100,IF(DS100=CM100,CN100,IF(DS100=CQ100,CR100,IF(DS100=CU100,CV100,IF(DS100=CY100,CZ100,IF(DS100=DC100,DD100,IF(DS100=DG100,DH100,IF(DS100=DK100,DL100,IF(DS100=DO100,DP100,0))))))))))))))</f>
        <v>2</v>
      </c>
      <c r="DU100">
        <f>IF(DS100=BO100,BQ100,IF(DS100=BS100,BU100,IF(DS100=BW100,BY100,IF(DS100=CA100,CC100,IF(DS100=CE100,CG100,IF(DS100=CI100,CK100,IF(DS100=CM100,CO100,IF(DS100=CQ100,CS100,IF(DS100=CU100,CW100,IF(DS100=CY100,DA100,IF(DS100=DC100,DE100,IF(DS100=DG100,DI100,IF(DS100=DK100,DM100,IF(DS100=DO100,DQ100,0))))))))))))))</f>
        <v>28.40652</v>
      </c>
      <c r="DV100">
        <f t="shared" si="67"/>
        <v>0</v>
      </c>
      <c r="DW100">
        <v>52500.5</v>
      </c>
      <c r="DX100">
        <v>5</v>
      </c>
      <c r="DY100">
        <v>30</v>
      </c>
      <c r="DZ100">
        <v>5</v>
      </c>
      <c r="EA100">
        <v>5</v>
      </c>
      <c r="EB100">
        <v>23.599265807611602</v>
      </c>
      <c r="EC100">
        <v>1</v>
      </c>
      <c r="ED100">
        <v>5.9704376799999999</v>
      </c>
      <c r="EE100">
        <v>0.37033611111111098</v>
      </c>
      <c r="EF100">
        <v>28.40652</v>
      </c>
      <c r="EG100">
        <v>30.655057723288799</v>
      </c>
      <c r="EH100">
        <v>2</v>
      </c>
      <c r="EI100">
        <v>0</v>
      </c>
      <c r="EJ100">
        <v>2.9542780799999999</v>
      </c>
      <c r="EK100">
        <v>1</v>
      </c>
      <c r="EL100">
        <v>0</v>
      </c>
      <c r="EM100">
        <v>40</v>
      </c>
      <c r="EN100">
        <v>0</v>
      </c>
      <c r="EO100">
        <v>4</v>
      </c>
      <c r="EP100">
        <v>6</v>
      </c>
      <c r="EQ100">
        <v>5</v>
      </c>
      <c r="ER100">
        <v>14.1987814663817</v>
      </c>
      <c r="ES100">
        <v>16.655407306423498</v>
      </c>
      <c r="ET100">
        <v>22.625844986423498</v>
      </c>
      <c r="EU100">
        <v>10.5166430215526</v>
      </c>
      <c r="EV100">
        <v>13.4709211015526</v>
      </c>
      <c r="EW100">
        <v>4.6052687199999998</v>
      </c>
      <c r="EX100">
        <v>14.807199252216099</v>
      </c>
      <c r="EY100">
        <v>19.412467972216099</v>
      </c>
      <c r="EZ100">
        <v>2.9542780799999999</v>
      </c>
      <c r="FA100">
        <v>10.5166430215526</v>
      </c>
      <c r="FB100">
        <v>13.4709211015526</v>
      </c>
      <c r="FC100">
        <v>3.2261455200000002</v>
      </c>
      <c r="FD100">
        <v>11.9700460688753</v>
      </c>
      <c r="FE100">
        <v>15.196191588875299</v>
      </c>
      <c r="FF100">
        <v>2.9542780799999999</v>
      </c>
      <c r="FG100">
        <v>10.5166430215526</v>
      </c>
      <c r="FH100">
        <v>13.4709211015526</v>
      </c>
    </row>
    <row r="101" spans="1:164" x14ac:dyDescent="0.2">
      <c r="A101">
        <v>100</v>
      </c>
      <c r="B101">
        <v>112</v>
      </c>
      <c r="C101">
        <v>173</v>
      </c>
      <c r="D101">
        <v>3</v>
      </c>
      <c r="E101">
        <v>12</v>
      </c>
      <c r="F101" t="s">
        <v>293</v>
      </c>
      <c r="G101" t="s">
        <v>122</v>
      </c>
      <c r="H101">
        <v>3</v>
      </c>
      <c r="I101">
        <v>3</v>
      </c>
      <c r="K101" t="s">
        <v>294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2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3</v>
      </c>
      <c r="AC101">
        <v>0</v>
      </c>
      <c r="AD101">
        <v>23</v>
      </c>
      <c r="AE101">
        <v>28</v>
      </c>
      <c r="AF101">
        <v>14</v>
      </c>
      <c r="AG101">
        <v>14</v>
      </c>
      <c r="AH101">
        <v>6</v>
      </c>
      <c r="AI101">
        <v>0.853138888888889</v>
      </c>
      <c r="AJ101">
        <v>67.45223</v>
      </c>
      <c r="AK101">
        <v>1.1304777777777799</v>
      </c>
      <c r="AL101">
        <v>88.099379999999996</v>
      </c>
      <c r="AM101">
        <v>1.0245888888888901</v>
      </c>
      <c r="AN101">
        <v>85.629239999999996</v>
      </c>
      <c r="AO101">
        <v>1.0207305555555599</v>
      </c>
      <c r="AP101">
        <v>83.255750000000006</v>
      </c>
      <c r="AQ101">
        <v>1.04403055555556</v>
      </c>
      <c r="AR101">
        <v>83.583640000000003</v>
      </c>
      <c r="AS101">
        <v>1.00921666666667</v>
      </c>
      <c r="AT101">
        <v>80.083780000000004</v>
      </c>
      <c r="AU101">
        <v>0.90856111111111104</v>
      </c>
      <c r="AV101">
        <v>74.548240000000007</v>
      </c>
      <c r="AW101">
        <v>0.88383888888888895</v>
      </c>
      <c r="AX101">
        <v>72.522059999999996</v>
      </c>
      <c r="AY101">
        <v>0.87332777777777804</v>
      </c>
      <c r="AZ101">
        <v>70.965649999999997</v>
      </c>
      <c r="BA101">
        <v>0.85831944444444397</v>
      </c>
      <c r="BB101">
        <v>70.382670000000005</v>
      </c>
      <c r="BC101">
        <v>0.86477499999999996</v>
      </c>
      <c r="BD101">
        <v>67.927940000000007</v>
      </c>
      <c r="BE101">
        <v>0.76241388888888895</v>
      </c>
      <c r="BF101">
        <v>61.44247</v>
      </c>
      <c r="BG101">
        <v>0.78206944444444404</v>
      </c>
      <c r="BH101">
        <v>61.077959999999997</v>
      </c>
      <c r="BI101">
        <v>0.78773333333333295</v>
      </c>
      <c r="BJ101">
        <v>58.254719999999999</v>
      </c>
      <c r="BK101">
        <v>0.77079166666666699</v>
      </c>
      <c r="BL101">
        <v>57.457459999999998</v>
      </c>
      <c r="BM101">
        <v>0.79336388888888898</v>
      </c>
      <c r="BN101">
        <v>57.044690000000003</v>
      </c>
      <c r="BO101">
        <f t="shared" si="34"/>
        <v>0.76241388888888895</v>
      </c>
      <c r="BP101">
        <v>14</v>
      </c>
      <c r="BQ101">
        <v>61.44247</v>
      </c>
      <c r="BR101">
        <f t="shared" si="35"/>
        <v>0</v>
      </c>
      <c r="BS101">
        <f t="shared" si="36"/>
        <v>0.76241388888888895</v>
      </c>
      <c r="BT101">
        <f t="shared" si="37"/>
        <v>14</v>
      </c>
      <c r="BU101">
        <f t="shared" si="38"/>
        <v>61.44247</v>
      </c>
      <c r="BV101">
        <f t="shared" si="39"/>
        <v>0</v>
      </c>
      <c r="BW101">
        <f t="shared" si="40"/>
        <v>0.76241388888888895</v>
      </c>
      <c r="BX101">
        <f t="shared" si="41"/>
        <v>14</v>
      </c>
      <c r="BY101">
        <f t="shared" si="42"/>
        <v>61.44247</v>
      </c>
      <c r="BZ101">
        <f t="shared" si="43"/>
        <v>0</v>
      </c>
      <c r="CA101">
        <f t="shared" si="44"/>
        <v>0.76241388888888895</v>
      </c>
      <c r="CB101">
        <f>IF(CA101=BO101,BP101,IF(CA101=BS101,BT101,IF(CA101=BW101,BX101,0)))</f>
        <v>14</v>
      </c>
      <c r="CC101">
        <f>IF(CA101=BO101,BQ101,IF(CA101=BS101,BU101,IF(CA101=BW101,BY101,0)))</f>
        <v>61.44247</v>
      </c>
      <c r="CD101">
        <f t="shared" si="45"/>
        <v>0</v>
      </c>
      <c r="CE101">
        <f t="shared" si="46"/>
        <v>0.76241388888888895</v>
      </c>
      <c r="CF101">
        <f>IF(CE101=BO101,BP101,IF(CE101=BS101,BT101,IF(CE101=BW101,BX101,IF(CE101=CA101,CB101,0))))</f>
        <v>14</v>
      </c>
      <c r="CG101">
        <f>IF(CE101=BO101,BQ101,IF(CE101=BS101,BU101,IF(CE101=BW101,BY101,IF(CE101=CA101,CC101,0))))</f>
        <v>61.44247</v>
      </c>
      <c r="CH101">
        <f t="shared" si="47"/>
        <v>0</v>
      </c>
      <c r="CI101">
        <f t="shared" si="48"/>
        <v>0.76241388888888895</v>
      </c>
      <c r="CJ101">
        <f>IF(CI101=BO101,BP101,IF(CI101=BS101,BT101,IF(CI101=BW101,BX101,IF(CI101=CA101,CB101,IF(CI101=CE101,CF101,0)))))</f>
        <v>14</v>
      </c>
      <c r="CK101">
        <f>IF(CI101=BO101,BQ101,IF(CI101=BS101,BU101,IF(CI101=BW101,BY101,IF(CI101=CA101,CC101,IF(CI101=CE101,CG101,0)))))</f>
        <v>61.44247</v>
      </c>
      <c r="CL101">
        <f t="shared" si="49"/>
        <v>0</v>
      </c>
      <c r="CM101">
        <f t="shared" si="50"/>
        <v>0.76241388888888895</v>
      </c>
      <c r="CN101">
        <f>IF(CM101=BO101,BP101,IF(CM101=BS101,BT101,IF(CM101=BW101,BX101,IF(CM101=CA101,CB101,IF(CM101=CE101,CF101,IF(CM101=CI101,CJ101,0))))))</f>
        <v>14</v>
      </c>
      <c r="CO101">
        <f>IF(CM101=BO101,BQ101,IF(CM101=BS101,BU101,IF(CM101=BW101,BY101,IF(CM101=CA101,CC101,IF(CM101=CE101,CG101,IF(CM101=CI101,CK101,0))))))</f>
        <v>61.44247</v>
      </c>
      <c r="CP101">
        <f t="shared" si="51"/>
        <v>0</v>
      </c>
      <c r="CQ101">
        <f t="shared" si="52"/>
        <v>0.76241388888888895</v>
      </c>
      <c r="CR101">
        <f>IF(CQ101=BO101,BP101,IF(CQ101=BS101,BT101,IF(CQ101=BW101,BX101,IF(CQ101=CA101,CB101,IF(CQ101=CE101,CF101,IF(CQ101=CI101,CJ101,IF(CQ101=CM101,CN101,0)))))))</f>
        <v>14</v>
      </c>
      <c r="CS101">
        <f>IF(CQ101=BO101,BQ101,IF(CQ101=BS101,BU101,IF(CQ101=BW101,BY101,IF(CQ101=CA101,CC101,IF(CQ101=CE101,CG101,IF(CQ101=CI101,CK101,IF(CQ101=CM101,CO101,0)))))))</f>
        <v>61.44247</v>
      </c>
      <c r="CT101">
        <f t="shared" si="53"/>
        <v>0</v>
      </c>
      <c r="CU101">
        <f t="shared" si="54"/>
        <v>0.76241388888888895</v>
      </c>
      <c r="CV101">
        <f>IF(CU101=BO101,BP101,IF(CU101=BS101,BT101,IF(CU101=BW101,BX101,IF(CU101=CA101,CB101,IF(CU101=CE101,CF101,IF(CU101=CI101,CJ101,IF(CU101=CM101,CN101,IF(CU101=CQ101,CR101,0))))))))</f>
        <v>14</v>
      </c>
      <c r="CW101">
        <f>IF(CU101=BO101,BQ101,IF(CU101=BS101,BU101,IF(CU101=BW101,BY101,IF(CU101=CA101,CC101,IF(CU101=CE101,CG101,IF(CU101=CI101,CK101,IF(CU101=CM101,CO101,IF(CU101=CQ101,CS101,0))))))))</f>
        <v>61.44247</v>
      </c>
      <c r="CX101">
        <f t="shared" si="55"/>
        <v>0</v>
      </c>
      <c r="CY101">
        <f t="shared" si="56"/>
        <v>0.76241388888888895</v>
      </c>
      <c r="CZ101">
        <f>IF(CY101=BO101,BP101,IF(CY101=BS101,BT101,IF(CY101=BW101,BX101,IF(CY101=CA101,CB101,IF(CY101=CE101,CF101,IF(CY101=CI101,CJ101,IF(CY101=CM101,CN101,IF(CY101=CQ101,CR101,IF(CY101=CU101,CV101,0)))))))))</f>
        <v>14</v>
      </c>
      <c r="DA101">
        <f>IF(CY101=BO101,BQ101,IF(CY101=BS101,BU101,IF(CY101=BW101,BY101,IF(CY101=CA101,CC101,IF(CY101=CE101,CG101,IF(CY101=CI101,CK101,IF(CY101=CM101,CO101,IF(CY101=CQ101,CS101,IF(CY101=CU101,CW101,0)))))))))</f>
        <v>61.44247</v>
      </c>
      <c r="DB101">
        <f t="shared" si="57"/>
        <v>0</v>
      </c>
      <c r="DC101">
        <f t="shared" si="58"/>
        <v>0.77079166666666699</v>
      </c>
      <c r="DD101">
        <v>17</v>
      </c>
      <c r="DE101">
        <v>57.457459999999998</v>
      </c>
      <c r="DF101">
        <f t="shared" si="59"/>
        <v>0</v>
      </c>
      <c r="DG101">
        <f t="shared" si="60"/>
        <v>0.76241388888888895</v>
      </c>
      <c r="DH101">
        <f>IF(DG101=BO101,BP101,IF(DG101=BS101,BT101,IF(DG101=BW101,BX101,IF(DG101=CA101,CB101,IF(DG101=CE101,CF101,IF(DG101=CI101,CJ101,IF(DG101=CM101,CN101,IF(DG101=CQ101,CR101,IF(DG101=CU101,CV101,IF(DG101=CY101,CZ101,IF(DG101=DC101,DD101,0)))))))))))</f>
        <v>14</v>
      </c>
      <c r="DI101">
        <f>IF(DG101=BO101,BQ101,IF(DG101=BS101,BU101,IF(DG101=BW101,BY101,IF(DG101=CA101,CC101,IF(DG101=CE101,CG101,IF(DG101=CI101,CK101,IF(DG101=CM101,CO101,IF(DG101=CQ101,CS101,IF(DG101=CU101,CW101,IF(DG101=CY101,DA101,IF(DG101=DC101,DE101,0)))))))))))</f>
        <v>61.44247</v>
      </c>
      <c r="DJ101">
        <f t="shared" si="61"/>
        <v>0</v>
      </c>
      <c r="DK101">
        <f t="shared" si="62"/>
        <v>0.76241388888888895</v>
      </c>
      <c r="DL101">
        <f>IF(DK101=BO101,BP101,IF(DK101=BS101,BT101,IF(DK101=BW101,BX101,IF(DK101=CA101,CB101,IF(DK101=CE101,CF101,IF(DK101=CI101,CJ101,IF(DK101=CM101,CN101,IF(DK101=CQ101,CR101,IF(DK101=CU101,CV101,IF(DK101=CY101,CZ101,IF(DK101=DC101,DD101,IF(DK101=DG101,DH101,0))))))))))))</f>
        <v>14</v>
      </c>
      <c r="DM101">
        <f>IF(DK101=BO101,BQ101,IF(DK101=BS101,BU101,IF(DK101=BW101,BY101,IF(DK101=CA101,CC101,IF(DK101=CE101,CG101,IF(DK101=CI101,CK101,IF(DK101=CM101,CO101,IF(DK101=CQ101,CS101,IF(DK101=CU101,CW101,IF(DK101=CY101,DA101,IF(DK101=DC101,DE101,IF(DK101=DG101,DI101,0))))))))))))</f>
        <v>61.44247</v>
      </c>
      <c r="DN101">
        <f t="shared" si="63"/>
        <v>0</v>
      </c>
      <c r="DO101">
        <f t="shared" si="64"/>
        <v>0.76241388888888895</v>
      </c>
      <c r="DP101">
        <f>IF(DO101=BO101,BP101,IF(DO101=BS101,BT101,IF(DO101=BW101,BX101,IF(DO101=CA101,CB101,IF(DO101=CE101,CF101,IF(DO101=CI101,CJ101,IF(DO101=CM101,CN101,IF(DO101=CQ101,CR101,IF(DO101=CU101,CV101,IF(DO101=CY101,CZ101,IF(DO101=DC101,DD101,IF(DO101=DG101,DH101,IF(DO101=DK101,DL101,0)))))))))))))</f>
        <v>14</v>
      </c>
      <c r="DQ101">
        <f>IF(DO101=BO101,BQ101,IF(DO101=BS101,BU101,IF(DO101=BW101,BY101,IF(DO101=CA101,CC101,IF(DO101=CE101,CG101,IF(DO101=CI101,CK101,IF(DO101=CM101,CO101,IF(DO101=CQ101,CS101,IF(DO101=CU101,CW101,IF(DO101=CY101,DA101,IF(DO101=DC101,DE101,IF(DO101=DG101,DI101,IF(DO101=DK101,DM101,0)))))))))))))</f>
        <v>61.44247</v>
      </c>
      <c r="DR101">
        <f t="shared" si="65"/>
        <v>0</v>
      </c>
      <c r="DS101">
        <f t="shared" si="66"/>
        <v>0.76241388888888895</v>
      </c>
      <c r="DT101">
        <f>IF(DS101=BO101,BP101,IF(DS101=BS101,BT101,IF(DS101=BW101,BX101,IF(DS101=CA101,CB101,IF(DS101=CE101,CF101,IF(DS101=CI101,CJ101,IF(DS101=CM101,CN101,IF(DS101=CQ101,CR101,IF(DS101=CU101,CV101,IF(DS101=CY101,CZ101,IF(DS101=DC101,DD101,IF(DS101=DG101,DH101,IF(DS101=DK101,DL101,IF(DS101=DO101,DP101,0))))))))))))))</f>
        <v>14</v>
      </c>
      <c r="DU101">
        <f>IF(DS101=BO101,BQ101,IF(DS101=BS101,BU101,IF(DS101=BW101,BY101,IF(DS101=CA101,CC101,IF(DS101=CE101,CG101,IF(DS101=CI101,CK101,IF(DS101=CM101,CO101,IF(DS101=CQ101,CS101,IF(DS101=CU101,CW101,IF(DS101=CY101,DA101,IF(DS101=DC101,DE101,IF(DS101=DG101,DI101,IF(DS101=DK101,DM101,IF(DS101=DO101,DQ101,0))))))))))))))</f>
        <v>61.44247</v>
      </c>
      <c r="DV101">
        <f t="shared" si="67"/>
        <v>0</v>
      </c>
      <c r="DW101">
        <v>22500.5</v>
      </c>
      <c r="DX101">
        <v>5</v>
      </c>
      <c r="DY101">
        <v>0</v>
      </c>
      <c r="DZ101">
        <v>6</v>
      </c>
      <c r="EA101">
        <v>6</v>
      </c>
      <c r="EB101">
        <v>10.114099490560401</v>
      </c>
      <c r="EC101">
        <v>1.2</v>
      </c>
      <c r="ED101">
        <v>8.2150319199999995</v>
      </c>
      <c r="EE101">
        <v>0.76241388888888895</v>
      </c>
      <c r="EF101">
        <v>61.44247</v>
      </c>
      <c r="EG101">
        <v>21.2416713579806</v>
      </c>
      <c r="EH101">
        <v>14</v>
      </c>
      <c r="EI101">
        <v>0</v>
      </c>
      <c r="EJ101">
        <v>6.3900168800000001</v>
      </c>
      <c r="EK101">
        <v>1</v>
      </c>
      <c r="EL101">
        <v>1</v>
      </c>
      <c r="EM101">
        <v>49</v>
      </c>
      <c r="EN101">
        <v>1</v>
      </c>
      <c r="EO101">
        <v>2</v>
      </c>
      <c r="EP101">
        <v>6</v>
      </c>
      <c r="EQ101">
        <v>14</v>
      </c>
      <c r="ER101">
        <v>14.1987814663817</v>
      </c>
      <c r="ES101">
        <v>24.227065287609999</v>
      </c>
      <c r="ET101">
        <v>32.442097207609997</v>
      </c>
      <c r="EU101">
        <v>21.650696390535099</v>
      </c>
      <c r="EV101">
        <v>28.0407132705351</v>
      </c>
      <c r="EW101">
        <v>7.3804276</v>
      </c>
      <c r="EX101">
        <v>24.800380530374799</v>
      </c>
      <c r="EY101">
        <v>32.1808081303748</v>
      </c>
      <c r="EZ101">
        <v>6.3900168800000001</v>
      </c>
      <c r="FA101">
        <v>21.650696390535099</v>
      </c>
      <c r="FB101">
        <v>28.0407132705351</v>
      </c>
      <c r="FC101">
        <v>8.6585979999999996</v>
      </c>
      <c r="FD101">
        <v>28.986260188783501</v>
      </c>
      <c r="FE101">
        <v>37.644858188783502</v>
      </c>
      <c r="FF101">
        <v>6.3900168800000001</v>
      </c>
      <c r="FG101">
        <v>21.650696390535099</v>
      </c>
      <c r="FH101">
        <v>28.0407132705351</v>
      </c>
    </row>
    <row r="102" spans="1:164" x14ac:dyDescent="0.2">
      <c r="A102">
        <v>101</v>
      </c>
      <c r="B102">
        <v>113</v>
      </c>
      <c r="C102">
        <v>175</v>
      </c>
      <c r="D102">
        <v>3</v>
      </c>
      <c r="E102">
        <v>12</v>
      </c>
      <c r="F102" t="s">
        <v>295</v>
      </c>
      <c r="G102" t="s">
        <v>122</v>
      </c>
      <c r="H102">
        <v>3</v>
      </c>
      <c r="I102">
        <v>4</v>
      </c>
      <c r="K102" t="s">
        <v>117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2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</v>
      </c>
      <c r="AE102">
        <v>4</v>
      </c>
      <c r="AF102">
        <v>2</v>
      </c>
      <c r="AG102">
        <v>4</v>
      </c>
      <c r="AH102">
        <v>8</v>
      </c>
      <c r="AI102">
        <v>0.28987777777777801</v>
      </c>
      <c r="AJ102">
        <v>12.136799999999999</v>
      </c>
      <c r="AK102">
        <v>0.45840277777777799</v>
      </c>
      <c r="AL102">
        <v>23.175879999999999</v>
      </c>
      <c r="AM102">
        <v>0.35251388888888902</v>
      </c>
      <c r="AN102">
        <v>20.705739999999999</v>
      </c>
      <c r="AO102">
        <v>0.348655555555556</v>
      </c>
      <c r="AP102">
        <v>18.332239999999999</v>
      </c>
      <c r="AQ102">
        <v>0.37195555555555598</v>
      </c>
      <c r="AR102">
        <v>18.660139999999998</v>
      </c>
      <c r="AS102">
        <v>0.33714166666666701</v>
      </c>
      <c r="AT102">
        <v>15.160270000000001</v>
      </c>
      <c r="AU102">
        <v>0.22090833333333301</v>
      </c>
      <c r="AV102">
        <v>8.9964999999999993</v>
      </c>
      <c r="AW102">
        <v>0.23708888888888899</v>
      </c>
      <c r="AX102">
        <v>10.373049999999999</v>
      </c>
      <c r="AY102">
        <v>0.22804722222222201</v>
      </c>
      <c r="AZ102">
        <v>10.564590000000001</v>
      </c>
      <c r="BA102">
        <v>0.213038888888889</v>
      </c>
      <c r="BB102">
        <v>9.9816199999999995</v>
      </c>
      <c r="BC102">
        <v>0.29693611111111101</v>
      </c>
      <c r="BD102">
        <v>12.423389999999999</v>
      </c>
      <c r="BE102">
        <v>0.32260555555555598</v>
      </c>
      <c r="BF102">
        <v>17.779039999999998</v>
      </c>
      <c r="BG102">
        <v>0.38647777777777798</v>
      </c>
      <c r="BH102">
        <v>21.181889999999999</v>
      </c>
      <c r="BI102">
        <v>0.430305555555556</v>
      </c>
      <c r="BJ102">
        <v>23.155809999999999</v>
      </c>
      <c r="BK102">
        <v>0.49844444444444402</v>
      </c>
      <c r="BL102">
        <v>29.97146</v>
      </c>
      <c r="BM102">
        <v>0.53995000000000004</v>
      </c>
      <c r="BN102">
        <v>31.96414</v>
      </c>
      <c r="BO102">
        <f t="shared" si="34"/>
        <v>0.213038888888889</v>
      </c>
      <c r="BP102">
        <v>9</v>
      </c>
      <c r="BQ102">
        <v>9.9816199999999995</v>
      </c>
      <c r="BR102">
        <f t="shared" si="35"/>
        <v>0</v>
      </c>
      <c r="BS102">
        <f t="shared" si="36"/>
        <v>0.213038888888889</v>
      </c>
      <c r="BT102">
        <f t="shared" si="37"/>
        <v>9</v>
      </c>
      <c r="BU102">
        <f t="shared" si="38"/>
        <v>9.9816199999999995</v>
      </c>
      <c r="BV102">
        <f t="shared" si="39"/>
        <v>0</v>
      </c>
      <c r="BW102">
        <f t="shared" si="40"/>
        <v>0.213038888888889</v>
      </c>
      <c r="BX102">
        <f t="shared" si="41"/>
        <v>9</v>
      </c>
      <c r="BY102">
        <f t="shared" si="42"/>
        <v>9.9816199999999995</v>
      </c>
      <c r="BZ102">
        <f t="shared" si="43"/>
        <v>0</v>
      </c>
      <c r="CA102">
        <f t="shared" si="44"/>
        <v>0.213038888888889</v>
      </c>
      <c r="CB102">
        <f>IF(CA102=BO102,BP102,IF(CA102=BS102,BT102,IF(CA102=BW102,BX102,0)))</f>
        <v>9</v>
      </c>
      <c r="CC102">
        <f>IF(CA102=BO102,BQ102,IF(CA102=BS102,BU102,IF(CA102=BW102,BY102,0)))</f>
        <v>9.9816199999999995</v>
      </c>
      <c r="CD102">
        <f t="shared" si="45"/>
        <v>0</v>
      </c>
      <c r="CE102">
        <f t="shared" si="46"/>
        <v>0.213038888888889</v>
      </c>
      <c r="CF102">
        <f>IF(CE102=BO102,BP102,IF(CE102=BS102,BT102,IF(CE102=BW102,BX102,IF(CE102=CA102,CB102,0))))</f>
        <v>9</v>
      </c>
      <c r="CG102">
        <f>IF(CE102=BO102,BQ102,IF(CE102=BS102,BU102,IF(CE102=BW102,BY102,IF(CE102=CA102,CC102,0))))</f>
        <v>9.9816199999999995</v>
      </c>
      <c r="CH102">
        <f t="shared" si="47"/>
        <v>0</v>
      </c>
      <c r="CI102">
        <f t="shared" si="48"/>
        <v>0.213038888888889</v>
      </c>
      <c r="CJ102">
        <f>IF(CI102=BO102,BP102,IF(CI102=BS102,BT102,IF(CI102=BW102,BX102,IF(CI102=CA102,CB102,IF(CI102=CE102,CF102,0)))))</f>
        <v>9</v>
      </c>
      <c r="CK102">
        <f>IF(CI102=BO102,BQ102,IF(CI102=BS102,BU102,IF(CI102=BW102,BY102,IF(CI102=CA102,CC102,IF(CI102=CE102,CG102,0)))))</f>
        <v>9.9816199999999995</v>
      </c>
      <c r="CL102">
        <f t="shared" si="49"/>
        <v>0</v>
      </c>
      <c r="CM102">
        <f t="shared" si="50"/>
        <v>0.213038888888889</v>
      </c>
      <c r="CN102">
        <f>IF(CM102=BO102,BP102,IF(CM102=BS102,BT102,IF(CM102=BW102,BX102,IF(CM102=CA102,CB102,IF(CM102=CE102,CF102,IF(CM102=CI102,CJ102,0))))))</f>
        <v>9</v>
      </c>
      <c r="CO102">
        <f>IF(CM102=BO102,BQ102,IF(CM102=BS102,BU102,IF(CM102=BW102,BY102,IF(CM102=CA102,CC102,IF(CM102=CE102,CG102,IF(CM102=CI102,CK102,0))))))</f>
        <v>9.9816199999999995</v>
      </c>
      <c r="CP102">
        <f t="shared" si="51"/>
        <v>0</v>
      </c>
      <c r="CQ102">
        <f t="shared" si="52"/>
        <v>0.213038888888889</v>
      </c>
      <c r="CR102">
        <f>IF(CQ102=BO102,BP102,IF(CQ102=BS102,BT102,IF(CQ102=BW102,BX102,IF(CQ102=CA102,CB102,IF(CQ102=CE102,CF102,IF(CQ102=CI102,CJ102,IF(CQ102=CM102,CN102,0)))))))</f>
        <v>9</v>
      </c>
      <c r="CS102">
        <f>IF(CQ102=BO102,BQ102,IF(CQ102=BS102,BU102,IF(CQ102=BW102,BY102,IF(CQ102=CA102,CC102,IF(CQ102=CE102,CG102,IF(CQ102=CI102,CK102,IF(CQ102=CM102,CO102,0)))))))</f>
        <v>9.9816199999999995</v>
      </c>
      <c r="CT102">
        <f t="shared" si="53"/>
        <v>0</v>
      </c>
      <c r="CU102">
        <f t="shared" si="54"/>
        <v>0.22090833333333301</v>
      </c>
      <c r="CV102">
        <v>6</v>
      </c>
      <c r="CW102">
        <v>8.9964999999999993</v>
      </c>
      <c r="CX102">
        <f t="shared" si="55"/>
        <v>0</v>
      </c>
      <c r="CY102">
        <f t="shared" si="56"/>
        <v>0.213038888888889</v>
      </c>
      <c r="CZ102">
        <f>IF(CY102=BO102,BP102,IF(CY102=BS102,BT102,IF(CY102=BW102,BX102,IF(CY102=CA102,CB102,IF(CY102=CE102,CF102,IF(CY102=CI102,CJ102,IF(CY102=CM102,CN102,IF(CY102=CQ102,CR102,IF(CY102=CU102,CV102,0)))))))))</f>
        <v>9</v>
      </c>
      <c r="DA102">
        <f>IF(CY102=BO102,BQ102,IF(CY102=BS102,BU102,IF(CY102=BW102,BY102,IF(CY102=CA102,CC102,IF(CY102=CE102,CG102,IF(CY102=CI102,CK102,IF(CY102=CM102,CO102,IF(CY102=CQ102,CS102,IF(CY102=CU102,CW102,0)))))))))</f>
        <v>9.9816199999999995</v>
      </c>
      <c r="DB102">
        <f t="shared" si="57"/>
        <v>0</v>
      </c>
      <c r="DC102">
        <f t="shared" si="58"/>
        <v>0.213038888888889</v>
      </c>
      <c r="DD102">
        <f>IF(DC102=BO102,BP102,IF(DC102=BS102,BT102,IF(DC102=BW102,BX102,IF(DC102=CA102,CB102,IF(DC102=CE102,CF102,IF(DC102=CI102,CJ102,IF(DC102=CM102,CN102,IF(DC102=CQ102,CR102,IF(DC102=CU102,CV102,IF(DC102=CY102,CZ102,0))))))))))</f>
        <v>9</v>
      </c>
      <c r="DE102">
        <f>IF(DC102=BO102,BQ102,IF(DC102=BS102,BU102,IF(DC102=BW102,BY102,IF(DC102=CA102,CC102,IF(DC102=CE102,CG102,IF(DC102=CI102,CK102,IF(DC102=CM102,CO102,IF(DC102=CQ102,CS102,IF(DC102=CU102,CW102,IF(DC102=CY102,DA102,0))))))))))</f>
        <v>9.9816199999999995</v>
      </c>
      <c r="DF102">
        <f t="shared" si="59"/>
        <v>0</v>
      </c>
      <c r="DG102">
        <f t="shared" si="60"/>
        <v>0.213038888888889</v>
      </c>
      <c r="DH102">
        <f>IF(DG102=BO102,BP102,IF(DG102=BS102,BT102,IF(DG102=BW102,BX102,IF(DG102=CA102,CB102,IF(DG102=CE102,CF102,IF(DG102=CI102,CJ102,IF(DG102=CM102,CN102,IF(DG102=CQ102,CR102,IF(DG102=CU102,CV102,IF(DG102=CY102,CZ102,IF(DG102=DC102,DD102,0)))))))))))</f>
        <v>9</v>
      </c>
      <c r="DI102">
        <f>IF(DG102=BO102,BQ102,IF(DG102=BS102,BU102,IF(DG102=BW102,BY102,IF(DG102=CA102,CC102,IF(DG102=CE102,CG102,IF(DG102=CI102,CK102,IF(DG102=CM102,CO102,IF(DG102=CQ102,CS102,IF(DG102=CU102,CW102,IF(DG102=CY102,DA102,IF(DG102=DC102,DE102,0)))))))))))</f>
        <v>9.9816199999999995</v>
      </c>
      <c r="DJ102">
        <f t="shared" si="61"/>
        <v>0</v>
      </c>
      <c r="DK102">
        <f t="shared" si="62"/>
        <v>0.213038888888889</v>
      </c>
      <c r="DL102">
        <f>IF(DK102=BO102,BP102,IF(DK102=BS102,BT102,IF(DK102=BW102,BX102,IF(DK102=CA102,CB102,IF(DK102=CE102,CF102,IF(DK102=CI102,CJ102,IF(DK102=CM102,CN102,IF(DK102=CQ102,CR102,IF(DK102=CU102,CV102,IF(DK102=CY102,CZ102,IF(DK102=DC102,DD102,IF(DK102=DG102,DH102,0))))))))))))</f>
        <v>9</v>
      </c>
      <c r="DM102">
        <f>IF(DK102=BO102,BQ102,IF(DK102=BS102,BU102,IF(DK102=BW102,BY102,IF(DK102=CA102,CC102,IF(DK102=CE102,CG102,IF(DK102=CI102,CK102,IF(DK102=CM102,CO102,IF(DK102=CQ102,CS102,IF(DK102=CU102,CW102,IF(DK102=CY102,DA102,IF(DK102=DC102,DE102,IF(DK102=DG102,DI102,0))))))))))))</f>
        <v>9.9816199999999995</v>
      </c>
      <c r="DN102">
        <f t="shared" si="63"/>
        <v>0</v>
      </c>
      <c r="DO102">
        <f t="shared" si="64"/>
        <v>0.213038888888889</v>
      </c>
      <c r="DP102">
        <f>IF(DO102=BO102,BP102,IF(DO102=BS102,BT102,IF(DO102=BW102,BX102,IF(DO102=CA102,CB102,IF(DO102=CE102,CF102,IF(DO102=CI102,CJ102,IF(DO102=CM102,CN102,IF(DO102=CQ102,CR102,IF(DO102=CU102,CV102,IF(DO102=CY102,CZ102,IF(DO102=DC102,DD102,IF(DO102=DG102,DH102,IF(DO102=DK102,DL102,0)))))))))))))</f>
        <v>9</v>
      </c>
      <c r="DQ102">
        <f>IF(DO102=BO102,BQ102,IF(DO102=BS102,BU102,IF(DO102=BW102,BY102,IF(DO102=CA102,CC102,IF(DO102=CE102,CG102,IF(DO102=CI102,CK102,IF(DO102=CM102,CO102,IF(DO102=CQ102,CS102,IF(DO102=CU102,CW102,IF(DO102=CY102,DA102,IF(DO102=DC102,DE102,IF(DO102=DG102,DI102,IF(DO102=DK102,DM102,0)))))))))))))</f>
        <v>9.9816199999999995</v>
      </c>
      <c r="DR102">
        <f t="shared" si="65"/>
        <v>0</v>
      </c>
      <c r="DS102">
        <f t="shared" si="66"/>
        <v>0.213038888888889</v>
      </c>
      <c r="DT102">
        <f>IF(DS102=BO102,BP102,IF(DS102=BS102,BT102,IF(DS102=BW102,BX102,IF(DS102=CA102,CB102,IF(DS102=CE102,CF102,IF(DS102=CI102,CJ102,IF(DS102=CM102,CN102,IF(DS102=CQ102,CR102,IF(DS102=CU102,CV102,IF(DS102=CY102,CZ102,IF(DS102=DC102,DD102,IF(DS102=DG102,DH102,IF(DS102=DK102,DL102,IF(DS102=DO102,DP102,0))))))))))))))</f>
        <v>9</v>
      </c>
      <c r="DU102">
        <f>IF(DS102=BO102,BQ102,IF(DS102=BS102,BU102,IF(DS102=BW102,BY102,IF(DS102=CA102,CC102,IF(DS102=CE102,CG102,IF(DS102=CI102,CK102,IF(DS102=CM102,CO102,IF(DS102=CQ102,CS102,IF(DS102=CU102,CW102,IF(DS102=CY102,DA102,IF(DS102=DC102,DE102,IF(DS102=DG102,DI102,IF(DS102=DK102,DM102,IF(DS102=DO102,DQ102,0))))))))))))))</f>
        <v>9.9816199999999995</v>
      </c>
      <c r="DV102">
        <f t="shared" si="67"/>
        <v>0</v>
      </c>
      <c r="DW102">
        <v>22500.5</v>
      </c>
      <c r="DX102">
        <v>2</v>
      </c>
      <c r="DY102">
        <v>0</v>
      </c>
      <c r="DZ102">
        <v>6</v>
      </c>
      <c r="EA102">
        <v>6</v>
      </c>
      <c r="EB102">
        <v>10.114099490560401</v>
      </c>
      <c r="EC102">
        <v>3</v>
      </c>
      <c r="ED102">
        <v>6.1555679999999997</v>
      </c>
      <c r="EE102">
        <v>0.213038888888889</v>
      </c>
      <c r="EF102">
        <v>9.9816199999999995</v>
      </c>
      <c r="EG102">
        <v>10.116124211868</v>
      </c>
      <c r="EH102">
        <v>9</v>
      </c>
      <c r="EI102">
        <v>0</v>
      </c>
      <c r="EJ102">
        <v>2.5952212000000001</v>
      </c>
      <c r="EK102">
        <v>1</v>
      </c>
      <c r="EL102">
        <v>1</v>
      </c>
      <c r="EM102">
        <v>21</v>
      </c>
      <c r="EN102">
        <v>1</v>
      </c>
      <c r="EO102">
        <v>3</v>
      </c>
      <c r="EP102">
        <v>8</v>
      </c>
      <c r="EQ102">
        <v>2</v>
      </c>
      <c r="ER102">
        <v>14.1987814663817</v>
      </c>
      <c r="ES102">
        <v>8.2318224372540403</v>
      </c>
      <c r="ET102">
        <v>14.387390437254</v>
      </c>
      <c r="EU102">
        <v>6.04978525434821</v>
      </c>
      <c r="EV102">
        <v>8.6450064543482092</v>
      </c>
      <c r="EW102">
        <v>2.7467934000000001</v>
      </c>
      <c r="EX102">
        <v>6.4759853446974196</v>
      </c>
      <c r="EY102">
        <v>9.2227787446974201</v>
      </c>
      <c r="EZ102">
        <v>2.5952212000000001</v>
      </c>
      <c r="FA102">
        <v>6.04978525434821</v>
      </c>
      <c r="FB102">
        <v>8.6450064543482092</v>
      </c>
      <c r="FC102">
        <v>4.7663824000000004</v>
      </c>
      <c r="FD102">
        <v>9.9009680807464697</v>
      </c>
      <c r="FE102">
        <v>14.667350480746499</v>
      </c>
      <c r="FF102">
        <v>2.5952212000000001</v>
      </c>
      <c r="FG102">
        <v>6.04978525434821</v>
      </c>
      <c r="FH102">
        <v>8.6450064543482092</v>
      </c>
    </row>
    <row r="103" spans="1:164" x14ac:dyDescent="0.2">
      <c r="A103">
        <v>102</v>
      </c>
      <c r="B103">
        <v>114</v>
      </c>
      <c r="C103">
        <v>176</v>
      </c>
      <c r="D103">
        <v>1</v>
      </c>
      <c r="E103">
        <v>11</v>
      </c>
      <c r="F103" t="s">
        <v>187</v>
      </c>
      <c r="G103" t="s">
        <v>296</v>
      </c>
      <c r="H103">
        <v>3</v>
      </c>
      <c r="I103">
        <v>1</v>
      </c>
      <c r="K103" t="s">
        <v>175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6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3</v>
      </c>
      <c r="AC103">
        <v>1</v>
      </c>
      <c r="AD103">
        <v>2</v>
      </c>
      <c r="AE103">
        <v>12</v>
      </c>
      <c r="AF103">
        <v>6</v>
      </c>
      <c r="AG103">
        <v>7</v>
      </c>
      <c r="AH103">
        <v>5</v>
      </c>
      <c r="AI103">
        <v>0.100186111111111</v>
      </c>
      <c r="AJ103">
        <v>1.81796</v>
      </c>
      <c r="AK103">
        <v>0.39201111111111098</v>
      </c>
      <c r="AL103">
        <v>23.15277</v>
      </c>
      <c r="AM103">
        <v>0.286122222222222</v>
      </c>
      <c r="AN103">
        <v>20.68262</v>
      </c>
      <c r="AO103">
        <v>0.28226388888888898</v>
      </c>
      <c r="AP103">
        <v>18.30913</v>
      </c>
      <c r="AQ103">
        <v>0.30556388888888902</v>
      </c>
      <c r="AR103">
        <v>18.63702</v>
      </c>
      <c r="AS103">
        <v>0.27074999999999999</v>
      </c>
      <c r="AT103">
        <v>15.13716</v>
      </c>
      <c r="AU103">
        <v>0.17009444444444399</v>
      </c>
      <c r="AV103">
        <v>9.6016200000000005</v>
      </c>
      <c r="AW103">
        <v>0.14537222222222199</v>
      </c>
      <c r="AX103">
        <v>7.5754400000000004</v>
      </c>
      <c r="AY103">
        <v>0.115452777777778</v>
      </c>
      <c r="AZ103">
        <v>4.3986200000000002</v>
      </c>
      <c r="BA103">
        <v>0.100444444444444</v>
      </c>
      <c r="BB103">
        <v>3.8156400000000001</v>
      </c>
      <c r="BC103">
        <v>3.9919444444444403E-2</v>
      </c>
      <c r="BD103">
        <v>0.60690999999999995</v>
      </c>
      <c r="BE103">
        <v>0.17330833333333301</v>
      </c>
      <c r="BF103">
        <v>8.8085000000000004</v>
      </c>
      <c r="BG103">
        <v>0.237183333333333</v>
      </c>
      <c r="BH103">
        <v>12.211349999999999</v>
      </c>
      <c r="BI103">
        <v>0.28100833333333303</v>
      </c>
      <c r="BJ103">
        <v>14.185269999999999</v>
      </c>
      <c r="BK103">
        <v>0.34915000000000002</v>
      </c>
      <c r="BL103">
        <v>21.000920000000001</v>
      </c>
      <c r="BM103">
        <v>0.39065277777777802</v>
      </c>
      <c r="BN103">
        <v>22.993600000000001</v>
      </c>
      <c r="BO103">
        <f t="shared" si="34"/>
        <v>3.9919444444444403E-2</v>
      </c>
      <c r="BP103">
        <v>10</v>
      </c>
      <c r="BQ103">
        <v>0.60690999999999995</v>
      </c>
      <c r="BR103">
        <f t="shared" si="35"/>
        <v>0</v>
      </c>
      <c r="BS103">
        <f t="shared" si="36"/>
        <v>3.9919444444444403E-2</v>
      </c>
      <c r="BT103">
        <f t="shared" si="37"/>
        <v>10</v>
      </c>
      <c r="BU103">
        <f t="shared" si="38"/>
        <v>0.60690999999999995</v>
      </c>
      <c r="BV103">
        <f t="shared" si="39"/>
        <v>0</v>
      </c>
      <c r="BW103">
        <f t="shared" si="40"/>
        <v>3.9919444444444403E-2</v>
      </c>
      <c r="BX103">
        <f t="shared" si="41"/>
        <v>10</v>
      </c>
      <c r="BY103">
        <f t="shared" si="42"/>
        <v>0.60690999999999995</v>
      </c>
      <c r="BZ103">
        <f t="shared" si="43"/>
        <v>0</v>
      </c>
      <c r="CA103">
        <f t="shared" si="44"/>
        <v>3.9919444444444403E-2</v>
      </c>
      <c r="CB103">
        <f>IF(CA103=BO103,BP103,IF(CA103=BS103,BT103,IF(CA103=BW103,BX103,0)))</f>
        <v>10</v>
      </c>
      <c r="CC103">
        <f>IF(CA103=BO103,BQ103,IF(CA103=BS103,BU103,IF(CA103=BW103,BY103,0)))</f>
        <v>0.60690999999999995</v>
      </c>
      <c r="CD103">
        <f t="shared" si="45"/>
        <v>0</v>
      </c>
      <c r="CE103">
        <f t="shared" si="46"/>
        <v>3.9919444444444403E-2</v>
      </c>
      <c r="CF103">
        <f>IF(CE103=BO103,BP103,IF(CE103=BS103,BT103,IF(CE103=BW103,BX103,IF(CE103=CA103,CB103,0))))</f>
        <v>10</v>
      </c>
      <c r="CG103">
        <f>IF(CE103=BO103,BQ103,IF(CE103=BS103,BU103,IF(CE103=BW103,BY103,IF(CE103=CA103,CC103,0))))</f>
        <v>0.60690999999999995</v>
      </c>
      <c r="CH103">
        <f t="shared" si="47"/>
        <v>0</v>
      </c>
      <c r="CI103">
        <f t="shared" si="48"/>
        <v>3.9919444444444403E-2</v>
      </c>
      <c r="CJ103">
        <f>IF(CI103=BO103,BP103,IF(CI103=BS103,BT103,IF(CI103=BW103,BX103,IF(CI103=CA103,CB103,IF(CI103=CE103,CF103,0)))))</f>
        <v>10</v>
      </c>
      <c r="CK103">
        <f>IF(CI103=BO103,BQ103,IF(CI103=BS103,BU103,IF(CI103=BW103,BY103,IF(CI103=CA103,CC103,IF(CI103=CE103,CG103,0)))))</f>
        <v>0.60690999999999995</v>
      </c>
      <c r="CL103">
        <f t="shared" si="49"/>
        <v>0</v>
      </c>
      <c r="CM103">
        <f t="shared" si="50"/>
        <v>3.9919444444444403E-2</v>
      </c>
      <c r="CN103">
        <f>IF(CM103=BO103,BP103,IF(CM103=BS103,BT103,IF(CM103=BW103,BX103,IF(CM103=CA103,CB103,IF(CM103=CE103,CF103,IF(CM103=CI103,CJ103,0))))))</f>
        <v>10</v>
      </c>
      <c r="CO103">
        <f>IF(CM103=BO103,BQ103,IF(CM103=BS103,BU103,IF(CM103=BW103,BY103,IF(CM103=CA103,CC103,IF(CM103=CE103,CG103,IF(CM103=CI103,CK103,0))))))</f>
        <v>0.60690999999999995</v>
      </c>
      <c r="CP103">
        <f t="shared" si="51"/>
        <v>0</v>
      </c>
      <c r="CQ103">
        <f t="shared" si="52"/>
        <v>3.9919444444444403E-2</v>
      </c>
      <c r="CR103">
        <f>IF(CQ103=BO103,BP103,IF(CQ103=BS103,BT103,IF(CQ103=BW103,BX103,IF(CQ103=CA103,CB103,IF(CQ103=CE103,CF103,IF(CQ103=CI103,CJ103,IF(CQ103=CM103,CN103,0)))))))</f>
        <v>10</v>
      </c>
      <c r="CS103">
        <f>IF(CQ103=BO103,BQ103,IF(CQ103=BS103,BU103,IF(CQ103=BW103,BY103,IF(CQ103=CA103,CC103,IF(CQ103=CE103,CG103,IF(CQ103=CI103,CK103,IF(CQ103=CM103,CO103,0)))))))</f>
        <v>0.60690999999999995</v>
      </c>
      <c r="CT103">
        <f t="shared" si="53"/>
        <v>0</v>
      </c>
      <c r="CU103">
        <f t="shared" si="54"/>
        <v>3.9919444444444403E-2</v>
      </c>
      <c r="CV103">
        <f>IF(CU103=BO103,BP103,IF(CU103=BS103,BT103,IF(CU103=BW103,BX103,IF(CU103=CA103,CB103,IF(CU103=CE103,CF103,IF(CU103=CI103,CJ103,IF(CU103=CM103,CN103,IF(CU103=CQ103,CR103,0))))))))</f>
        <v>10</v>
      </c>
      <c r="CW103">
        <f>IF(CU103=BO103,BQ103,IF(CU103=BS103,BU103,IF(CU103=BW103,BY103,IF(CU103=CA103,CC103,IF(CU103=CE103,CG103,IF(CU103=CI103,CK103,IF(CU103=CM103,CO103,IF(CU103=CQ103,CS103,0))))))))</f>
        <v>0.60690999999999995</v>
      </c>
      <c r="CX103">
        <f t="shared" si="55"/>
        <v>0</v>
      </c>
      <c r="CY103">
        <f t="shared" si="56"/>
        <v>0.100186111111111</v>
      </c>
      <c r="CZ103" t="s">
        <v>407</v>
      </c>
      <c r="DA103">
        <v>1.81796</v>
      </c>
      <c r="DB103">
        <v>4</v>
      </c>
      <c r="DC103">
        <f t="shared" si="58"/>
        <v>3.9919444444444403E-2</v>
      </c>
      <c r="DD103">
        <f>IF(DC103=BO103,BP103,IF(DC103=BS103,BT103,IF(DC103=BW103,BX103,IF(DC103=CA103,CB103,IF(DC103=CE103,CF103,IF(DC103=CI103,CJ103,IF(DC103=CM103,CN103,IF(DC103=CQ103,CR103,IF(DC103=CU103,CV103,IF(DC103=CY103,CZ103,0))))))))))</f>
        <v>10</v>
      </c>
      <c r="DE103">
        <f>IF(DC103=BO103,BQ103,IF(DC103=BS103,BU103,IF(DC103=BW103,BY103,IF(DC103=CA103,CC103,IF(DC103=CE103,CG103,IF(DC103=CI103,CK103,IF(DC103=CM103,CO103,IF(DC103=CQ103,CS103,IF(DC103=CU103,CW103,IF(DC103=CY103,DA103,0))))))))))</f>
        <v>0.60690999999999995</v>
      </c>
      <c r="DF103">
        <f t="shared" si="59"/>
        <v>0</v>
      </c>
      <c r="DG103">
        <f t="shared" si="60"/>
        <v>3.9919444444444403E-2</v>
      </c>
      <c r="DH103">
        <f>IF(DG103=BO103,BP103,IF(DG103=BS103,BT103,IF(DG103=BW103,BX103,IF(DG103=CA103,CB103,IF(DG103=CE103,CF103,IF(DG103=CI103,CJ103,IF(DG103=CM103,CN103,IF(DG103=CQ103,CR103,IF(DG103=CU103,CV103,IF(DG103=CY103,CZ103,IF(DG103=DC103,DD103,0)))))))))))</f>
        <v>10</v>
      </c>
      <c r="DI103">
        <f>IF(DG103=BO103,BQ103,IF(DG103=BS103,BU103,IF(DG103=BW103,BY103,IF(DG103=CA103,CC103,IF(DG103=CE103,CG103,IF(DG103=CI103,CK103,IF(DG103=CM103,CO103,IF(DG103=CQ103,CS103,IF(DG103=CU103,CW103,IF(DG103=CY103,DA103,IF(DG103=DC103,DE103,0)))))))))))</f>
        <v>0.60690999999999995</v>
      </c>
      <c r="DJ103">
        <f t="shared" si="61"/>
        <v>0</v>
      </c>
      <c r="DK103">
        <f t="shared" si="62"/>
        <v>3.9919444444444403E-2</v>
      </c>
      <c r="DL103">
        <f>IF(DK103=BO103,BP103,IF(DK103=BS103,BT103,IF(DK103=BW103,BX103,IF(DK103=CA103,CB103,IF(DK103=CE103,CF103,IF(DK103=CI103,CJ103,IF(DK103=CM103,CN103,IF(DK103=CQ103,CR103,IF(DK103=CU103,CV103,IF(DK103=CY103,CZ103,IF(DK103=DC103,DD103,IF(DK103=DG103,DH103,0))))))))))))</f>
        <v>10</v>
      </c>
      <c r="DM103">
        <f>IF(DK103=BO103,BQ103,IF(DK103=BS103,BU103,IF(DK103=BW103,BY103,IF(DK103=CA103,CC103,IF(DK103=CE103,CG103,IF(DK103=CI103,CK103,IF(DK103=CM103,CO103,IF(DK103=CQ103,CS103,IF(DK103=CU103,CW103,IF(DK103=CY103,DA103,IF(DK103=DC103,DE103,IF(DK103=DG103,DI103,0))))))))))))</f>
        <v>0.60690999999999995</v>
      </c>
      <c r="DN103">
        <f t="shared" si="63"/>
        <v>0</v>
      </c>
      <c r="DO103">
        <f t="shared" si="64"/>
        <v>3.9919444444444403E-2</v>
      </c>
      <c r="DP103">
        <f>IF(DO103=BO103,BP103,IF(DO103=BS103,BT103,IF(DO103=BW103,BX103,IF(DO103=CA103,CB103,IF(DO103=CE103,CF103,IF(DO103=CI103,CJ103,IF(DO103=CM103,CN103,IF(DO103=CQ103,CR103,IF(DO103=CU103,CV103,IF(DO103=CY103,CZ103,IF(DO103=DC103,DD103,IF(DO103=DG103,DH103,IF(DO103=DK103,DL103,0)))))))))))))</f>
        <v>10</v>
      </c>
      <c r="DQ103">
        <f>IF(DO103=BO103,BQ103,IF(DO103=BS103,BU103,IF(DO103=BW103,BY103,IF(DO103=CA103,CC103,IF(DO103=CE103,CG103,IF(DO103=CI103,CK103,IF(DO103=CM103,CO103,IF(DO103=CQ103,CS103,IF(DO103=CU103,CW103,IF(DO103=CY103,DA103,IF(DO103=DC103,DE103,IF(DO103=DG103,DI103,IF(DO103=DK103,DM103,0)))))))))))))</f>
        <v>0.60690999999999995</v>
      </c>
      <c r="DR103">
        <f t="shared" si="65"/>
        <v>0</v>
      </c>
      <c r="DS103">
        <f t="shared" si="66"/>
        <v>3.9919444444444403E-2</v>
      </c>
      <c r="DT103">
        <f>IF(DS103=BO103,BP103,IF(DS103=BS103,BT103,IF(DS103=BW103,BX103,IF(DS103=CA103,CB103,IF(DS103=CE103,CF103,IF(DS103=CI103,CJ103,IF(DS103=CM103,CN103,IF(DS103=CQ103,CR103,IF(DS103=CU103,CV103,IF(DS103=CY103,CZ103,IF(DS103=DC103,DD103,IF(DS103=DG103,DH103,IF(DS103=DK103,DL103,IF(DS103=DO103,DP103,0))))))))))))))</f>
        <v>10</v>
      </c>
      <c r="DU103">
        <f>IF(DS103=BO103,BQ103,IF(DS103=BS103,BU103,IF(DS103=BW103,BY103,IF(DS103=CA103,CC103,IF(DS103=CE103,CG103,IF(DS103=CI103,CK103,IF(DS103=CM103,CO103,IF(DS103=CQ103,CS103,IF(DS103=CU103,CW103,IF(DS103=CY103,DA103,IF(DS103=DC103,DE103,IF(DS103=DG103,DI103,IF(DS103=DK103,DM103,IF(DS103=DO103,DQ103,0))))))))))))))</f>
        <v>0.60690999999999995</v>
      </c>
      <c r="DV103">
        <f t="shared" si="67"/>
        <v>0</v>
      </c>
      <c r="DW103">
        <v>31226.480769230799</v>
      </c>
      <c r="DX103">
        <v>3</v>
      </c>
      <c r="DY103">
        <v>0</v>
      </c>
      <c r="DZ103">
        <v>0</v>
      </c>
      <c r="EA103">
        <v>0</v>
      </c>
      <c r="EB103">
        <v>14.0364762223093</v>
      </c>
      <c r="EC103">
        <v>0</v>
      </c>
      <c r="ED103">
        <v>0</v>
      </c>
      <c r="EE103">
        <v>3.9919444444444403E-2</v>
      </c>
      <c r="EF103">
        <v>0.60690999999999995</v>
      </c>
      <c r="EG103">
        <v>2.8125199328335002</v>
      </c>
      <c r="EH103">
        <v>10</v>
      </c>
      <c r="EI103">
        <v>0</v>
      </c>
      <c r="EJ103">
        <v>0</v>
      </c>
      <c r="EK103">
        <v>0</v>
      </c>
      <c r="EL103">
        <v>5</v>
      </c>
      <c r="EM103">
        <v>38</v>
      </c>
      <c r="EN103">
        <v>1</v>
      </c>
      <c r="EO103">
        <v>4</v>
      </c>
      <c r="EP103">
        <v>5</v>
      </c>
      <c r="EQ103">
        <v>6</v>
      </c>
      <c r="ER103">
        <v>14.1987814663817</v>
      </c>
      <c r="ES103">
        <v>2.8450413952666</v>
      </c>
      <c r="ET103">
        <v>2.8450413952666</v>
      </c>
      <c r="EU103">
        <v>1.13361493585206</v>
      </c>
      <c r="EV103">
        <v>1.13361493585206</v>
      </c>
      <c r="EW103">
        <v>0</v>
      </c>
      <c r="EX103">
        <v>3.2785775227067901</v>
      </c>
      <c r="EY103">
        <v>3.2785775227067901</v>
      </c>
      <c r="EZ103">
        <v>0</v>
      </c>
      <c r="FA103">
        <v>1.13361493585206</v>
      </c>
      <c r="FB103">
        <v>1.13361493585206</v>
      </c>
      <c r="FC103">
        <v>0</v>
      </c>
      <c r="FD103">
        <v>8.0156065483687495</v>
      </c>
      <c r="FE103">
        <v>8.0156065483687495</v>
      </c>
      <c r="FF103">
        <v>0</v>
      </c>
      <c r="FG103">
        <v>1.13361493585206</v>
      </c>
      <c r="FH103">
        <v>1.13361493585206</v>
      </c>
    </row>
    <row r="104" spans="1:164" x14ac:dyDescent="0.2">
      <c r="A104">
        <v>103</v>
      </c>
      <c r="B104">
        <v>115</v>
      </c>
      <c r="C104">
        <v>179</v>
      </c>
      <c r="D104">
        <v>3</v>
      </c>
      <c r="E104">
        <v>12</v>
      </c>
      <c r="F104" t="s">
        <v>297</v>
      </c>
      <c r="G104" t="s">
        <v>298</v>
      </c>
      <c r="H104">
        <v>3</v>
      </c>
      <c r="I104">
        <v>7</v>
      </c>
      <c r="J104" t="s">
        <v>299</v>
      </c>
      <c r="K104" t="s">
        <v>300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2</v>
      </c>
      <c r="AE104">
        <v>4</v>
      </c>
      <c r="AF104">
        <v>2</v>
      </c>
      <c r="AG104">
        <v>5</v>
      </c>
      <c r="AH104">
        <v>4</v>
      </c>
      <c r="AI104">
        <v>0.15946388888888899</v>
      </c>
      <c r="AJ104">
        <v>3.54874</v>
      </c>
      <c r="AK104">
        <v>0.45059722222222198</v>
      </c>
      <c r="AL104">
        <v>24.363009999999999</v>
      </c>
      <c r="AM104">
        <v>0.34470833333333301</v>
      </c>
      <c r="AN104">
        <v>21.892869999999998</v>
      </c>
      <c r="AO104">
        <v>0.34084999999999999</v>
      </c>
      <c r="AP104">
        <v>19.519380000000002</v>
      </c>
      <c r="AQ104">
        <v>0.36414999999999997</v>
      </c>
      <c r="AR104">
        <v>19.847270000000002</v>
      </c>
      <c r="AS104">
        <v>0.329336111111111</v>
      </c>
      <c r="AT104">
        <v>16.34741</v>
      </c>
      <c r="AU104">
        <v>0.228680555555556</v>
      </c>
      <c r="AV104">
        <v>10.811870000000001</v>
      </c>
      <c r="AW104">
        <v>0.203955555555556</v>
      </c>
      <c r="AX104">
        <v>8.7856900000000007</v>
      </c>
      <c r="AY104">
        <v>0.19189999999999999</v>
      </c>
      <c r="AZ104">
        <v>7.2088900000000002</v>
      </c>
      <c r="BA104">
        <v>0.176891666666667</v>
      </c>
      <c r="BB104">
        <v>6.6259199999999998</v>
      </c>
      <c r="BC104">
        <v>0.172044444444444</v>
      </c>
      <c r="BD104">
        <v>4.0597799999999999</v>
      </c>
      <c r="BE104">
        <v>0.20132777777777799</v>
      </c>
      <c r="BF104">
        <v>9.4460899999999999</v>
      </c>
      <c r="BG104">
        <v>0.26519999999999999</v>
      </c>
      <c r="BH104">
        <v>12.848940000000001</v>
      </c>
      <c r="BI104">
        <v>0.30902777777777801</v>
      </c>
      <c r="BJ104">
        <v>14.82286</v>
      </c>
      <c r="BK104">
        <v>0.37716666666666698</v>
      </c>
      <c r="BL104">
        <v>21.63851</v>
      </c>
      <c r="BM104">
        <v>0.418672222222222</v>
      </c>
      <c r="BN104">
        <v>23.631180000000001</v>
      </c>
      <c r="BO104">
        <f t="shared" si="34"/>
        <v>0.15946388888888899</v>
      </c>
      <c r="BP104" t="s">
        <v>407</v>
      </c>
      <c r="BQ104">
        <v>3.54874</v>
      </c>
      <c r="BR104">
        <v>4</v>
      </c>
      <c r="BS104">
        <f t="shared" si="36"/>
        <v>0.15946388888888899</v>
      </c>
      <c r="BT104" t="str">
        <f t="shared" si="37"/>
        <v>AMP</v>
      </c>
      <c r="BU104">
        <f t="shared" si="38"/>
        <v>3.54874</v>
      </c>
      <c r="BV104">
        <v>4</v>
      </c>
      <c r="BW104">
        <f t="shared" si="40"/>
        <v>0.15946388888888899</v>
      </c>
      <c r="BX104" t="str">
        <f t="shared" si="41"/>
        <v>AMP</v>
      </c>
      <c r="BY104">
        <f t="shared" si="42"/>
        <v>3.54874</v>
      </c>
      <c r="BZ104">
        <v>4</v>
      </c>
      <c r="CA104">
        <f t="shared" si="44"/>
        <v>0.15946388888888899</v>
      </c>
      <c r="CB104" t="str">
        <f>IF(CA104=BO104,BP104,IF(CA104=BS104,BT104,IF(CA104=BW104,BX104,0)))</f>
        <v>AMP</v>
      </c>
      <c r="CC104">
        <f>IF(CA104=BO104,BQ104,IF(CA104=BS104,BU104,IF(CA104=BW104,BY104,0)))</f>
        <v>3.54874</v>
      </c>
      <c r="CD104">
        <v>4</v>
      </c>
      <c r="CE104">
        <f t="shared" si="46"/>
        <v>0.15946388888888899</v>
      </c>
      <c r="CF104" t="str">
        <f>IF(CE104=BO104,BP104,IF(CE104=BS104,BT104,IF(CE104=BW104,BX104,IF(CE104=CA104,CB104,0))))</f>
        <v>AMP</v>
      </c>
      <c r="CG104">
        <f>IF(CE104=BO104,BQ104,IF(CE104=BS104,BU104,IF(CE104=BW104,BY104,IF(CE104=CA104,CC104,0))))</f>
        <v>3.54874</v>
      </c>
      <c r="CH104">
        <v>4</v>
      </c>
      <c r="CI104">
        <f t="shared" si="48"/>
        <v>0.15946388888888899</v>
      </c>
      <c r="CJ104" t="str">
        <f>IF(CI104=BO104,BP104,IF(CI104=BS104,BT104,IF(CI104=BW104,BX104,IF(CI104=CA104,CB104,IF(CI104=CE104,CF104,0)))))</f>
        <v>AMP</v>
      </c>
      <c r="CK104">
        <f>IF(CI104=BO104,BQ104,IF(CI104=BS104,BU104,IF(CI104=BW104,BY104,IF(CI104=CA104,CC104,IF(CI104=CE104,CG104,0)))))</f>
        <v>3.54874</v>
      </c>
      <c r="CL104">
        <v>4</v>
      </c>
      <c r="CM104">
        <f t="shared" si="50"/>
        <v>0.15946388888888899</v>
      </c>
      <c r="CN104" t="str">
        <f>IF(CM104=BO104,BP104,IF(CM104=BS104,BT104,IF(CM104=BW104,BX104,IF(CM104=CA104,CB104,IF(CM104=CE104,CF104,IF(CM104=CI104,CJ104,0))))))</f>
        <v>AMP</v>
      </c>
      <c r="CO104">
        <f>IF(CM104=BO104,BQ104,IF(CM104=BS104,BU104,IF(CM104=BW104,BY104,IF(CM104=CA104,CC104,IF(CM104=CE104,CG104,IF(CM104=CI104,CK104,0))))))</f>
        <v>3.54874</v>
      </c>
      <c r="CP104">
        <v>4</v>
      </c>
      <c r="CQ104">
        <f t="shared" si="52"/>
        <v>0.15946388888888899</v>
      </c>
      <c r="CR104" t="str">
        <f>IF(CQ104=BO104,BP104,IF(CQ104=BS104,BT104,IF(CQ104=BW104,BX104,IF(CQ104=CA104,CB104,IF(CQ104=CE104,CF104,IF(CQ104=CI104,CJ104,IF(CQ104=CM104,CN104,0)))))))</f>
        <v>AMP</v>
      </c>
      <c r="CS104">
        <f>IF(CQ104=BO104,BQ104,IF(CQ104=BS104,BU104,IF(CQ104=BW104,BY104,IF(CQ104=CA104,CC104,IF(CQ104=CE104,CG104,IF(CQ104=CI104,CK104,IF(CQ104=CM104,CO104,0)))))))</f>
        <v>3.54874</v>
      </c>
      <c r="CT104">
        <v>4</v>
      </c>
      <c r="CU104">
        <f t="shared" si="54"/>
        <v>0.15946388888888899</v>
      </c>
      <c r="CV104" t="str">
        <f>IF(CU104=BO104,BP104,IF(CU104=BS104,BT104,IF(CU104=BW104,BX104,IF(CU104=CA104,CB104,IF(CU104=CE104,CF104,IF(CU104=CI104,CJ104,IF(CU104=CM104,CN104,IF(CU104=CQ104,CR104,0))))))))</f>
        <v>AMP</v>
      </c>
      <c r="CW104">
        <f>IF(CU104=BO104,BQ104,IF(CU104=BS104,BU104,IF(CU104=BW104,BY104,IF(CU104=CA104,CC104,IF(CU104=CE104,CG104,IF(CU104=CI104,CK104,IF(CU104=CM104,CO104,IF(CU104=CQ104,CS104,0))))))))</f>
        <v>3.54874</v>
      </c>
      <c r="CX104">
        <v>4</v>
      </c>
      <c r="CY104">
        <f t="shared" si="56"/>
        <v>0.15946388888888899</v>
      </c>
      <c r="CZ104" t="str">
        <f>IF(CY104=BO104,BP104,IF(CY104=BS104,BT104,IF(CY104=BW104,BX104,IF(CY104=CA104,CB104,IF(CY104=CE104,CF104,IF(CY104=CI104,CJ104,IF(CY104=CM104,CN104,IF(CY104=CQ104,CR104,IF(CY104=CU104,CV104,0)))))))))</f>
        <v>AMP</v>
      </c>
      <c r="DA104">
        <f>IF(CY104=BO104,BQ104,IF(CY104=BS104,BU104,IF(CY104=BW104,BY104,IF(CY104=CA104,CC104,IF(CY104=CE104,CG104,IF(CY104=CI104,CK104,IF(CY104=CM104,CO104,IF(CY104=CQ104,CS104,IF(CY104=CU104,CW104,0)))))))))</f>
        <v>3.54874</v>
      </c>
      <c r="DB104">
        <v>4</v>
      </c>
      <c r="DC104">
        <f t="shared" si="58"/>
        <v>0.15946388888888899</v>
      </c>
      <c r="DD104" t="str">
        <f>IF(DC104=BO104,BP104,IF(DC104=BS104,BT104,IF(DC104=BW104,BX104,IF(DC104=CA104,CB104,IF(DC104=CE104,CF104,IF(DC104=CI104,CJ104,IF(DC104=CM104,CN104,IF(DC104=CQ104,CR104,IF(DC104=CU104,CV104,IF(DC104=CY104,CZ104,0))))))))))</f>
        <v>AMP</v>
      </c>
      <c r="DE104">
        <f>IF(DC104=BO104,BQ104,IF(DC104=BS104,BU104,IF(DC104=BW104,BY104,IF(DC104=CA104,CC104,IF(DC104=CE104,CG104,IF(DC104=CI104,CK104,IF(DC104=CM104,CO104,IF(DC104=CQ104,CS104,IF(DC104=CU104,CW104,IF(DC104=CY104,DA104,0))))))))))</f>
        <v>3.54874</v>
      </c>
      <c r="DF104">
        <v>4</v>
      </c>
      <c r="DG104">
        <f t="shared" si="60"/>
        <v>0.15946388888888899</v>
      </c>
      <c r="DH104" t="str">
        <f>IF(DG104=BO104,BP104,IF(DG104=BS104,BT104,IF(DG104=BW104,BX104,IF(DG104=CA104,CB104,IF(DG104=CE104,CF104,IF(DG104=CI104,CJ104,IF(DG104=CM104,CN104,IF(DG104=CQ104,CR104,IF(DG104=CU104,CV104,IF(DG104=CY104,CZ104,IF(DG104=DC104,DD104,0)))))))))))</f>
        <v>AMP</v>
      </c>
      <c r="DI104">
        <f>IF(DG104=BO104,BQ104,IF(DG104=BS104,BU104,IF(DG104=BW104,BY104,IF(DG104=CA104,CC104,IF(DG104=CE104,CG104,IF(DG104=CI104,CK104,IF(DG104=CM104,CO104,IF(DG104=CQ104,CS104,IF(DG104=CU104,CW104,IF(DG104=CY104,DA104,IF(DG104=DC104,DE104,0)))))))))))</f>
        <v>3.54874</v>
      </c>
      <c r="DJ104">
        <v>4</v>
      </c>
      <c r="DK104">
        <f t="shared" si="62"/>
        <v>0.15946388888888899</v>
      </c>
      <c r="DL104" t="str">
        <f>IF(DK104=BO104,BP104,IF(DK104=BS104,BT104,IF(DK104=BW104,BX104,IF(DK104=CA104,CB104,IF(DK104=CE104,CF104,IF(DK104=CI104,CJ104,IF(DK104=CM104,CN104,IF(DK104=CQ104,CR104,IF(DK104=CU104,CV104,IF(DK104=CY104,CZ104,IF(DK104=DC104,DD104,IF(DK104=DG104,DH104,0))))))))))))</f>
        <v>AMP</v>
      </c>
      <c r="DM104">
        <f>IF(DK104=BO104,BQ104,IF(DK104=BS104,BU104,IF(DK104=BW104,BY104,IF(DK104=CA104,CC104,IF(DK104=CE104,CG104,IF(DK104=CI104,CK104,IF(DK104=CM104,CO104,IF(DK104=CQ104,CS104,IF(DK104=CU104,CW104,IF(DK104=CY104,DA104,IF(DK104=DC104,DE104,IF(DK104=DG104,DI104,0))))))))))))</f>
        <v>3.54874</v>
      </c>
      <c r="DN104">
        <v>4</v>
      </c>
      <c r="DO104">
        <f t="shared" si="64"/>
        <v>0.15946388888888899</v>
      </c>
      <c r="DP104" t="str">
        <f>IF(DO104=BO104,BP104,IF(DO104=BS104,BT104,IF(DO104=BW104,BX104,IF(DO104=CA104,CB104,IF(DO104=CE104,CF104,IF(DO104=CI104,CJ104,IF(DO104=CM104,CN104,IF(DO104=CQ104,CR104,IF(DO104=CU104,CV104,IF(DO104=CY104,CZ104,IF(DO104=DC104,DD104,IF(DO104=DG104,DH104,IF(DO104=DK104,DL104,0)))))))))))))</f>
        <v>AMP</v>
      </c>
      <c r="DQ104">
        <f>IF(DO104=BO104,BQ104,IF(DO104=BS104,BU104,IF(DO104=BW104,BY104,IF(DO104=CA104,CC104,IF(DO104=CE104,CG104,IF(DO104=CI104,CK104,IF(DO104=CM104,CO104,IF(DO104=CQ104,CS104,IF(DO104=CU104,CW104,IF(DO104=CY104,DA104,IF(DO104=DC104,DE104,IF(DO104=DG104,DI104,IF(DO104=DK104,DM104,0)))))))))))))</f>
        <v>3.54874</v>
      </c>
      <c r="DR104">
        <v>4</v>
      </c>
      <c r="DS104">
        <f t="shared" si="66"/>
        <v>0.172044444444444</v>
      </c>
      <c r="DT104">
        <v>10</v>
      </c>
      <c r="DU104">
        <v>4.0597799999999999</v>
      </c>
      <c r="DV104">
        <v>4</v>
      </c>
      <c r="DW104">
        <v>31226.480769230799</v>
      </c>
      <c r="DX104">
        <v>6</v>
      </c>
      <c r="DY104">
        <v>0</v>
      </c>
      <c r="DZ104">
        <v>6</v>
      </c>
      <c r="EA104">
        <v>6</v>
      </c>
      <c r="EB104">
        <v>14.0364762223093</v>
      </c>
      <c r="EC104">
        <v>1</v>
      </c>
      <c r="ED104">
        <v>1.3075574666666701</v>
      </c>
      <c r="EE104">
        <v>0.172044444444444</v>
      </c>
      <c r="EF104">
        <v>4.0597799999999999</v>
      </c>
      <c r="EG104">
        <v>5.5986891844433098</v>
      </c>
      <c r="EH104">
        <v>10</v>
      </c>
      <c r="EI104">
        <v>0</v>
      </c>
      <c r="EJ104">
        <v>0.35184759999999998</v>
      </c>
      <c r="EK104">
        <v>1</v>
      </c>
      <c r="EL104">
        <v>0</v>
      </c>
      <c r="EM104">
        <v>22</v>
      </c>
      <c r="EN104">
        <v>1</v>
      </c>
      <c r="EO104">
        <v>2</v>
      </c>
      <c r="EP104">
        <v>4</v>
      </c>
      <c r="EQ104">
        <v>2</v>
      </c>
      <c r="ER104">
        <v>14.1987814663817</v>
      </c>
      <c r="ES104">
        <v>4.5283858202254104</v>
      </c>
      <c r="ET104">
        <v>5.8359432868920704</v>
      </c>
      <c r="EU104">
        <v>4.8856429383434099</v>
      </c>
      <c r="EV104">
        <v>5.2374905383434101</v>
      </c>
      <c r="EW104">
        <v>0.62477046666666702</v>
      </c>
      <c r="EX104">
        <v>5.4494923267972899</v>
      </c>
      <c r="EY104">
        <v>6.0742627934639604</v>
      </c>
      <c r="EZ104">
        <v>0.97422413333333302</v>
      </c>
      <c r="FA104">
        <v>4.5283858202254104</v>
      </c>
      <c r="FB104">
        <v>5.5026099535587401</v>
      </c>
      <c r="FC104">
        <v>1.6916796000000001</v>
      </c>
      <c r="FD104">
        <v>9.6793093256323903</v>
      </c>
      <c r="FE104">
        <v>11.3709889256324</v>
      </c>
      <c r="FF104">
        <v>0.97422413333333302</v>
      </c>
      <c r="FG104">
        <v>4.5283858202254104</v>
      </c>
      <c r="FH104">
        <v>5.5026099535587401</v>
      </c>
    </row>
    <row r="105" spans="1:164" x14ac:dyDescent="0.2">
      <c r="A105">
        <v>104</v>
      </c>
      <c r="B105">
        <v>116</v>
      </c>
      <c r="C105">
        <v>180</v>
      </c>
      <c r="D105">
        <v>3</v>
      </c>
      <c r="E105">
        <v>12</v>
      </c>
      <c r="F105" t="s">
        <v>297</v>
      </c>
      <c r="G105" t="s">
        <v>297</v>
      </c>
      <c r="H105">
        <v>3</v>
      </c>
      <c r="I105">
        <v>3</v>
      </c>
      <c r="K105" t="s">
        <v>117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3</v>
      </c>
      <c r="AE105">
        <v>4</v>
      </c>
      <c r="AF105">
        <v>2</v>
      </c>
      <c r="AG105">
        <v>5</v>
      </c>
      <c r="AH105">
        <v>4</v>
      </c>
      <c r="AI105">
        <v>0.28987777777777801</v>
      </c>
      <c r="AJ105">
        <v>12.136799999999999</v>
      </c>
      <c r="AK105">
        <v>0.45840277777777799</v>
      </c>
      <c r="AL105">
        <v>23.175879999999999</v>
      </c>
      <c r="AM105">
        <v>0.35251388888888902</v>
      </c>
      <c r="AN105">
        <v>20.705739999999999</v>
      </c>
      <c r="AO105">
        <v>0.348655555555556</v>
      </c>
      <c r="AP105">
        <v>18.332239999999999</v>
      </c>
      <c r="AQ105">
        <v>0.37195555555555598</v>
      </c>
      <c r="AR105">
        <v>18.660139999999998</v>
      </c>
      <c r="AS105">
        <v>0.33714166666666701</v>
      </c>
      <c r="AT105">
        <v>15.160270000000001</v>
      </c>
      <c r="AU105">
        <v>0.22090833333333301</v>
      </c>
      <c r="AV105">
        <v>8.9964999999999993</v>
      </c>
      <c r="AW105">
        <v>0.23708888888888899</v>
      </c>
      <c r="AX105">
        <v>10.373049999999999</v>
      </c>
      <c r="AY105">
        <v>0.22804722222222201</v>
      </c>
      <c r="AZ105">
        <v>10.564590000000001</v>
      </c>
      <c r="BA105">
        <v>0.213038888888889</v>
      </c>
      <c r="BB105">
        <v>9.9816199999999995</v>
      </c>
      <c r="BC105">
        <v>0.29693611111111101</v>
      </c>
      <c r="BD105">
        <v>12.423389999999999</v>
      </c>
      <c r="BE105">
        <v>0.32260555555555598</v>
      </c>
      <c r="BF105">
        <v>17.779039999999998</v>
      </c>
      <c r="BG105">
        <v>0.38647777777777798</v>
      </c>
      <c r="BH105">
        <v>21.181889999999999</v>
      </c>
      <c r="BI105">
        <v>0.430305555555556</v>
      </c>
      <c r="BJ105">
        <v>23.155809999999999</v>
      </c>
      <c r="BK105">
        <v>0.49844444444444402</v>
      </c>
      <c r="BL105">
        <v>29.97146</v>
      </c>
      <c r="BM105">
        <v>0.53995000000000004</v>
      </c>
      <c r="BN105">
        <v>31.96414</v>
      </c>
      <c r="BO105">
        <f t="shared" si="34"/>
        <v>0.213038888888889</v>
      </c>
      <c r="BP105">
        <v>9</v>
      </c>
      <c r="BQ105">
        <v>9.9816199999999995</v>
      </c>
      <c r="BR105">
        <f t="shared" si="35"/>
        <v>0</v>
      </c>
      <c r="BS105">
        <f t="shared" si="36"/>
        <v>0.213038888888889</v>
      </c>
      <c r="BT105">
        <f t="shared" si="37"/>
        <v>9</v>
      </c>
      <c r="BU105">
        <f t="shared" si="38"/>
        <v>9.9816199999999995</v>
      </c>
      <c r="BV105">
        <f t="shared" si="39"/>
        <v>0</v>
      </c>
      <c r="BW105">
        <f t="shared" si="40"/>
        <v>0.213038888888889</v>
      </c>
      <c r="BX105">
        <f t="shared" si="41"/>
        <v>9</v>
      </c>
      <c r="BY105">
        <f t="shared" si="42"/>
        <v>9.9816199999999995</v>
      </c>
      <c r="BZ105">
        <f t="shared" si="43"/>
        <v>0</v>
      </c>
      <c r="CA105">
        <f t="shared" si="44"/>
        <v>0.213038888888889</v>
      </c>
      <c r="CB105">
        <f>IF(CA105=BO105,BP105,IF(CA105=BS105,BT105,IF(CA105=BW105,BX105,0)))</f>
        <v>9</v>
      </c>
      <c r="CC105">
        <f>IF(CA105=BO105,BQ105,IF(CA105=BS105,BU105,IF(CA105=BW105,BY105,0)))</f>
        <v>9.9816199999999995</v>
      </c>
      <c r="CD105">
        <f t="shared" si="45"/>
        <v>0</v>
      </c>
      <c r="CE105">
        <f t="shared" si="46"/>
        <v>0.213038888888889</v>
      </c>
      <c r="CF105">
        <f>IF(CE105=BO105,BP105,IF(CE105=BS105,BT105,IF(CE105=BW105,BX105,IF(CE105=CA105,CB105,0))))</f>
        <v>9</v>
      </c>
      <c r="CG105">
        <f>IF(CE105=BO105,BQ105,IF(CE105=BS105,BU105,IF(CE105=BW105,BY105,IF(CE105=CA105,CC105,0))))</f>
        <v>9.9816199999999995</v>
      </c>
      <c r="CH105">
        <f t="shared" si="47"/>
        <v>0</v>
      </c>
      <c r="CI105">
        <f t="shared" si="48"/>
        <v>0.213038888888889</v>
      </c>
      <c r="CJ105">
        <f>IF(CI105=BO105,BP105,IF(CI105=BS105,BT105,IF(CI105=BW105,BX105,IF(CI105=CA105,CB105,IF(CI105=CE105,CF105,0)))))</f>
        <v>9</v>
      </c>
      <c r="CK105">
        <f>IF(CI105=BO105,BQ105,IF(CI105=BS105,BU105,IF(CI105=BW105,BY105,IF(CI105=CA105,CC105,IF(CI105=CE105,CG105,0)))))</f>
        <v>9.9816199999999995</v>
      </c>
      <c r="CL105">
        <f t="shared" si="49"/>
        <v>0</v>
      </c>
      <c r="CM105">
        <f t="shared" si="50"/>
        <v>0.213038888888889</v>
      </c>
      <c r="CN105">
        <f>IF(CM105=BO105,BP105,IF(CM105=BS105,BT105,IF(CM105=BW105,BX105,IF(CM105=CA105,CB105,IF(CM105=CE105,CF105,IF(CM105=CI105,CJ105,0))))))</f>
        <v>9</v>
      </c>
      <c r="CO105">
        <f>IF(CM105=BO105,BQ105,IF(CM105=BS105,BU105,IF(CM105=BW105,BY105,IF(CM105=CA105,CC105,IF(CM105=CE105,CG105,IF(CM105=CI105,CK105,0))))))</f>
        <v>9.9816199999999995</v>
      </c>
      <c r="CP105">
        <f t="shared" si="51"/>
        <v>0</v>
      </c>
      <c r="CQ105">
        <f t="shared" si="52"/>
        <v>0.213038888888889</v>
      </c>
      <c r="CR105">
        <f>IF(CQ105=BO105,BP105,IF(CQ105=BS105,BT105,IF(CQ105=BW105,BX105,IF(CQ105=CA105,CB105,IF(CQ105=CE105,CF105,IF(CQ105=CI105,CJ105,IF(CQ105=CM105,CN105,0)))))))</f>
        <v>9</v>
      </c>
      <c r="CS105">
        <f>IF(CQ105=BO105,BQ105,IF(CQ105=BS105,BU105,IF(CQ105=BW105,BY105,IF(CQ105=CA105,CC105,IF(CQ105=CE105,CG105,IF(CQ105=CI105,CK105,IF(CQ105=CM105,CO105,0)))))))</f>
        <v>9.9816199999999995</v>
      </c>
      <c r="CT105">
        <f t="shared" si="53"/>
        <v>0</v>
      </c>
      <c r="CU105">
        <f t="shared" si="54"/>
        <v>0.22090833333333301</v>
      </c>
      <c r="CV105">
        <v>6</v>
      </c>
      <c r="CW105">
        <v>8.9964999999999993</v>
      </c>
      <c r="CX105">
        <f t="shared" si="55"/>
        <v>0</v>
      </c>
      <c r="CY105">
        <f t="shared" si="56"/>
        <v>0.213038888888889</v>
      </c>
      <c r="CZ105">
        <f>IF(CY105=BO105,BP105,IF(CY105=BS105,BT105,IF(CY105=BW105,BX105,IF(CY105=CA105,CB105,IF(CY105=CE105,CF105,IF(CY105=CI105,CJ105,IF(CY105=CM105,CN105,IF(CY105=CQ105,CR105,IF(CY105=CU105,CV105,0)))))))))</f>
        <v>9</v>
      </c>
      <c r="DA105">
        <f>IF(CY105=BO105,BQ105,IF(CY105=BS105,BU105,IF(CY105=BW105,BY105,IF(CY105=CA105,CC105,IF(CY105=CE105,CG105,IF(CY105=CI105,CK105,IF(CY105=CM105,CO105,IF(CY105=CQ105,CS105,IF(CY105=CU105,CW105,0)))))))))</f>
        <v>9.9816199999999995</v>
      </c>
      <c r="DB105">
        <f t="shared" si="57"/>
        <v>0</v>
      </c>
      <c r="DC105">
        <f t="shared" si="58"/>
        <v>0.213038888888889</v>
      </c>
      <c r="DD105">
        <f>IF(DC105=BO105,BP105,IF(DC105=BS105,BT105,IF(DC105=BW105,BX105,IF(DC105=CA105,CB105,IF(DC105=CE105,CF105,IF(DC105=CI105,CJ105,IF(DC105=CM105,CN105,IF(DC105=CQ105,CR105,IF(DC105=CU105,CV105,IF(DC105=CY105,CZ105,0))))))))))</f>
        <v>9</v>
      </c>
      <c r="DE105">
        <f>IF(DC105=BO105,BQ105,IF(DC105=BS105,BU105,IF(DC105=BW105,BY105,IF(DC105=CA105,CC105,IF(DC105=CE105,CG105,IF(DC105=CI105,CK105,IF(DC105=CM105,CO105,IF(DC105=CQ105,CS105,IF(DC105=CU105,CW105,IF(DC105=CY105,DA105,0))))))))))</f>
        <v>9.9816199999999995</v>
      </c>
      <c r="DF105">
        <f t="shared" si="59"/>
        <v>0</v>
      </c>
      <c r="DG105">
        <f t="shared" si="60"/>
        <v>0.213038888888889</v>
      </c>
      <c r="DH105">
        <f>IF(DG105=BO105,BP105,IF(DG105=BS105,BT105,IF(DG105=BW105,BX105,IF(DG105=CA105,CB105,IF(DG105=CE105,CF105,IF(DG105=CI105,CJ105,IF(DG105=CM105,CN105,IF(DG105=CQ105,CR105,IF(DG105=CU105,CV105,IF(DG105=CY105,CZ105,IF(DG105=DC105,DD105,0)))))))))))</f>
        <v>9</v>
      </c>
      <c r="DI105">
        <f>IF(DG105=BO105,BQ105,IF(DG105=BS105,BU105,IF(DG105=BW105,BY105,IF(DG105=CA105,CC105,IF(DG105=CE105,CG105,IF(DG105=CI105,CK105,IF(DG105=CM105,CO105,IF(DG105=CQ105,CS105,IF(DG105=CU105,CW105,IF(DG105=CY105,DA105,IF(DG105=DC105,DE105,0)))))))))))</f>
        <v>9.9816199999999995</v>
      </c>
      <c r="DJ105">
        <f t="shared" si="61"/>
        <v>0</v>
      </c>
      <c r="DK105">
        <f t="shared" si="62"/>
        <v>0.213038888888889</v>
      </c>
      <c r="DL105">
        <f>IF(DK105=BO105,BP105,IF(DK105=BS105,BT105,IF(DK105=BW105,BX105,IF(DK105=CA105,CB105,IF(DK105=CE105,CF105,IF(DK105=CI105,CJ105,IF(DK105=CM105,CN105,IF(DK105=CQ105,CR105,IF(DK105=CU105,CV105,IF(DK105=CY105,CZ105,IF(DK105=DC105,DD105,IF(DK105=DG105,DH105,0))))))))))))</f>
        <v>9</v>
      </c>
      <c r="DM105">
        <f>IF(DK105=BO105,BQ105,IF(DK105=BS105,BU105,IF(DK105=BW105,BY105,IF(DK105=CA105,CC105,IF(DK105=CE105,CG105,IF(DK105=CI105,CK105,IF(DK105=CM105,CO105,IF(DK105=CQ105,CS105,IF(DK105=CU105,CW105,IF(DK105=CY105,DA105,IF(DK105=DC105,DE105,IF(DK105=DG105,DI105,0))))))))))))</f>
        <v>9.9816199999999995</v>
      </c>
      <c r="DN105">
        <f t="shared" si="63"/>
        <v>0</v>
      </c>
      <c r="DO105">
        <f t="shared" si="64"/>
        <v>0.213038888888889</v>
      </c>
      <c r="DP105">
        <f>IF(DO105=BO105,BP105,IF(DO105=BS105,BT105,IF(DO105=BW105,BX105,IF(DO105=CA105,CB105,IF(DO105=CE105,CF105,IF(DO105=CI105,CJ105,IF(DO105=CM105,CN105,IF(DO105=CQ105,CR105,IF(DO105=CU105,CV105,IF(DO105=CY105,CZ105,IF(DO105=DC105,DD105,IF(DO105=DG105,DH105,IF(DO105=DK105,DL105,0)))))))))))))</f>
        <v>9</v>
      </c>
      <c r="DQ105">
        <f>IF(DO105=BO105,BQ105,IF(DO105=BS105,BU105,IF(DO105=BW105,BY105,IF(DO105=CA105,CC105,IF(DO105=CE105,CG105,IF(DO105=CI105,CK105,IF(DO105=CM105,CO105,IF(DO105=CQ105,CS105,IF(DO105=CU105,CW105,IF(DO105=CY105,DA105,IF(DO105=DC105,DE105,IF(DO105=DG105,DI105,IF(DO105=DK105,DM105,0)))))))))))))</f>
        <v>9.9816199999999995</v>
      </c>
      <c r="DR105">
        <f t="shared" si="65"/>
        <v>0</v>
      </c>
      <c r="DS105">
        <f t="shared" si="66"/>
        <v>0.213038888888889</v>
      </c>
      <c r="DT105">
        <f>IF(DS105=BO105,BP105,IF(DS105=BS105,BT105,IF(DS105=BW105,BX105,IF(DS105=CA105,CB105,IF(DS105=CE105,CF105,IF(DS105=CI105,CJ105,IF(DS105=CM105,CN105,IF(DS105=CQ105,CR105,IF(DS105=CU105,CV105,IF(DS105=CY105,CZ105,IF(DS105=DC105,DD105,IF(DS105=DG105,DH105,IF(DS105=DK105,DL105,IF(DS105=DO105,DP105,0))))))))))))))</f>
        <v>9</v>
      </c>
      <c r="DU105">
        <f>IF(DS105=BO105,BQ105,IF(DS105=BS105,BU105,IF(DS105=BW105,BY105,IF(DS105=CA105,CC105,IF(DS105=CE105,CG105,IF(DS105=CI105,CK105,IF(DS105=CM105,CO105,IF(DS105=CQ105,CS105,IF(DS105=CU105,CW105,IF(DS105=CY105,DA105,IF(DS105=DC105,DE105,IF(DS105=DG105,DI105,IF(DS105=DK105,DM105,IF(DS105=DO105,DQ105,0))))))))))))))</f>
        <v>9.9816199999999995</v>
      </c>
      <c r="DV105">
        <f t="shared" si="67"/>
        <v>0</v>
      </c>
      <c r="DW105">
        <v>22500.5</v>
      </c>
      <c r="DX105">
        <v>6</v>
      </c>
      <c r="DY105">
        <v>0</v>
      </c>
      <c r="DZ105">
        <v>6</v>
      </c>
      <c r="EA105">
        <v>6</v>
      </c>
      <c r="EB105">
        <v>10.114099490560401</v>
      </c>
      <c r="EC105">
        <v>1</v>
      </c>
      <c r="ED105">
        <v>2.0518559999999999</v>
      </c>
      <c r="EE105">
        <v>0.213038888888889</v>
      </c>
      <c r="EF105">
        <v>9.9816199999999995</v>
      </c>
      <c r="EG105">
        <v>7.2811783166853399</v>
      </c>
      <c r="EH105">
        <v>9</v>
      </c>
      <c r="EI105">
        <v>0</v>
      </c>
      <c r="EJ105">
        <v>0.86507373333333304</v>
      </c>
      <c r="EK105">
        <v>1</v>
      </c>
      <c r="EL105">
        <v>0</v>
      </c>
      <c r="EM105">
        <v>24</v>
      </c>
      <c r="EN105">
        <v>1</v>
      </c>
      <c r="EO105">
        <v>2</v>
      </c>
      <c r="EP105">
        <v>4</v>
      </c>
      <c r="EQ105">
        <v>2</v>
      </c>
      <c r="ER105">
        <v>14.1987814663817</v>
      </c>
      <c r="ES105">
        <v>8.2318224372540403</v>
      </c>
      <c r="ET105">
        <v>10.283678437254</v>
      </c>
      <c r="EU105">
        <v>6.04978525434821</v>
      </c>
      <c r="EV105">
        <v>6.9148589876815398</v>
      </c>
      <c r="EW105">
        <v>0.91559780000000002</v>
      </c>
      <c r="EX105">
        <v>6.4759853446974196</v>
      </c>
      <c r="EY105">
        <v>7.3915831446974201</v>
      </c>
      <c r="EZ105">
        <v>0.86507373333333304</v>
      </c>
      <c r="FA105">
        <v>6.04978525434821</v>
      </c>
      <c r="FB105">
        <v>6.9148589876815398</v>
      </c>
      <c r="FC105">
        <v>1.58879413333333</v>
      </c>
      <c r="FD105">
        <v>9.9009680807464697</v>
      </c>
      <c r="FE105">
        <v>11.4897622140798</v>
      </c>
      <c r="FF105">
        <v>0.86507373333333304</v>
      </c>
      <c r="FG105">
        <v>6.04978525434821</v>
      </c>
      <c r="FH105">
        <v>6.9148589876815398</v>
      </c>
    </row>
    <row r="106" spans="1:164" x14ac:dyDescent="0.2">
      <c r="A106">
        <v>105</v>
      </c>
      <c r="B106">
        <v>117</v>
      </c>
      <c r="C106">
        <v>181</v>
      </c>
      <c r="D106">
        <v>1</v>
      </c>
      <c r="E106">
        <v>11</v>
      </c>
      <c r="F106" t="s">
        <v>297</v>
      </c>
      <c r="G106" t="s">
        <v>297</v>
      </c>
      <c r="H106">
        <v>3</v>
      </c>
      <c r="I106">
        <v>3</v>
      </c>
      <c r="K106" t="s">
        <v>117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3</v>
      </c>
      <c r="AE106">
        <v>4</v>
      </c>
      <c r="AF106">
        <v>2</v>
      </c>
      <c r="AG106">
        <v>5</v>
      </c>
      <c r="AH106">
        <v>5</v>
      </c>
      <c r="AI106">
        <v>0.28987777777777801</v>
      </c>
      <c r="AJ106">
        <v>12.136799999999999</v>
      </c>
      <c r="AK106">
        <v>0.45840277777777799</v>
      </c>
      <c r="AL106">
        <v>23.175879999999999</v>
      </c>
      <c r="AM106">
        <v>0.35251388888888902</v>
      </c>
      <c r="AN106">
        <v>20.705739999999999</v>
      </c>
      <c r="AO106">
        <v>0.348655555555556</v>
      </c>
      <c r="AP106">
        <v>18.332239999999999</v>
      </c>
      <c r="AQ106">
        <v>0.37195555555555598</v>
      </c>
      <c r="AR106">
        <v>18.660139999999998</v>
      </c>
      <c r="AS106">
        <v>0.33714166666666701</v>
      </c>
      <c r="AT106">
        <v>15.160270000000001</v>
      </c>
      <c r="AU106">
        <v>0.22090833333333301</v>
      </c>
      <c r="AV106">
        <v>8.9964999999999993</v>
      </c>
      <c r="AW106">
        <v>0.23708888888888899</v>
      </c>
      <c r="AX106">
        <v>10.373049999999999</v>
      </c>
      <c r="AY106">
        <v>0.22804722222222201</v>
      </c>
      <c r="AZ106">
        <v>10.564590000000001</v>
      </c>
      <c r="BA106">
        <v>0.213038888888889</v>
      </c>
      <c r="BB106">
        <v>9.9816199999999995</v>
      </c>
      <c r="BC106">
        <v>0.29693611111111101</v>
      </c>
      <c r="BD106">
        <v>12.423389999999999</v>
      </c>
      <c r="BE106">
        <v>0.32260555555555598</v>
      </c>
      <c r="BF106">
        <v>17.779039999999998</v>
      </c>
      <c r="BG106">
        <v>0.38647777777777798</v>
      </c>
      <c r="BH106">
        <v>21.181889999999999</v>
      </c>
      <c r="BI106">
        <v>0.430305555555556</v>
      </c>
      <c r="BJ106">
        <v>23.155809999999999</v>
      </c>
      <c r="BK106">
        <v>0.49844444444444402</v>
      </c>
      <c r="BL106">
        <v>29.97146</v>
      </c>
      <c r="BM106">
        <v>0.53995000000000004</v>
      </c>
      <c r="BN106">
        <v>31.96414</v>
      </c>
      <c r="BO106">
        <f t="shared" si="34"/>
        <v>0.213038888888889</v>
      </c>
      <c r="BP106">
        <v>9</v>
      </c>
      <c r="BQ106">
        <v>9.9816199999999995</v>
      </c>
      <c r="BR106">
        <f t="shared" si="35"/>
        <v>0</v>
      </c>
      <c r="BS106">
        <f t="shared" si="36"/>
        <v>0.213038888888889</v>
      </c>
      <c r="BT106">
        <f t="shared" si="37"/>
        <v>9</v>
      </c>
      <c r="BU106">
        <f t="shared" si="38"/>
        <v>9.9816199999999995</v>
      </c>
      <c r="BV106">
        <f t="shared" si="39"/>
        <v>0</v>
      </c>
      <c r="BW106">
        <f t="shared" si="40"/>
        <v>0.213038888888889</v>
      </c>
      <c r="BX106">
        <f t="shared" si="41"/>
        <v>9</v>
      </c>
      <c r="BY106">
        <f t="shared" si="42"/>
        <v>9.9816199999999995</v>
      </c>
      <c r="BZ106">
        <f t="shared" si="43"/>
        <v>0</v>
      </c>
      <c r="CA106">
        <f t="shared" si="44"/>
        <v>0.213038888888889</v>
      </c>
      <c r="CB106">
        <f>IF(CA106=BO106,BP106,IF(CA106=BS106,BT106,IF(CA106=BW106,BX106,0)))</f>
        <v>9</v>
      </c>
      <c r="CC106">
        <f>IF(CA106=BO106,BQ106,IF(CA106=BS106,BU106,IF(CA106=BW106,BY106,0)))</f>
        <v>9.9816199999999995</v>
      </c>
      <c r="CD106">
        <f t="shared" si="45"/>
        <v>0</v>
      </c>
      <c r="CE106">
        <f t="shared" si="46"/>
        <v>0.213038888888889</v>
      </c>
      <c r="CF106">
        <f>IF(CE106=BO106,BP106,IF(CE106=BS106,BT106,IF(CE106=BW106,BX106,IF(CE106=CA106,CB106,0))))</f>
        <v>9</v>
      </c>
      <c r="CG106">
        <f>IF(CE106=BO106,BQ106,IF(CE106=BS106,BU106,IF(CE106=BW106,BY106,IF(CE106=CA106,CC106,0))))</f>
        <v>9.9816199999999995</v>
      </c>
      <c r="CH106">
        <f t="shared" si="47"/>
        <v>0</v>
      </c>
      <c r="CI106">
        <f t="shared" si="48"/>
        <v>0.213038888888889</v>
      </c>
      <c r="CJ106">
        <f>IF(CI106=BO106,BP106,IF(CI106=BS106,BT106,IF(CI106=BW106,BX106,IF(CI106=CA106,CB106,IF(CI106=CE106,CF106,0)))))</f>
        <v>9</v>
      </c>
      <c r="CK106">
        <f>IF(CI106=BO106,BQ106,IF(CI106=BS106,BU106,IF(CI106=BW106,BY106,IF(CI106=CA106,CC106,IF(CI106=CE106,CG106,0)))))</f>
        <v>9.9816199999999995</v>
      </c>
      <c r="CL106">
        <f t="shared" si="49"/>
        <v>0</v>
      </c>
      <c r="CM106">
        <f t="shared" si="50"/>
        <v>0.213038888888889</v>
      </c>
      <c r="CN106">
        <f>IF(CM106=BO106,BP106,IF(CM106=BS106,BT106,IF(CM106=BW106,BX106,IF(CM106=CA106,CB106,IF(CM106=CE106,CF106,IF(CM106=CI106,CJ106,0))))))</f>
        <v>9</v>
      </c>
      <c r="CO106">
        <f>IF(CM106=BO106,BQ106,IF(CM106=BS106,BU106,IF(CM106=BW106,BY106,IF(CM106=CA106,CC106,IF(CM106=CE106,CG106,IF(CM106=CI106,CK106,0))))))</f>
        <v>9.9816199999999995</v>
      </c>
      <c r="CP106">
        <f t="shared" si="51"/>
        <v>0</v>
      </c>
      <c r="CQ106">
        <f t="shared" si="52"/>
        <v>0.213038888888889</v>
      </c>
      <c r="CR106">
        <f>IF(CQ106=BO106,BP106,IF(CQ106=BS106,BT106,IF(CQ106=BW106,BX106,IF(CQ106=CA106,CB106,IF(CQ106=CE106,CF106,IF(CQ106=CI106,CJ106,IF(CQ106=CM106,CN106,0)))))))</f>
        <v>9</v>
      </c>
      <c r="CS106">
        <f>IF(CQ106=BO106,BQ106,IF(CQ106=BS106,BU106,IF(CQ106=BW106,BY106,IF(CQ106=CA106,CC106,IF(CQ106=CE106,CG106,IF(CQ106=CI106,CK106,IF(CQ106=CM106,CO106,0)))))))</f>
        <v>9.9816199999999995</v>
      </c>
      <c r="CT106">
        <f t="shared" si="53"/>
        <v>0</v>
      </c>
      <c r="CU106">
        <f t="shared" si="54"/>
        <v>0.22090833333333301</v>
      </c>
      <c r="CV106">
        <v>6</v>
      </c>
      <c r="CW106">
        <v>8.9964999999999993</v>
      </c>
      <c r="CX106">
        <f t="shared" si="55"/>
        <v>0</v>
      </c>
      <c r="CY106">
        <f t="shared" si="56"/>
        <v>0.213038888888889</v>
      </c>
      <c r="CZ106">
        <f>IF(CY106=BO106,BP106,IF(CY106=BS106,BT106,IF(CY106=BW106,BX106,IF(CY106=CA106,CB106,IF(CY106=CE106,CF106,IF(CY106=CI106,CJ106,IF(CY106=CM106,CN106,IF(CY106=CQ106,CR106,IF(CY106=CU106,CV106,0)))))))))</f>
        <v>9</v>
      </c>
      <c r="DA106">
        <f>IF(CY106=BO106,BQ106,IF(CY106=BS106,BU106,IF(CY106=BW106,BY106,IF(CY106=CA106,CC106,IF(CY106=CE106,CG106,IF(CY106=CI106,CK106,IF(CY106=CM106,CO106,IF(CY106=CQ106,CS106,IF(CY106=CU106,CW106,0)))))))))</f>
        <v>9.9816199999999995</v>
      </c>
      <c r="DB106">
        <f t="shared" si="57"/>
        <v>0</v>
      </c>
      <c r="DC106">
        <f t="shared" si="58"/>
        <v>0.213038888888889</v>
      </c>
      <c r="DD106">
        <f>IF(DC106=BO106,BP106,IF(DC106=BS106,BT106,IF(DC106=BW106,BX106,IF(DC106=CA106,CB106,IF(DC106=CE106,CF106,IF(DC106=CI106,CJ106,IF(DC106=CM106,CN106,IF(DC106=CQ106,CR106,IF(DC106=CU106,CV106,IF(DC106=CY106,CZ106,0))))))))))</f>
        <v>9</v>
      </c>
      <c r="DE106">
        <f>IF(DC106=BO106,BQ106,IF(DC106=BS106,BU106,IF(DC106=BW106,BY106,IF(DC106=CA106,CC106,IF(DC106=CE106,CG106,IF(DC106=CI106,CK106,IF(DC106=CM106,CO106,IF(DC106=CQ106,CS106,IF(DC106=CU106,CW106,IF(DC106=CY106,DA106,0))))))))))</f>
        <v>9.9816199999999995</v>
      </c>
      <c r="DF106">
        <f t="shared" si="59"/>
        <v>0</v>
      </c>
      <c r="DG106">
        <f t="shared" si="60"/>
        <v>0.213038888888889</v>
      </c>
      <c r="DH106">
        <f>IF(DG106=BO106,BP106,IF(DG106=BS106,BT106,IF(DG106=BW106,BX106,IF(DG106=CA106,CB106,IF(DG106=CE106,CF106,IF(DG106=CI106,CJ106,IF(DG106=CM106,CN106,IF(DG106=CQ106,CR106,IF(DG106=CU106,CV106,IF(DG106=CY106,CZ106,IF(DG106=DC106,DD106,0)))))))))))</f>
        <v>9</v>
      </c>
      <c r="DI106">
        <f>IF(DG106=BO106,BQ106,IF(DG106=BS106,BU106,IF(DG106=BW106,BY106,IF(DG106=CA106,CC106,IF(DG106=CE106,CG106,IF(DG106=CI106,CK106,IF(DG106=CM106,CO106,IF(DG106=CQ106,CS106,IF(DG106=CU106,CW106,IF(DG106=CY106,DA106,IF(DG106=DC106,DE106,0)))))))))))</f>
        <v>9.9816199999999995</v>
      </c>
      <c r="DJ106">
        <f t="shared" si="61"/>
        <v>0</v>
      </c>
      <c r="DK106">
        <f t="shared" si="62"/>
        <v>0.213038888888889</v>
      </c>
      <c r="DL106">
        <f>IF(DK106=BO106,BP106,IF(DK106=BS106,BT106,IF(DK106=BW106,BX106,IF(DK106=CA106,CB106,IF(DK106=CE106,CF106,IF(DK106=CI106,CJ106,IF(DK106=CM106,CN106,IF(DK106=CQ106,CR106,IF(DK106=CU106,CV106,IF(DK106=CY106,CZ106,IF(DK106=DC106,DD106,IF(DK106=DG106,DH106,0))))))))))))</f>
        <v>9</v>
      </c>
      <c r="DM106">
        <f>IF(DK106=BO106,BQ106,IF(DK106=BS106,BU106,IF(DK106=BW106,BY106,IF(DK106=CA106,CC106,IF(DK106=CE106,CG106,IF(DK106=CI106,CK106,IF(DK106=CM106,CO106,IF(DK106=CQ106,CS106,IF(DK106=CU106,CW106,IF(DK106=CY106,DA106,IF(DK106=DC106,DE106,IF(DK106=DG106,DI106,0))))))))))))</f>
        <v>9.9816199999999995</v>
      </c>
      <c r="DN106">
        <f t="shared" si="63"/>
        <v>0</v>
      </c>
      <c r="DO106">
        <f t="shared" si="64"/>
        <v>0.213038888888889</v>
      </c>
      <c r="DP106">
        <f>IF(DO106=BO106,BP106,IF(DO106=BS106,BT106,IF(DO106=BW106,BX106,IF(DO106=CA106,CB106,IF(DO106=CE106,CF106,IF(DO106=CI106,CJ106,IF(DO106=CM106,CN106,IF(DO106=CQ106,CR106,IF(DO106=CU106,CV106,IF(DO106=CY106,CZ106,IF(DO106=DC106,DD106,IF(DO106=DG106,DH106,IF(DO106=DK106,DL106,0)))))))))))))</f>
        <v>9</v>
      </c>
      <c r="DQ106">
        <f>IF(DO106=BO106,BQ106,IF(DO106=BS106,BU106,IF(DO106=BW106,BY106,IF(DO106=CA106,CC106,IF(DO106=CE106,CG106,IF(DO106=CI106,CK106,IF(DO106=CM106,CO106,IF(DO106=CQ106,CS106,IF(DO106=CU106,CW106,IF(DO106=CY106,DA106,IF(DO106=DC106,DE106,IF(DO106=DG106,DI106,IF(DO106=DK106,DM106,0)))))))))))))</f>
        <v>9.9816199999999995</v>
      </c>
      <c r="DR106">
        <f t="shared" si="65"/>
        <v>0</v>
      </c>
      <c r="DS106">
        <f t="shared" si="66"/>
        <v>0.213038888888889</v>
      </c>
      <c r="DT106">
        <f>IF(DS106=BO106,BP106,IF(DS106=BS106,BT106,IF(DS106=BW106,BX106,IF(DS106=CA106,CB106,IF(DS106=CE106,CF106,IF(DS106=CI106,CJ106,IF(DS106=CM106,CN106,IF(DS106=CQ106,CR106,IF(DS106=CU106,CV106,IF(DS106=CY106,CZ106,IF(DS106=DC106,DD106,IF(DS106=DG106,DH106,IF(DS106=DK106,DL106,IF(DS106=DO106,DP106,0))))))))))))))</f>
        <v>9</v>
      </c>
      <c r="DU106">
        <f>IF(DS106=BO106,BQ106,IF(DS106=BS106,BU106,IF(DS106=BW106,BY106,IF(DS106=CA106,CC106,IF(DS106=CE106,CG106,IF(DS106=CI106,CK106,IF(DS106=CM106,CO106,IF(DS106=CQ106,CS106,IF(DS106=CU106,CW106,IF(DS106=CY106,DA106,IF(DS106=DC106,DE106,IF(DS106=DG106,DI106,IF(DS106=DK106,DM106,IF(DS106=DO106,DQ106,0))))))))))))))</f>
        <v>9.9816199999999995</v>
      </c>
      <c r="DV106">
        <f t="shared" si="67"/>
        <v>0</v>
      </c>
      <c r="DW106">
        <v>31226.480769230799</v>
      </c>
      <c r="DX106">
        <v>6</v>
      </c>
      <c r="DY106">
        <v>0</v>
      </c>
      <c r="DZ106">
        <v>6</v>
      </c>
      <c r="EA106">
        <v>6</v>
      </c>
      <c r="EB106">
        <v>14.0364762223093</v>
      </c>
      <c r="EC106">
        <v>1</v>
      </c>
      <c r="ED106">
        <v>2.0518559999999999</v>
      </c>
      <c r="EE106">
        <v>0.213038888888889</v>
      </c>
      <c r="EF106">
        <v>9.9816199999999995</v>
      </c>
      <c r="EG106">
        <v>9.5551980178986202</v>
      </c>
      <c r="EH106">
        <v>9</v>
      </c>
      <c r="EI106">
        <v>0</v>
      </c>
      <c r="EJ106">
        <v>0.86507373333333304</v>
      </c>
      <c r="EK106">
        <v>1</v>
      </c>
      <c r="EL106">
        <v>0</v>
      </c>
      <c r="EM106">
        <v>21</v>
      </c>
      <c r="EN106">
        <v>1</v>
      </c>
      <c r="EO106">
        <v>2</v>
      </c>
      <c r="EP106">
        <v>5</v>
      </c>
      <c r="EQ106">
        <v>2</v>
      </c>
      <c r="ER106">
        <v>14.1987814663817</v>
      </c>
      <c r="ES106">
        <v>8.2318224372540403</v>
      </c>
      <c r="ET106">
        <v>10.283678437254</v>
      </c>
      <c r="EU106">
        <v>6.04978525434821</v>
      </c>
      <c r="EV106">
        <v>6.9148589876815398</v>
      </c>
      <c r="EW106">
        <v>0.91559780000000002</v>
      </c>
      <c r="EX106">
        <v>6.4759853446974196</v>
      </c>
      <c r="EY106">
        <v>7.3915831446974201</v>
      </c>
      <c r="EZ106">
        <v>0.86507373333333304</v>
      </c>
      <c r="FA106">
        <v>6.04978525434821</v>
      </c>
      <c r="FB106">
        <v>6.9148589876815398</v>
      </c>
      <c r="FC106">
        <v>1.58879413333333</v>
      </c>
      <c r="FD106">
        <v>9.9009680807464697</v>
      </c>
      <c r="FE106">
        <v>11.4897622140798</v>
      </c>
      <c r="FF106">
        <v>0.86507373333333304</v>
      </c>
      <c r="FG106">
        <v>6.04978525434821</v>
      </c>
      <c r="FH106">
        <v>6.9148589876815398</v>
      </c>
    </row>
    <row r="107" spans="1:164" x14ac:dyDescent="0.2">
      <c r="A107">
        <v>106</v>
      </c>
      <c r="B107">
        <v>118</v>
      </c>
      <c r="C107">
        <v>182</v>
      </c>
      <c r="D107">
        <v>1</v>
      </c>
      <c r="E107">
        <v>11</v>
      </c>
      <c r="F107" t="s">
        <v>158</v>
      </c>
      <c r="G107" t="s">
        <v>301</v>
      </c>
      <c r="H107">
        <v>3</v>
      </c>
      <c r="I107">
        <v>7</v>
      </c>
      <c r="J107" t="s">
        <v>120</v>
      </c>
      <c r="K107" t="s">
        <v>302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4</v>
      </c>
      <c r="AC107">
        <v>0</v>
      </c>
      <c r="AD107">
        <v>6</v>
      </c>
      <c r="AE107">
        <v>12</v>
      </c>
      <c r="AF107">
        <v>6</v>
      </c>
      <c r="AG107">
        <v>10</v>
      </c>
      <c r="AH107">
        <v>7</v>
      </c>
      <c r="AI107">
        <v>0.32318611111111101</v>
      </c>
      <c r="AJ107">
        <v>20.121279999999999</v>
      </c>
      <c r="AK107">
        <v>0.220872222222222</v>
      </c>
      <c r="AL107">
        <v>5.1955</v>
      </c>
      <c r="AM107">
        <v>0.102872222222222</v>
      </c>
      <c r="AN107">
        <v>2.5713599999999999</v>
      </c>
      <c r="AO107">
        <v>7.7005555555555605E-2</v>
      </c>
      <c r="AP107">
        <v>1.1875100000000001</v>
      </c>
      <c r="AQ107">
        <v>0.14637500000000001</v>
      </c>
      <c r="AR107">
        <v>3.3696299999999999</v>
      </c>
      <c r="AS107">
        <v>0.22411111111111101</v>
      </c>
      <c r="AT107">
        <v>7.6743600000000001</v>
      </c>
      <c r="AU107">
        <v>0.23856388888888899</v>
      </c>
      <c r="AV107">
        <v>12.445270000000001</v>
      </c>
      <c r="AW107">
        <v>0.24811666666666701</v>
      </c>
      <c r="AX107">
        <v>15.371309999999999</v>
      </c>
      <c r="AY107">
        <v>0.25810277777777801</v>
      </c>
      <c r="AZ107">
        <v>16.610040000000001</v>
      </c>
      <c r="BA107">
        <v>0.27145555555555601</v>
      </c>
      <c r="BB107">
        <v>17.93075</v>
      </c>
      <c r="BC107">
        <v>0.33228333333333299</v>
      </c>
      <c r="BD107">
        <v>19.25545</v>
      </c>
      <c r="BE107">
        <v>0.34330277777777801</v>
      </c>
      <c r="BF107">
        <v>25.63241</v>
      </c>
      <c r="BG107">
        <v>0.40717500000000001</v>
      </c>
      <c r="BH107">
        <v>29.035260000000001</v>
      </c>
      <c r="BI107">
        <v>0.45100277777777797</v>
      </c>
      <c r="BJ107">
        <v>31.009180000000001</v>
      </c>
      <c r="BK107">
        <v>0.51914166666666695</v>
      </c>
      <c r="BL107">
        <v>37.824820000000003</v>
      </c>
      <c r="BM107">
        <v>0.56064722222222196</v>
      </c>
      <c r="BN107">
        <v>39.817500000000003</v>
      </c>
      <c r="BO107">
        <f t="shared" si="34"/>
        <v>7.7005555555555605E-2</v>
      </c>
      <c r="BP107">
        <v>3</v>
      </c>
      <c r="BQ107">
        <v>1.1875100000000001</v>
      </c>
      <c r="BR107">
        <f t="shared" si="35"/>
        <v>0</v>
      </c>
      <c r="BS107">
        <f t="shared" si="36"/>
        <v>7.7005555555555605E-2</v>
      </c>
      <c r="BT107">
        <f t="shared" si="37"/>
        <v>3</v>
      </c>
      <c r="BU107">
        <f t="shared" si="38"/>
        <v>1.1875100000000001</v>
      </c>
      <c r="BV107">
        <f t="shared" si="39"/>
        <v>0</v>
      </c>
      <c r="BW107">
        <f t="shared" si="40"/>
        <v>0.102872222222222</v>
      </c>
      <c r="BX107">
        <v>2</v>
      </c>
      <c r="BY107">
        <v>2.5713599999999999</v>
      </c>
      <c r="BZ107">
        <f t="shared" si="43"/>
        <v>0</v>
      </c>
      <c r="CA107">
        <f t="shared" si="44"/>
        <v>7.7005555555555605E-2</v>
      </c>
      <c r="CB107">
        <f>IF(CA107=BO107,BP107,IF(CA107=BS107,BT107,IF(CA107=BW107,BX107,0)))</f>
        <v>3</v>
      </c>
      <c r="CC107">
        <f>IF(CA107=BO107,BQ107,IF(CA107=BS107,BU107,IF(CA107=BW107,BY107,0)))</f>
        <v>1.1875100000000001</v>
      </c>
      <c r="CD107">
        <f t="shared" si="45"/>
        <v>0</v>
      </c>
      <c r="CE107">
        <f t="shared" si="46"/>
        <v>7.7005555555555605E-2</v>
      </c>
      <c r="CF107">
        <f>IF(CE107=BO107,BP107,IF(CE107=BS107,BT107,IF(CE107=BW107,BX107,IF(CE107=CA107,CB107,0))))</f>
        <v>3</v>
      </c>
      <c r="CG107">
        <f>IF(CE107=BO107,BQ107,IF(CE107=BS107,BU107,IF(CE107=BW107,BY107,IF(CE107=CA107,CC107,0))))</f>
        <v>1.1875100000000001</v>
      </c>
      <c r="CH107">
        <f t="shared" si="47"/>
        <v>0</v>
      </c>
      <c r="CI107">
        <f t="shared" si="48"/>
        <v>7.7005555555555605E-2</v>
      </c>
      <c r="CJ107">
        <f>IF(CI107=BO107,BP107,IF(CI107=BS107,BT107,IF(CI107=BW107,BX107,IF(CI107=CA107,CB107,IF(CI107=CE107,CF107,0)))))</f>
        <v>3</v>
      </c>
      <c r="CK107">
        <f>IF(CI107=BO107,BQ107,IF(CI107=BS107,BU107,IF(CI107=BW107,BY107,IF(CI107=CA107,CC107,IF(CI107=CE107,CG107,0)))))</f>
        <v>1.1875100000000001</v>
      </c>
      <c r="CL107">
        <f t="shared" si="49"/>
        <v>0</v>
      </c>
      <c r="CM107">
        <f t="shared" si="50"/>
        <v>7.7005555555555605E-2</v>
      </c>
      <c r="CN107">
        <f>IF(CM107=BO107,BP107,IF(CM107=BS107,BT107,IF(CM107=BW107,BX107,IF(CM107=CA107,CB107,IF(CM107=CE107,CF107,IF(CM107=CI107,CJ107,0))))))</f>
        <v>3</v>
      </c>
      <c r="CO107">
        <f>IF(CM107=BO107,BQ107,IF(CM107=BS107,BU107,IF(CM107=BW107,BY107,IF(CM107=CA107,CC107,IF(CM107=CE107,CG107,IF(CM107=CI107,CK107,0))))))</f>
        <v>1.1875100000000001</v>
      </c>
      <c r="CP107">
        <f t="shared" si="51"/>
        <v>0</v>
      </c>
      <c r="CQ107">
        <f t="shared" si="52"/>
        <v>7.7005555555555605E-2</v>
      </c>
      <c r="CR107">
        <f>IF(CQ107=BO107,BP107,IF(CQ107=BS107,BT107,IF(CQ107=BW107,BX107,IF(CQ107=CA107,CB107,IF(CQ107=CE107,CF107,IF(CQ107=CI107,CJ107,IF(CQ107=CM107,CN107,0)))))))</f>
        <v>3</v>
      </c>
      <c r="CS107">
        <f>IF(CQ107=BO107,BQ107,IF(CQ107=BS107,BU107,IF(CQ107=BW107,BY107,IF(CQ107=CA107,CC107,IF(CQ107=CE107,CG107,IF(CQ107=CI107,CK107,IF(CQ107=CM107,CO107,0)))))))</f>
        <v>1.1875100000000001</v>
      </c>
      <c r="CT107">
        <f t="shared" si="53"/>
        <v>0</v>
      </c>
      <c r="CU107">
        <f t="shared" si="54"/>
        <v>7.7005555555555605E-2</v>
      </c>
      <c r="CV107">
        <f>IF(CU107=BO107,BP107,IF(CU107=BS107,BT107,IF(CU107=BW107,BX107,IF(CU107=CA107,CB107,IF(CU107=CE107,CF107,IF(CU107=CI107,CJ107,IF(CU107=CM107,CN107,IF(CU107=CQ107,CR107,0))))))))</f>
        <v>3</v>
      </c>
      <c r="CW107">
        <f>IF(CU107=BO107,BQ107,IF(CU107=BS107,BU107,IF(CU107=BW107,BY107,IF(CU107=CA107,CC107,IF(CU107=CE107,CG107,IF(CU107=CI107,CK107,IF(CU107=CM107,CO107,IF(CU107=CQ107,CS107,0))))))))</f>
        <v>1.1875100000000001</v>
      </c>
      <c r="CX107">
        <f t="shared" si="55"/>
        <v>0</v>
      </c>
      <c r="CY107">
        <f t="shared" si="56"/>
        <v>7.7005555555555605E-2</v>
      </c>
      <c r="CZ107">
        <f>IF(CY107=BO107,BP107,IF(CY107=BS107,BT107,IF(CY107=BW107,BX107,IF(CY107=CA107,CB107,IF(CY107=CE107,CF107,IF(CY107=CI107,CJ107,IF(CY107=CM107,CN107,IF(CY107=CQ107,CR107,IF(CY107=CU107,CV107,0)))))))))</f>
        <v>3</v>
      </c>
      <c r="DA107">
        <f>IF(CY107=BO107,BQ107,IF(CY107=BS107,BU107,IF(CY107=BW107,BY107,IF(CY107=CA107,CC107,IF(CY107=CE107,CG107,IF(CY107=CI107,CK107,IF(CY107=CM107,CO107,IF(CY107=CQ107,CS107,IF(CY107=CU107,CW107,0)))))))))</f>
        <v>1.1875100000000001</v>
      </c>
      <c r="DB107">
        <f t="shared" si="57"/>
        <v>0</v>
      </c>
      <c r="DC107">
        <f t="shared" si="58"/>
        <v>7.7005555555555605E-2</v>
      </c>
      <c r="DD107">
        <f>IF(DC107=BO107,BP107,IF(DC107=BS107,BT107,IF(DC107=BW107,BX107,IF(DC107=CA107,CB107,IF(DC107=CE107,CF107,IF(DC107=CI107,CJ107,IF(DC107=CM107,CN107,IF(DC107=CQ107,CR107,IF(DC107=CU107,CV107,IF(DC107=CY107,CZ107,0))))))))))</f>
        <v>3</v>
      </c>
      <c r="DE107">
        <f>IF(DC107=BO107,BQ107,IF(DC107=BS107,BU107,IF(DC107=BW107,BY107,IF(DC107=CA107,CC107,IF(DC107=CE107,CG107,IF(DC107=CI107,CK107,IF(DC107=CM107,CO107,IF(DC107=CQ107,CS107,IF(DC107=CU107,CW107,IF(DC107=CY107,DA107,0))))))))))</f>
        <v>1.1875100000000001</v>
      </c>
      <c r="DF107">
        <f t="shared" si="59"/>
        <v>0</v>
      </c>
      <c r="DG107">
        <f t="shared" si="60"/>
        <v>7.7005555555555605E-2</v>
      </c>
      <c r="DH107">
        <f>IF(DG107=BO107,BP107,IF(DG107=BS107,BT107,IF(DG107=BW107,BX107,IF(DG107=CA107,CB107,IF(DG107=CE107,CF107,IF(DG107=CI107,CJ107,IF(DG107=CM107,CN107,IF(DG107=CQ107,CR107,IF(DG107=CU107,CV107,IF(DG107=CY107,CZ107,IF(DG107=DC107,DD107,0)))))))))))</f>
        <v>3</v>
      </c>
      <c r="DI107">
        <f>IF(DG107=BO107,BQ107,IF(DG107=BS107,BU107,IF(DG107=BW107,BY107,IF(DG107=CA107,CC107,IF(DG107=CE107,CG107,IF(DG107=CI107,CK107,IF(DG107=CM107,CO107,IF(DG107=CQ107,CS107,IF(DG107=CU107,CW107,IF(DG107=CY107,DA107,IF(DG107=DC107,DE107,0)))))))))))</f>
        <v>1.1875100000000001</v>
      </c>
      <c r="DJ107">
        <f t="shared" si="61"/>
        <v>0</v>
      </c>
      <c r="DK107">
        <f t="shared" si="62"/>
        <v>7.7005555555555605E-2</v>
      </c>
      <c r="DL107">
        <f>IF(DK107=BO107,BP107,IF(DK107=BS107,BT107,IF(DK107=BW107,BX107,IF(DK107=CA107,CB107,IF(DK107=CE107,CF107,IF(DK107=CI107,CJ107,IF(DK107=CM107,CN107,IF(DK107=CQ107,CR107,IF(DK107=CU107,CV107,IF(DK107=CY107,CZ107,IF(DK107=DC107,DD107,IF(DK107=DG107,DH107,0))))))))))))</f>
        <v>3</v>
      </c>
      <c r="DM107">
        <f>IF(DK107=BO107,BQ107,IF(DK107=BS107,BU107,IF(DK107=BW107,BY107,IF(DK107=CA107,CC107,IF(DK107=CE107,CG107,IF(DK107=CI107,CK107,IF(DK107=CM107,CO107,IF(DK107=CQ107,CS107,IF(DK107=CU107,CW107,IF(DK107=CY107,DA107,IF(DK107=DC107,DE107,IF(DK107=DG107,DI107,0))))))))))))</f>
        <v>1.1875100000000001</v>
      </c>
      <c r="DN107">
        <f t="shared" si="63"/>
        <v>0</v>
      </c>
      <c r="DO107">
        <f t="shared" si="64"/>
        <v>7.7005555555555605E-2</v>
      </c>
      <c r="DP107">
        <f>IF(DO107=BO107,BP107,IF(DO107=BS107,BT107,IF(DO107=BW107,BX107,IF(DO107=CA107,CB107,IF(DO107=CE107,CF107,IF(DO107=CI107,CJ107,IF(DO107=CM107,CN107,IF(DO107=CQ107,CR107,IF(DO107=CU107,CV107,IF(DO107=CY107,CZ107,IF(DO107=DC107,DD107,IF(DO107=DG107,DH107,IF(DO107=DK107,DL107,0)))))))))))))</f>
        <v>3</v>
      </c>
      <c r="DQ107">
        <f>IF(DO107=BO107,BQ107,IF(DO107=BS107,BU107,IF(DO107=BW107,BY107,IF(DO107=CA107,CC107,IF(DO107=CE107,CG107,IF(DO107=CI107,CK107,IF(DO107=CM107,CO107,IF(DO107=CQ107,CS107,IF(DO107=CU107,CW107,IF(DO107=CY107,DA107,IF(DO107=DC107,DE107,IF(DO107=DG107,DI107,IF(DO107=DK107,DM107,0)))))))))))))</f>
        <v>1.1875100000000001</v>
      </c>
      <c r="DR107">
        <f t="shared" si="65"/>
        <v>0</v>
      </c>
      <c r="DS107">
        <f t="shared" si="66"/>
        <v>7.7005555555555605E-2</v>
      </c>
      <c r="DT107">
        <f>IF(DS107=BO107,BP107,IF(DS107=BS107,BT107,IF(DS107=BW107,BX107,IF(DS107=CA107,CB107,IF(DS107=CE107,CF107,IF(DS107=CI107,CJ107,IF(DS107=CM107,CN107,IF(DS107=CQ107,CR107,IF(DS107=CU107,CV107,IF(DS107=CY107,CZ107,IF(DS107=DC107,DD107,IF(DS107=DG107,DH107,IF(DS107=DK107,DL107,IF(DS107=DO107,DP107,0))))))))))))))</f>
        <v>3</v>
      </c>
      <c r="DU107">
        <f>IF(DS107=BO107,BQ107,IF(DS107=BS107,BU107,IF(DS107=BW107,BY107,IF(DS107=CA107,CC107,IF(DS107=CE107,CG107,IF(DS107=CI107,CK107,IF(DS107=CM107,CO107,IF(DS107=CQ107,CS107,IF(DS107=CU107,CW107,IF(DS107=CY107,DA107,IF(DS107=DC107,DE107,IF(DS107=DG107,DI107,IF(DS107=DK107,DM107,IF(DS107=DO107,DQ107,0))))))))))))))</f>
        <v>1.1875100000000001</v>
      </c>
      <c r="DV107">
        <f t="shared" si="67"/>
        <v>0</v>
      </c>
      <c r="DW107">
        <v>97500.5</v>
      </c>
      <c r="DX107">
        <v>5</v>
      </c>
      <c r="DY107">
        <v>60</v>
      </c>
      <c r="DZ107">
        <v>4</v>
      </c>
      <c r="EA107">
        <v>4</v>
      </c>
      <c r="EB107">
        <v>43.827015283188501</v>
      </c>
      <c r="EC107">
        <v>0.8</v>
      </c>
      <c r="ED107">
        <v>2.89261312</v>
      </c>
      <c r="EE107">
        <v>7.7005555555555605E-2</v>
      </c>
      <c r="EF107">
        <v>1.1875100000000001</v>
      </c>
      <c r="EG107">
        <v>29.959106103459799</v>
      </c>
      <c r="EH107">
        <v>3</v>
      </c>
      <c r="EI107">
        <v>0</v>
      </c>
      <c r="EJ107">
        <v>0.12350104000000001</v>
      </c>
      <c r="EK107">
        <v>1</v>
      </c>
      <c r="EL107">
        <v>0</v>
      </c>
      <c r="EM107">
        <v>53</v>
      </c>
      <c r="EN107">
        <v>1</v>
      </c>
      <c r="EO107">
        <v>4</v>
      </c>
      <c r="EP107">
        <v>7</v>
      </c>
      <c r="EQ107">
        <v>6</v>
      </c>
      <c r="ER107">
        <v>14.1987814663817</v>
      </c>
      <c r="ES107">
        <v>9.1776979292728296</v>
      </c>
      <c r="ET107">
        <v>12.070311049272799</v>
      </c>
      <c r="EU107">
        <v>2.1867701100613002</v>
      </c>
      <c r="EV107">
        <v>2.3102711500613</v>
      </c>
      <c r="EW107">
        <v>1.7274441599999999</v>
      </c>
      <c r="EX107">
        <v>7.32948987506549</v>
      </c>
      <c r="EY107">
        <v>9.0569340350654901</v>
      </c>
      <c r="EZ107">
        <v>0.12350104000000001</v>
      </c>
      <c r="FA107">
        <v>2.1867701100613002</v>
      </c>
      <c r="FB107">
        <v>2.3102711500613</v>
      </c>
      <c r="FC107">
        <v>0.12350104000000001</v>
      </c>
      <c r="FD107">
        <v>2.1867701100613002</v>
      </c>
      <c r="FE107">
        <v>2.3102711500613</v>
      </c>
      <c r="FF107">
        <v>0.26742144000000001</v>
      </c>
      <c r="FG107">
        <v>2.9213204045887702</v>
      </c>
      <c r="FH107">
        <v>3.1887418445887699</v>
      </c>
    </row>
    <row r="108" spans="1:164" x14ac:dyDescent="0.2">
      <c r="A108">
        <v>107</v>
      </c>
      <c r="B108">
        <v>120</v>
      </c>
      <c r="C108">
        <v>184</v>
      </c>
      <c r="D108">
        <v>1</v>
      </c>
      <c r="E108">
        <v>11</v>
      </c>
      <c r="F108" t="s">
        <v>158</v>
      </c>
      <c r="G108" t="s">
        <v>303</v>
      </c>
      <c r="H108">
        <v>3</v>
      </c>
      <c r="I108">
        <v>3</v>
      </c>
      <c r="K108" t="s">
        <v>274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7</v>
      </c>
      <c r="AC108">
        <v>0</v>
      </c>
      <c r="AD108">
        <v>5</v>
      </c>
      <c r="AE108">
        <v>14</v>
      </c>
      <c r="AF108">
        <v>7</v>
      </c>
      <c r="AG108">
        <v>12</v>
      </c>
      <c r="AH108">
        <v>8</v>
      </c>
      <c r="AI108">
        <v>0.33179722222222202</v>
      </c>
      <c r="AJ108">
        <v>20.23715</v>
      </c>
      <c r="AK108">
        <v>0.23648611111111101</v>
      </c>
      <c r="AL108">
        <v>5.8463200000000004</v>
      </c>
      <c r="AM108">
        <v>0.11863333333333299</v>
      </c>
      <c r="AN108">
        <v>3.2635399999999999</v>
      </c>
      <c r="AO108">
        <v>2.2638888888888899E-2</v>
      </c>
      <c r="AP108">
        <v>0.33962999999999999</v>
      </c>
      <c r="AQ108">
        <v>0.10581111111111099</v>
      </c>
      <c r="AR108">
        <v>1.6088</v>
      </c>
      <c r="AS108">
        <v>0.23271944444444401</v>
      </c>
      <c r="AT108">
        <v>7.7902300000000002</v>
      </c>
      <c r="AU108">
        <v>0.24717222222222199</v>
      </c>
      <c r="AV108">
        <v>12.56114</v>
      </c>
      <c r="AW108">
        <v>0.256727777777778</v>
      </c>
      <c r="AX108">
        <v>15.48718</v>
      </c>
      <c r="AY108">
        <v>0.26671388888888897</v>
      </c>
      <c r="AZ108">
        <v>16.725909999999999</v>
      </c>
      <c r="BA108">
        <v>0.280063888888889</v>
      </c>
      <c r="BB108">
        <v>18.046620000000001</v>
      </c>
      <c r="BC108">
        <v>0.34089166666666698</v>
      </c>
      <c r="BD108">
        <v>19.371320000000001</v>
      </c>
      <c r="BE108">
        <v>0.35191111111111101</v>
      </c>
      <c r="BF108">
        <v>25.748280000000001</v>
      </c>
      <c r="BG108">
        <v>0.41578611111111102</v>
      </c>
      <c r="BH108">
        <v>29.151129999999998</v>
      </c>
      <c r="BI108">
        <v>0.45961111111111103</v>
      </c>
      <c r="BJ108">
        <v>31.125039999999998</v>
      </c>
      <c r="BK108">
        <v>0.52775277777777796</v>
      </c>
      <c r="BL108">
        <v>37.9407</v>
      </c>
      <c r="BM108">
        <v>0.56925555555555596</v>
      </c>
      <c r="BN108">
        <v>39.933369999999996</v>
      </c>
      <c r="BO108">
        <f t="shared" si="34"/>
        <v>2.2638888888888899E-2</v>
      </c>
      <c r="BP108">
        <v>3</v>
      </c>
      <c r="BQ108">
        <v>0.33962999999999999</v>
      </c>
      <c r="BR108">
        <f t="shared" si="35"/>
        <v>0</v>
      </c>
      <c r="BS108">
        <f t="shared" si="36"/>
        <v>2.2638888888888899E-2</v>
      </c>
      <c r="BT108">
        <f t="shared" si="37"/>
        <v>3</v>
      </c>
      <c r="BU108">
        <f t="shared" si="38"/>
        <v>0.33962999999999999</v>
      </c>
      <c r="BV108">
        <f t="shared" si="39"/>
        <v>0</v>
      </c>
      <c r="BW108">
        <f t="shared" si="40"/>
        <v>0.10581111111111099</v>
      </c>
      <c r="BX108">
        <v>4</v>
      </c>
      <c r="BY108">
        <v>1.6088</v>
      </c>
      <c r="BZ108">
        <f t="shared" si="43"/>
        <v>0</v>
      </c>
      <c r="CA108">
        <f t="shared" si="44"/>
        <v>2.2638888888888899E-2</v>
      </c>
      <c r="CB108">
        <f>IF(CA108=BO108,BP108,IF(CA108=BS108,BT108,IF(CA108=BW108,BX108,0)))</f>
        <v>3</v>
      </c>
      <c r="CC108">
        <f>IF(CA108=BO108,BQ108,IF(CA108=BS108,BU108,IF(CA108=BW108,BY108,0)))</f>
        <v>0.33962999999999999</v>
      </c>
      <c r="CD108">
        <f t="shared" si="45"/>
        <v>0</v>
      </c>
      <c r="CE108">
        <f t="shared" si="46"/>
        <v>2.2638888888888899E-2</v>
      </c>
      <c r="CF108">
        <f>IF(CE108=BO108,BP108,IF(CE108=BS108,BT108,IF(CE108=BW108,BX108,IF(CE108=CA108,CB108,0))))</f>
        <v>3</v>
      </c>
      <c r="CG108">
        <f>IF(CE108=BO108,BQ108,IF(CE108=BS108,BU108,IF(CE108=BW108,BY108,IF(CE108=CA108,CC108,0))))</f>
        <v>0.33962999999999999</v>
      </c>
      <c r="CH108">
        <f t="shared" si="47"/>
        <v>0</v>
      </c>
      <c r="CI108">
        <f t="shared" si="48"/>
        <v>2.2638888888888899E-2</v>
      </c>
      <c r="CJ108">
        <f>IF(CI108=BO108,BP108,IF(CI108=BS108,BT108,IF(CI108=BW108,BX108,IF(CI108=CA108,CB108,IF(CI108=CE108,CF108,0)))))</f>
        <v>3</v>
      </c>
      <c r="CK108">
        <f>IF(CI108=BO108,BQ108,IF(CI108=BS108,BU108,IF(CI108=BW108,BY108,IF(CI108=CA108,CC108,IF(CI108=CE108,CG108,0)))))</f>
        <v>0.33962999999999999</v>
      </c>
      <c r="CL108">
        <f t="shared" si="49"/>
        <v>0</v>
      </c>
      <c r="CM108">
        <f t="shared" si="50"/>
        <v>2.2638888888888899E-2</v>
      </c>
      <c r="CN108">
        <f>IF(CM108=BO108,BP108,IF(CM108=BS108,BT108,IF(CM108=BW108,BX108,IF(CM108=CA108,CB108,IF(CM108=CE108,CF108,IF(CM108=CI108,CJ108,0))))))</f>
        <v>3</v>
      </c>
      <c r="CO108">
        <f>IF(CM108=BO108,BQ108,IF(CM108=BS108,BU108,IF(CM108=BW108,BY108,IF(CM108=CA108,CC108,IF(CM108=CE108,CG108,IF(CM108=CI108,CK108,0))))))</f>
        <v>0.33962999999999999</v>
      </c>
      <c r="CP108">
        <f t="shared" si="51"/>
        <v>0</v>
      </c>
      <c r="CQ108">
        <f t="shared" si="52"/>
        <v>2.2638888888888899E-2</v>
      </c>
      <c r="CR108">
        <f>IF(CQ108=BO108,BP108,IF(CQ108=BS108,BT108,IF(CQ108=BW108,BX108,IF(CQ108=CA108,CB108,IF(CQ108=CE108,CF108,IF(CQ108=CI108,CJ108,IF(CQ108=CM108,CN108,0)))))))</f>
        <v>3</v>
      </c>
      <c r="CS108">
        <f>IF(CQ108=BO108,BQ108,IF(CQ108=BS108,BU108,IF(CQ108=BW108,BY108,IF(CQ108=CA108,CC108,IF(CQ108=CE108,CG108,IF(CQ108=CI108,CK108,IF(CQ108=CM108,CO108,0)))))))</f>
        <v>0.33962999999999999</v>
      </c>
      <c r="CT108">
        <f t="shared" si="53"/>
        <v>0</v>
      </c>
      <c r="CU108">
        <f t="shared" si="54"/>
        <v>2.2638888888888899E-2</v>
      </c>
      <c r="CV108">
        <f>IF(CU108=BO108,BP108,IF(CU108=BS108,BT108,IF(CU108=BW108,BX108,IF(CU108=CA108,CB108,IF(CU108=CE108,CF108,IF(CU108=CI108,CJ108,IF(CU108=CM108,CN108,IF(CU108=CQ108,CR108,0))))))))</f>
        <v>3</v>
      </c>
      <c r="CW108">
        <f>IF(CU108=BO108,BQ108,IF(CU108=BS108,BU108,IF(CU108=BW108,BY108,IF(CU108=CA108,CC108,IF(CU108=CE108,CG108,IF(CU108=CI108,CK108,IF(CU108=CM108,CO108,IF(CU108=CQ108,CS108,0))))))))</f>
        <v>0.33962999999999999</v>
      </c>
      <c r="CX108">
        <f t="shared" si="55"/>
        <v>0</v>
      </c>
      <c r="CY108">
        <f t="shared" si="56"/>
        <v>2.2638888888888899E-2</v>
      </c>
      <c r="CZ108">
        <f>IF(CY108=BO108,BP108,IF(CY108=BS108,BT108,IF(CY108=BW108,BX108,IF(CY108=CA108,CB108,IF(CY108=CE108,CF108,IF(CY108=CI108,CJ108,IF(CY108=CM108,CN108,IF(CY108=CQ108,CR108,IF(CY108=CU108,CV108,0)))))))))</f>
        <v>3</v>
      </c>
      <c r="DA108">
        <f>IF(CY108=BO108,BQ108,IF(CY108=BS108,BU108,IF(CY108=BW108,BY108,IF(CY108=CA108,CC108,IF(CY108=CE108,CG108,IF(CY108=CI108,CK108,IF(CY108=CM108,CO108,IF(CY108=CQ108,CS108,IF(CY108=CU108,CW108,0)))))))))</f>
        <v>0.33962999999999999</v>
      </c>
      <c r="DB108">
        <f t="shared" si="57"/>
        <v>0</v>
      </c>
      <c r="DC108">
        <f t="shared" si="58"/>
        <v>2.2638888888888899E-2</v>
      </c>
      <c r="DD108">
        <f>IF(DC108=BO108,BP108,IF(DC108=BS108,BT108,IF(DC108=BW108,BX108,IF(DC108=CA108,CB108,IF(DC108=CE108,CF108,IF(DC108=CI108,CJ108,IF(DC108=CM108,CN108,IF(DC108=CQ108,CR108,IF(DC108=CU108,CV108,IF(DC108=CY108,CZ108,0))))))))))</f>
        <v>3</v>
      </c>
      <c r="DE108">
        <f>IF(DC108=BO108,BQ108,IF(DC108=BS108,BU108,IF(DC108=BW108,BY108,IF(DC108=CA108,CC108,IF(DC108=CE108,CG108,IF(DC108=CI108,CK108,IF(DC108=CM108,CO108,IF(DC108=CQ108,CS108,IF(DC108=CU108,CW108,IF(DC108=CY108,DA108,0))))))))))</f>
        <v>0.33962999999999999</v>
      </c>
      <c r="DF108">
        <f t="shared" si="59"/>
        <v>0</v>
      </c>
      <c r="DG108">
        <f t="shared" si="60"/>
        <v>2.2638888888888899E-2</v>
      </c>
      <c r="DH108">
        <f>IF(DG108=BO108,BP108,IF(DG108=BS108,BT108,IF(DG108=BW108,BX108,IF(DG108=CA108,CB108,IF(DG108=CE108,CF108,IF(DG108=CI108,CJ108,IF(DG108=CM108,CN108,IF(DG108=CQ108,CR108,IF(DG108=CU108,CV108,IF(DG108=CY108,CZ108,IF(DG108=DC108,DD108,0)))))))))))</f>
        <v>3</v>
      </c>
      <c r="DI108">
        <f>IF(DG108=BO108,BQ108,IF(DG108=BS108,BU108,IF(DG108=BW108,BY108,IF(DG108=CA108,CC108,IF(DG108=CE108,CG108,IF(DG108=CI108,CK108,IF(DG108=CM108,CO108,IF(DG108=CQ108,CS108,IF(DG108=CU108,CW108,IF(DG108=CY108,DA108,IF(DG108=DC108,DE108,0)))))))))))</f>
        <v>0.33962999999999999</v>
      </c>
      <c r="DJ108">
        <f t="shared" si="61"/>
        <v>0</v>
      </c>
      <c r="DK108">
        <f t="shared" si="62"/>
        <v>2.2638888888888899E-2</v>
      </c>
      <c r="DL108">
        <f>IF(DK108=BO108,BP108,IF(DK108=BS108,BT108,IF(DK108=BW108,BX108,IF(DK108=CA108,CB108,IF(DK108=CE108,CF108,IF(DK108=CI108,CJ108,IF(DK108=CM108,CN108,IF(DK108=CQ108,CR108,IF(DK108=CU108,CV108,IF(DK108=CY108,CZ108,IF(DK108=DC108,DD108,IF(DK108=DG108,DH108,0))))))))))))</f>
        <v>3</v>
      </c>
      <c r="DM108">
        <f>IF(DK108=BO108,BQ108,IF(DK108=BS108,BU108,IF(DK108=BW108,BY108,IF(DK108=CA108,CC108,IF(DK108=CE108,CG108,IF(DK108=CI108,CK108,IF(DK108=CM108,CO108,IF(DK108=CQ108,CS108,IF(DK108=CU108,CW108,IF(DK108=CY108,DA108,IF(DK108=DC108,DE108,IF(DK108=DG108,DI108,0))))))))))))</f>
        <v>0.33962999999999999</v>
      </c>
      <c r="DN108">
        <f t="shared" si="63"/>
        <v>0</v>
      </c>
      <c r="DO108">
        <f t="shared" si="64"/>
        <v>2.2638888888888899E-2</v>
      </c>
      <c r="DP108">
        <f>IF(DO108=BO108,BP108,IF(DO108=BS108,BT108,IF(DO108=BW108,BX108,IF(DO108=CA108,CB108,IF(DO108=CE108,CF108,IF(DO108=CI108,CJ108,IF(DO108=CM108,CN108,IF(DO108=CQ108,CR108,IF(DO108=CU108,CV108,IF(DO108=CY108,CZ108,IF(DO108=DC108,DD108,IF(DO108=DG108,DH108,IF(DO108=DK108,DL108,0)))))))))))))</f>
        <v>3</v>
      </c>
      <c r="DQ108">
        <f>IF(DO108=BO108,BQ108,IF(DO108=BS108,BU108,IF(DO108=BW108,BY108,IF(DO108=CA108,CC108,IF(DO108=CE108,CG108,IF(DO108=CI108,CK108,IF(DO108=CM108,CO108,IF(DO108=CQ108,CS108,IF(DO108=CU108,CW108,IF(DO108=CY108,DA108,IF(DO108=DC108,DE108,IF(DO108=DG108,DI108,IF(DO108=DK108,DM108,0)))))))))))))</f>
        <v>0.33962999999999999</v>
      </c>
      <c r="DR108">
        <f t="shared" si="65"/>
        <v>0</v>
      </c>
      <c r="DS108">
        <f t="shared" si="66"/>
        <v>2.2638888888888899E-2</v>
      </c>
      <c r="DT108">
        <f>IF(DS108=BO108,BP108,IF(DS108=BS108,BT108,IF(DS108=BW108,BX108,IF(DS108=CA108,CB108,IF(DS108=CE108,CF108,IF(DS108=CI108,CJ108,IF(DS108=CM108,CN108,IF(DS108=CQ108,CR108,IF(DS108=CU108,CV108,IF(DS108=CY108,CZ108,IF(DS108=DC108,DD108,IF(DS108=DG108,DH108,IF(DS108=DK108,DL108,IF(DS108=DO108,DP108,0))))))))))))))</f>
        <v>3</v>
      </c>
      <c r="DU108">
        <f>IF(DS108=BO108,BQ108,IF(DS108=BS108,BU108,IF(DS108=BW108,BY108,IF(DS108=CA108,CC108,IF(DS108=CE108,CG108,IF(DS108=CI108,CK108,IF(DS108=CM108,CO108,IF(DS108=CQ108,CS108,IF(DS108=CU108,CW108,IF(DS108=CY108,DA108,IF(DS108=DC108,DE108,IF(DS108=DG108,DI108,IF(DS108=DK108,DM108,IF(DS108=DO108,DQ108,0))))))))))))))</f>
        <v>0.33962999999999999</v>
      </c>
      <c r="DV108">
        <f t="shared" si="67"/>
        <v>0</v>
      </c>
      <c r="DW108">
        <v>31226.480769230799</v>
      </c>
      <c r="DX108">
        <v>5</v>
      </c>
      <c r="DY108">
        <v>35</v>
      </c>
      <c r="DZ108">
        <v>4</v>
      </c>
      <c r="EA108">
        <v>4</v>
      </c>
      <c r="EB108">
        <v>14.0364762223093</v>
      </c>
      <c r="EC108">
        <v>0.8</v>
      </c>
      <c r="ED108">
        <v>2.9046636000000001</v>
      </c>
      <c r="EE108">
        <v>2.2638888888888899E-2</v>
      </c>
      <c r="EF108">
        <v>0.33962999999999999</v>
      </c>
      <c r="EG108">
        <v>10.949851218054</v>
      </c>
      <c r="EH108">
        <v>3</v>
      </c>
      <c r="EI108">
        <v>0</v>
      </c>
      <c r="EJ108">
        <v>3.5321520000000002E-2</v>
      </c>
      <c r="EK108">
        <v>1</v>
      </c>
      <c r="EL108">
        <v>0</v>
      </c>
      <c r="EM108">
        <v>48</v>
      </c>
      <c r="EN108">
        <v>1</v>
      </c>
      <c r="EO108">
        <v>3</v>
      </c>
      <c r="EP108">
        <v>8</v>
      </c>
      <c r="EQ108">
        <v>7</v>
      </c>
      <c r="ER108">
        <v>14.1987814663817</v>
      </c>
      <c r="ES108">
        <v>9.4222324989716206</v>
      </c>
      <c r="ET108">
        <v>12.3268960989716</v>
      </c>
      <c r="EU108">
        <v>0.64288927195005996</v>
      </c>
      <c r="EV108">
        <v>0.67821079195005995</v>
      </c>
      <c r="EW108">
        <v>1.73949464</v>
      </c>
      <c r="EX108">
        <v>7.5740244447642802</v>
      </c>
      <c r="EY108">
        <v>9.3135190847642804</v>
      </c>
      <c r="EZ108">
        <v>3.5321520000000002E-2</v>
      </c>
      <c r="FA108">
        <v>0.64288927195005996</v>
      </c>
      <c r="FB108">
        <v>0.67821079195005995</v>
      </c>
      <c r="FC108">
        <v>3.5321520000000002E-2</v>
      </c>
      <c r="FD108">
        <v>0.64288927195005996</v>
      </c>
      <c r="FE108">
        <v>0.67821079195005995</v>
      </c>
      <c r="FF108">
        <v>0.1673152</v>
      </c>
      <c r="FG108">
        <v>3.00477768676339</v>
      </c>
      <c r="FH108">
        <v>3.17209288676339</v>
      </c>
    </row>
    <row r="109" spans="1:164" x14ac:dyDescent="0.2">
      <c r="A109">
        <v>108</v>
      </c>
      <c r="B109">
        <v>121</v>
      </c>
      <c r="C109">
        <v>187</v>
      </c>
      <c r="D109">
        <v>1</v>
      </c>
      <c r="E109">
        <v>11</v>
      </c>
      <c r="F109" t="s">
        <v>187</v>
      </c>
      <c r="G109" t="s">
        <v>304</v>
      </c>
      <c r="H109">
        <v>3</v>
      </c>
      <c r="I109">
        <v>3</v>
      </c>
      <c r="K109" t="s">
        <v>305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4</v>
      </c>
      <c r="AD109">
        <v>0</v>
      </c>
      <c r="AE109">
        <v>8</v>
      </c>
      <c r="AF109">
        <v>4</v>
      </c>
      <c r="AG109">
        <v>7</v>
      </c>
      <c r="AH109">
        <v>7</v>
      </c>
      <c r="AI109">
        <v>0.44514166666666699</v>
      </c>
      <c r="AJ109">
        <v>19.71799</v>
      </c>
      <c r="AK109">
        <v>0.63081944444444404</v>
      </c>
      <c r="AL109">
        <v>25.06606</v>
      </c>
      <c r="AM109">
        <v>0.53396944444444405</v>
      </c>
      <c r="AN109">
        <v>24.267910000000001</v>
      </c>
      <c r="AO109">
        <v>0.51925833333333304</v>
      </c>
      <c r="AP109">
        <v>22.807089999999999</v>
      </c>
      <c r="AQ109">
        <v>0.57357222222222204</v>
      </c>
      <c r="AR109">
        <v>25.316130000000001</v>
      </c>
      <c r="AS109">
        <v>0.56002777777777801</v>
      </c>
      <c r="AT109">
        <v>23.951039999999999</v>
      </c>
      <c r="AU109">
        <v>0.44677222222222202</v>
      </c>
      <c r="AV109">
        <v>19.232869999999998</v>
      </c>
      <c r="AW109">
        <v>0.46295277777777799</v>
      </c>
      <c r="AX109">
        <v>20.60942</v>
      </c>
      <c r="AY109">
        <v>0.45391111111111099</v>
      </c>
      <c r="AZ109">
        <v>20.80096</v>
      </c>
      <c r="BA109">
        <v>0.43890277777777797</v>
      </c>
      <c r="BB109">
        <v>20.217980000000001</v>
      </c>
      <c r="BC109">
        <v>0.45772222222222197</v>
      </c>
      <c r="BD109">
        <v>20.229030000000002</v>
      </c>
      <c r="BE109">
        <v>0.48700555555555602</v>
      </c>
      <c r="BF109">
        <v>25.61534</v>
      </c>
      <c r="BG109">
        <v>0.54435555555555604</v>
      </c>
      <c r="BH109">
        <v>26.63813</v>
      </c>
      <c r="BI109">
        <v>0.58818333333333295</v>
      </c>
      <c r="BJ109">
        <v>28.61204</v>
      </c>
      <c r="BK109">
        <v>0.66284444444444401</v>
      </c>
      <c r="BL109">
        <v>37.807749999999999</v>
      </c>
      <c r="BM109">
        <v>0.699430555555556</v>
      </c>
      <c r="BN109">
        <v>33.135890000000003</v>
      </c>
      <c r="BO109">
        <f t="shared" si="34"/>
        <v>0.43890277777777797</v>
      </c>
      <c r="BP109">
        <v>9</v>
      </c>
      <c r="BQ109">
        <v>20.217980000000001</v>
      </c>
      <c r="BR109">
        <f t="shared" si="35"/>
        <v>0</v>
      </c>
      <c r="BS109">
        <f t="shared" si="36"/>
        <v>0.43890277777777797</v>
      </c>
      <c r="BT109">
        <f t="shared" si="37"/>
        <v>9</v>
      </c>
      <c r="BU109">
        <f t="shared" si="38"/>
        <v>20.217980000000001</v>
      </c>
      <c r="BV109">
        <f t="shared" si="39"/>
        <v>0</v>
      </c>
      <c r="BW109">
        <f t="shared" si="40"/>
        <v>0.43890277777777797</v>
      </c>
      <c r="BX109">
        <f t="shared" si="41"/>
        <v>9</v>
      </c>
      <c r="BY109">
        <f t="shared" si="42"/>
        <v>20.217980000000001</v>
      </c>
      <c r="BZ109">
        <f t="shared" si="43"/>
        <v>0</v>
      </c>
      <c r="CA109">
        <f t="shared" si="44"/>
        <v>0.43890277777777797</v>
      </c>
      <c r="CB109">
        <f>IF(CA109=BO109,BP109,IF(CA109=BS109,BT109,IF(CA109=BW109,BX109,0)))</f>
        <v>9</v>
      </c>
      <c r="CC109">
        <f>IF(CA109=BO109,BQ109,IF(CA109=BS109,BU109,IF(CA109=BW109,BY109,0)))</f>
        <v>20.217980000000001</v>
      </c>
      <c r="CD109">
        <f t="shared" si="45"/>
        <v>0</v>
      </c>
      <c r="CE109">
        <f t="shared" si="46"/>
        <v>0.43890277777777797</v>
      </c>
      <c r="CF109">
        <f>IF(CE109=BO109,BP109,IF(CE109=BS109,BT109,IF(CE109=BW109,BX109,IF(CE109=CA109,CB109,0))))</f>
        <v>9</v>
      </c>
      <c r="CG109">
        <f>IF(CE109=BO109,BQ109,IF(CE109=BS109,BU109,IF(CE109=BW109,BY109,IF(CE109=CA109,CC109,0))))</f>
        <v>20.217980000000001</v>
      </c>
      <c r="CH109">
        <f t="shared" si="47"/>
        <v>0</v>
      </c>
      <c r="CI109">
        <f t="shared" si="48"/>
        <v>0.43890277777777797</v>
      </c>
      <c r="CJ109">
        <f>IF(CI109=BO109,BP109,IF(CI109=BS109,BT109,IF(CI109=BW109,BX109,IF(CI109=CA109,CB109,IF(CI109=CE109,CF109,0)))))</f>
        <v>9</v>
      </c>
      <c r="CK109">
        <f>IF(CI109=BO109,BQ109,IF(CI109=BS109,BU109,IF(CI109=BW109,BY109,IF(CI109=CA109,CC109,IF(CI109=CE109,CG109,0)))))</f>
        <v>20.217980000000001</v>
      </c>
      <c r="CL109">
        <f t="shared" si="49"/>
        <v>0</v>
      </c>
      <c r="CM109">
        <f t="shared" si="50"/>
        <v>0.43890277777777797</v>
      </c>
      <c r="CN109">
        <f>IF(CM109=BO109,BP109,IF(CM109=BS109,BT109,IF(CM109=BW109,BX109,IF(CM109=CA109,CB109,IF(CM109=CE109,CF109,IF(CM109=CI109,CJ109,0))))))</f>
        <v>9</v>
      </c>
      <c r="CO109">
        <f>IF(CM109=BO109,BQ109,IF(CM109=BS109,BU109,IF(CM109=BW109,BY109,IF(CM109=CA109,CC109,IF(CM109=CE109,CG109,IF(CM109=CI109,CK109,0))))))</f>
        <v>20.217980000000001</v>
      </c>
      <c r="CP109">
        <f t="shared" si="51"/>
        <v>0</v>
      </c>
      <c r="CQ109">
        <f t="shared" si="52"/>
        <v>0.43890277777777797</v>
      </c>
      <c r="CR109">
        <f>IF(CQ109=BO109,BP109,IF(CQ109=BS109,BT109,IF(CQ109=BW109,BX109,IF(CQ109=CA109,CB109,IF(CQ109=CE109,CF109,IF(CQ109=CI109,CJ109,IF(CQ109=CM109,CN109,0)))))))</f>
        <v>9</v>
      </c>
      <c r="CS109">
        <f>IF(CQ109=BO109,BQ109,IF(CQ109=BS109,BU109,IF(CQ109=BW109,BY109,IF(CQ109=CA109,CC109,IF(CQ109=CE109,CG109,IF(CQ109=CI109,CK109,IF(CQ109=CM109,CO109,0)))))))</f>
        <v>20.217980000000001</v>
      </c>
      <c r="CT109">
        <f t="shared" si="53"/>
        <v>0</v>
      </c>
      <c r="CU109">
        <f t="shared" si="54"/>
        <v>0.44514166666666699</v>
      </c>
      <c r="CV109" t="s">
        <v>407</v>
      </c>
      <c r="CW109">
        <v>19.71799</v>
      </c>
      <c r="CX109">
        <v>4</v>
      </c>
      <c r="CY109">
        <f t="shared" si="56"/>
        <v>0.43890277777777797</v>
      </c>
      <c r="CZ109">
        <f>IF(CY109=BO109,BP109,IF(CY109=BS109,BT109,IF(CY109=BW109,BX109,IF(CY109=CA109,CB109,IF(CY109=CE109,CF109,IF(CY109=CI109,CJ109,IF(CY109=CM109,CN109,IF(CY109=CQ109,CR109,IF(CY109=CU109,CV109,0)))))))))</f>
        <v>9</v>
      </c>
      <c r="DA109">
        <f>IF(CY109=BO109,BQ109,IF(CY109=BS109,BU109,IF(CY109=BW109,BY109,IF(CY109=CA109,CC109,IF(CY109=CE109,CG109,IF(CY109=CI109,CK109,IF(CY109=CM109,CO109,IF(CY109=CQ109,CS109,IF(CY109=CU109,CW109,0)))))))))</f>
        <v>20.217980000000001</v>
      </c>
      <c r="DB109">
        <f t="shared" si="57"/>
        <v>0</v>
      </c>
      <c r="DC109">
        <f t="shared" si="58"/>
        <v>0.43890277777777797</v>
      </c>
      <c r="DD109">
        <f>IF(DC109=BO109,BP109,IF(DC109=BS109,BT109,IF(DC109=BW109,BX109,IF(DC109=CA109,CB109,IF(DC109=CE109,CF109,IF(DC109=CI109,CJ109,IF(DC109=CM109,CN109,IF(DC109=CQ109,CR109,IF(DC109=CU109,CV109,IF(DC109=CY109,CZ109,0))))))))))</f>
        <v>9</v>
      </c>
      <c r="DE109">
        <f>IF(DC109=BO109,BQ109,IF(DC109=BS109,BU109,IF(DC109=BW109,BY109,IF(DC109=CA109,CC109,IF(DC109=CE109,CG109,IF(DC109=CI109,CK109,IF(DC109=CM109,CO109,IF(DC109=CQ109,CS109,IF(DC109=CU109,CW109,IF(DC109=CY109,DA109,0))))))))))</f>
        <v>20.217980000000001</v>
      </c>
      <c r="DF109">
        <f t="shared" si="59"/>
        <v>0</v>
      </c>
      <c r="DG109">
        <f t="shared" si="60"/>
        <v>0.43890277777777797</v>
      </c>
      <c r="DH109">
        <f>IF(DG109=BO109,BP109,IF(DG109=BS109,BT109,IF(DG109=BW109,BX109,IF(DG109=CA109,CB109,IF(DG109=CE109,CF109,IF(DG109=CI109,CJ109,IF(DG109=CM109,CN109,IF(DG109=CQ109,CR109,IF(DG109=CU109,CV109,IF(DG109=CY109,CZ109,IF(DG109=DC109,DD109,0)))))))))))</f>
        <v>9</v>
      </c>
      <c r="DI109">
        <f>IF(DG109=BO109,BQ109,IF(DG109=BS109,BU109,IF(DG109=BW109,BY109,IF(DG109=CA109,CC109,IF(DG109=CE109,CG109,IF(DG109=CI109,CK109,IF(DG109=CM109,CO109,IF(DG109=CQ109,CS109,IF(DG109=CU109,CW109,IF(DG109=CY109,DA109,IF(DG109=DC109,DE109,0)))))))))))</f>
        <v>20.217980000000001</v>
      </c>
      <c r="DJ109">
        <f t="shared" si="61"/>
        <v>0</v>
      </c>
      <c r="DK109">
        <f t="shared" si="62"/>
        <v>0.43890277777777797</v>
      </c>
      <c r="DL109">
        <f>IF(DK109=BO109,BP109,IF(DK109=BS109,BT109,IF(DK109=BW109,BX109,IF(DK109=CA109,CB109,IF(DK109=CE109,CF109,IF(DK109=CI109,CJ109,IF(DK109=CM109,CN109,IF(DK109=CQ109,CR109,IF(DK109=CU109,CV109,IF(DK109=CY109,CZ109,IF(DK109=DC109,DD109,IF(DK109=DG109,DH109,0))))))))))))</f>
        <v>9</v>
      </c>
      <c r="DM109">
        <f>IF(DK109=BO109,BQ109,IF(DK109=BS109,BU109,IF(DK109=BW109,BY109,IF(DK109=CA109,CC109,IF(DK109=CE109,CG109,IF(DK109=CI109,CK109,IF(DK109=CM109,CO109,IF(DK109=CQ109,CS109,IF(DK109=CU109,CW109,IF(DK109=CY109,DA109,IF(DK109=DC109,DE109,IF(DK109=DG109,DI109,0))))))))))))</f>
        <v>20.217980000000001</v>
      </c>
      <c r="DN109">
        <f t="shared" si="63"/>
        <v>0</v>
      </c>
      <c r="DO109">
        <f t="shared" si="64"/>
        <v>0.43890277777777797</v>
      </c>
      <c r="DP109">
        <f>IF(DO109=BO109,BP109,IF(DO109=BS109,BT109,IF(DO109=BW109,BX109,IF(DO109=CA109,CB109,IF(DO109=CE109,CF109,IF(DO109=CI109,CJ109,IF(DO109=CM109,CN109,IF(DO109=CQ109,CR109,IF(DO109=CU109,CV109,IF(DO109=CY109,CZ109,IF(DO109=DC109,DD109,IF(DO109=DG109,DH109,IF(DO109=DK109,DL109,0)))))))))))))</f>
        <v>9</v>
      </c>
      <c r="DQ109">
        <f>IF(DO109=BO109,BQ109,IF(DO109=BS109,BU109,IF(DO109=BW109,BY109,IF(DO109=CA109,CC109,IF(DO109=CE109,CG109,IF(DO109=CI109,CK109,IF(DO109=CM109,CO109,IF(DO109=CQ109,CS109,IF(DO109=CU109,CW109,IF(DO109=CY109,DA109,IF(DO109=DC109,DE109,IF(DO109=DG109,DI109,IF(DO109=DK109,DM109,0)))))))))))))</f>
        <v>20.217980000000001</v>
      </c>
      <c r="DR109">
        <f t="shared" si="65"/>
        <v>0</v>
      </c>
      <c r="DS109">
        <f t="shared" si="66"/>
        <v>0.43890277777777797</v>
      </c>
      <c r="DT109">
        <f>IF(DS109=BO109,BP109,IF(DS109=BS109,BT109,IF(DS109=BW109,BX109,IF(DS109=CA109,CB109,IF(DS109=CE109,CF109,IF(DS109=CI109,CJ109,IF(DS109=CM109,CN109,IF(DS109=CQ109,CR109,IF(DS109=CU109,CV109,IF(DS109=CY109,CZ109,IF(DS109=DC109,DD109,IF(DS109=DG109,DH109,IF(DS109=DK109,DL109,IF(DS109=DO109,DP109,0))))))))))))))</f>
        <v>9</v>
      </c>
      <c r="DU109">
        <f>IF(DS109=BO109,BQ109,IF(DS109=BS109,BU109,IF(DS109=BW109,BY109,IF(DS109=CA109,CC109,IF(DS109=CE109,CG109,IF(DS109=CI109,CK109,IF(DS109=CM109,CO109,IF(DS109=CQ109,CS109,IF(DS109=CU109,CW109,IF(DS109=CY109,DA109,IF(DS109=DC109,DE109,IF(DS109=DG109,DI109,IF(DS109=DK109,DM109,IF(DS109=DO109,DQ109,0))))))))))))))</f>
        <v>20.217980000000001</v>
      </c>
      <c r="DV109">
        <f t="shared" si="67"/>
        <v>0</v>
      </c>
      <c r="DW109">
        <v>52500.5</v>
      </c>
      <c r="DX109">
        <v>6</v>
      </c>
      <c r="DY109">
        <v>35</v>
      </c>
      <c r="DZ109">
        <v>6.5</v>
      </c>
      <c r="EA109">
        <v>6.5</v>
      </c>
      <c r="EB109">
        <v>23.599265807611602</v>
      </c>
      <c r="EC109">
        <v>1.0833333333333299</v>
      </c>
      <c r="ED109">
        <v>2.7922258000000002</v>
      </c>
      <c r="EE109">
        <v>0.43890277777777797</v>
      </c>
      <c r="EF109">
        <v>20.217980000000001</v>
      </c>
      <c r="EG109">
        <v>22.771611648298201</v>
      </c>
      <c r="EH109">
        <v>9</v>
      </c>
      <c r="EI109">
        <v>0</v>
      </c>
      <c r="EJ109">
        <v>1.75222493333333</v>
      </c>
      <c r="EK109">
        <v>1</v>
      </c>
      <c r="EL109">
        <v>0</v>
      </c>
      <c r="EM109">
        <v>46</v>
      </c>
      <c r="EN109">
        <v>1</v>
      </c>
      <c r="EO109">
        <v>4</v>
      </c>
      <c r="EP109">
        <v>7</v>
      </c>
      <c r="EQ109">
        <v>4</v>
      </c>
      <c r="ER109">
        <v>14.1987814663817</v>
      </c>
      <c r="ES109">
        <v>12.6409384931618</v>
      </c>
      <c r="ET109">
        <v>15.4331642931618</v>
      </c>
      <c r="EU109">
        <v>12.463769253309099</v>
      </c>
      <c r="EV109">
        <v>14.2159941866424</v>
      </c>
      <c r="EW109">
        <v>1.8027498666666699</v>
      </c>
      <c r="EX109">
        <v>12.889969343658301</v>
      </c>
      <c r="EY109">
        <v>14.692719210325</v>
      </c>
      <c r="EZ109">
        <v>1.75222493333333</v>
      </c>
      <c r="FA109">
        <v>12.463769253309099</v>
      </c>
      <c r="FB109">
        <v>14.2159941866424</v>
      </c>
      <c r="FC109">
        <v>1.9766144666666701</v>
      </c>
      <c r="FD109">
        <v>14.745671199195099</v>
      </c>
      <c r="FE109">
        <v>16.722285665861801</v>
      </c>
      <c r="FF109">
        <v>1.75222493333333</v>
      </c>
      <c r="FG109">
        <v>12.463769253309099</v>
      </c>
      <c r="FH109">
        <v>14.2159941866424</v>
      </c>
    </row>
    <row r="110" spans="1:164" x14ac:dyDescent="0.2">
      <c r="A110">
        <v>109</v>
      </c>
      <c r="B110">
        <v>122</v>
      </c>
      <c r="C110">
        <v>188</v>
      </c>
      <c r="D110">
        <v>1</v>
      </c>
      <c r="E110">
        <v>11</v>
      </c>
      <c r="F110" t="s">
        <v>306</v>
      </c>
      <c r="G110" t="s">
        <v>307</v>
      </c>
      <c r="H110">
        <v>3</v>
      </c>
      <c r="I110">
        <v>1</v>
      </c>
      <c r="K110" t="s">
        <v>308</v>
      </c>
      <c r="L110">
        <v>0</v>
      </c>
      <c r="M110">
        <v>0</v>
      </c>
      <c r="N110">
        <v>7</v>
      </c>
      <c r="O110">
        <v>7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5</v>
      </c>
      <c r="AD110">
        <v>0</v>
      </c>
      <c r="AE110">
        <v>20</v>
      </c>
      <c r="AF110">
        <v>10</v>
      </c>
      <c r="AG110">
        <v>14</v>
      </c>
      <c r="AH110">
        <v>7</v>
      </c>
      <c r="AI110">
        <v>0.33726388888888897</v>
      </c>
      <c r="AJ110">
        <v>15.917109999999999</v>
      </c>
      <c r="AK110">
        <v>0.333522222222222</v>
      </c>
      <c r="AL110">
        <v>11.67102</v>
      </c>
      <c r="AM110">
        <v>0.22763333333333299</v>
      </c>
      <c r="AN110">
        <v>9.2008799999999997</v>
      </c>
      <c r="AO110">
        <v>0.223775</v>
      </c>
      <c r="AP110">
        <v>6.8273799999999998</v>
      </c>
      <c r="AQ110">
        <v>0.24707499999999999</v>
      </c>
      <c r="AR110">
        <v>7.1552800000000003</v>
      </c>
      <c r="AS110">
        <v>3.5105555555555598E-2</v>
      </c>
      <c r="AT110">
        <v>0.57282999999999995</v>
      </c>
      <c r="AU110">
        <v>0.21902222222222201</v>
      </c>
      <c r="AV110">
        <v>7.1223999999999998</v>
      </c>
      <c r="AW110">
        <v>0.24653611111111101</v>
      </c>
      <c r="AX110">
        <v>9.29223</v>
      </c>
      <c r="AY110">
        <v>0.26834166666666698</v>
      </c>
      <c r="AZ110">
        <v>11.35852</v>
      </c>
      <c r="BA110">
        <v>0.28301388888888901</v>
      </c>
      <c r="BB110">
        <v>12.19242</v>
      </c>
      <c r="BC110">
        <v>0.34251944444444399</v>
      </c>
      <c r="BD110">
        <v>14.00393</v>
      </c>
      <c r="BE110">
        <v>0.35737777777777802</v>
      </c>
      <c r="BF110">
        <v>21.428239999999999</v>
      </c>
      <c r="BG110">
        <v>0.42125277777777798</v>
      </c>
      <c r="BH110">
        <v>24.83109</v>
      </c>
      <c r="BI110">
        <v>0.46507777777777798</v>
      </c>
      <c r="BJ110">
        <v>26.805009999999999</v>
      </c>
      <c r="BK110">
        <v>0.53321944444444402</v>
      </c>
      <c r="BL110">
        <v>33.620660000000001</v>
      </c>
      <c r="BM110">
        <v>0.57472222222222202</v>
      </c>
      <c r="BN110">
        <v>35.613340000000001</v>
      </c>
      <c r="BO110">
        <f t="shared" si="34"/>
        <v>3.5105555555555598E-2</v>
      </c>
      <c r="BP110">
        <v>5</v>
      </c>
      <c r="BQ110">
        <v>0.57282999999999995</v>
      </c>
      <c r="BR110">
        <f t="shared" si="35"/>
        <v>0</v>
      </c>
      <c r="BS110">
        <f t="shared" si="36"/>
        <v>3.5105555555555598E-2</v>
      </c>
      <c r="BT110">
        <f t="shared" si="37"/>
        <v>5</v>
      </c>
      <c r="BU110">
        <f t="shared" si="38"/>
        <v>0.57282999999999995</v>
      </c>
      <c r="BV110">
        <f t="shared" si="39"/>
        <v>0</v>
      </c>
      <c r="BW110">
        <f t="shared" si="40"/>
        <v>3.5105555555555598E-2</v>
      </c>
      <c r="BX110">
        <f t="shared" si="41"/>
        <v>5</v>
      </c>
      <c r="BY110">
        <f t="shared" si="42"/>
        <v>0.57282999999999995</v>
      </c>
      <c r="BZ110">
        <f t="shared" si="43"/>
        <v>0</v>
      </c>
      <c r="CA110">
        <f t="shared" si="44"/>
        <v>3.5105555555555598E-2</v>
      </c>
      <c r="CB110">
        <f>IF(CA110=BO110,BP110,IF(CA110=BS110,BT110,IF(CA110=BW110,BX110,0)))</f>
        <v>5</v>
      </c>
      <c r="CC110">
        <f>IF(CA110=BO110,BQ110,IF(CA110=BS110,BU110,IF(CA110=BW110,BY110,0)))</f>
        <v>0.57282999999999995</v>
      </c>
      <c r="CD110">
        <f t="shared" si="45"/>
        <v>0</v>
      </c>
      <c r="CE110">
        <f t="shared" si="46"/>
        <v>0.21902222222222201</v>
      </c>
      <c r="CF110">
        <v>6</v>
      </c>
      <c r="CG110">
        <v>7.1223999999999998</v>
      </c>
      <c r="CH110">
        <f t="shared" si="47"/>
        <v>0</v>
      </c>
      <c r="CI110">
        <f t="shared" si="48"/>
        <v>3.5105555555555598E-2</v>
      </c>
      <c r="CJ110">
        <f>IF(CI110=BO110,BP110,IF(CI110=BS110,BT110,IF(CI110=BW110,BX110,IF(CI110=CA110,CB110,IF(CI110=CE110,CF110,0)))))</f>
        <v>5</v>
      </c>
      <c r="CK110">
        <f>IF(CI110=BO110,BQ110,IF(CI110=BS110,BU110,IF(CI110=BW110,BY110,IF(CI110=CA110,CC110,IF(CI110=CE110,CG110,0)))))</f>
        <v>0.57282999999999995</v>
      </c>
      <c r="CL110">
        <f t="shared" si="49"/>
        <v>0</v>
      </c>
      <c r="CM110">
        <f t="shared" si="50"/>
        <v>3.5105555555555598E-2</v>
      </c>
      <c r="CN110">
        <f>IF(CM110=BO110,BP110,IF(CM110=BS110,BT110,IF(CM110=BW110,BX110,IF(CM110=CA110,CB110,IF(CM110=CE110,CF110,IF(CM110=CI110,CJ110,0))))))</f>
        <v>5</v>
      </c>
      <c r="CO110">
        <f>IF(CM110=BO110,BQ110,IF(CM110=BS110,BU110,IF(CM110=BW110,BY110,IF(CM110=CA110,CC110,IF(CM110=CE110,CG110,IF(CM110=CI110,CK110,0))))))</f>
        <v>0.57282999999999995</v>
      </c>
      <c r="CP110">
        <f t="shared" si="51"/>
        <v>0</v>
      </c>
      <c r="CQ110">
        <f t="shared" si="52"/>
        <v>3.5105555555555598E-2</v>
      </c>
      <c r="CR110">
        <f>IF(CQ110=BO110,BP110,IF(CQ110=BS110,BT110,IF(CQ110=BW110,BX110,IF(CQ110=CA110,CB110,IF(CQ110=CE110,CF110,IF(CQ110=CI110,CJ110,IF(CQ110=CM110,CN110,0)))))))</f>
        <v>5</v>
      </c>
      <c r="CS110">
        <f>IF(CQ110=BO110,BQ110,IF(CQ110=BS110,BU110,IF(CQ110=BW110,BY110,IF(CQ110=CA110,CC110,IF(CQ110=CE110,CG110,IF(CQ110=CI110,CK110,IF(CQ110=CM110,CO110,0)))))))</f>
        <v>0.57282999999999995</v>
      </c>
      <c r="CT110">
        <f t="shared" si="53"/>
        <v>0</v>
      </c>
      <c r="CU110">
        <f t="shared" si="54"/>
        <v>3.5105555555555598E-2</v>
      </c>
      <c r="CV110">
        <f>IF(CU110=BO110,BP110,IF(CU110=BS110,BT110,IF(CU110=BW110,BX110,IF(CU110=CA110,CB110,IF(CU110=CE110,CF110,IF(CU110=CI110,CJ110,IF(CU110=CM110,CN110,IF(CU110=CQ110,CR110,0))))))))</f>
        <v>5</v>
      </c>
      <c r="CW110">
        <f>IF(CU110=BO110,BQ110,IF(CU110=BS110,BU110,IF(CU110=BW110,BY110,IF(CU110=CA110,CC110,IF(CU110=CE110,CG110,IF(CU110=CI110,CK110,IF(CU110=CM110,CO110,IF(CU110=CQ110,CS110,0))))))))</f>
        <v>0.57282999999999995</v>
      </c>
      <c r="CX110">
        <f t="shared" si="55"/>
        <v>0</v>
      </c>
      <c r="CY110">
        <f t="shared" si="56"/>
        <v>3.5105555555555598E-2</v>
      </c>
      <c r="CZ110">
        <f>IF(CY110=BO110,BP110,IF(CY110=BS110,BT110,IF(CY110=BW110,BX110,IF(CY110=CA110,CB110,IF(CY110=CE110,CF110,IF(CY110=CI110,CJ110,IF(CY110=CM110,CN110,IF(CY110=CQ110,CR110,IF(CY110=CU110,CV110,0)))))))))</f>
        <v>5</v>
      </c>
      <c r="DA110">
        <f>IF(CY110=BO110,BQ110,IF(CY110=BS110,BU110,IF(CY110=BW110,BY110,IF(CY110=CA110,CC110,IF(CY110=CE110,CG110,IF(CY110=CI110,CK110,IF(CY110=CM110,CO110,IF(CY110=CQ110,CS110,IF(CY110=CU110,CW110,0)))))))))</f>
        <v>0.57282999999999995</v>
      </c>
      <c r="DB110">
        <f t="shared" si="57"/>
        <v>0</v>
      </c>
      <c r="DC110">
        <f t="shared" si="58"/>
        <v>3.5105555555555598E-2</v>
      </c>
      <c r="DD110">
        <f>IF(DC110=BO110,BP110,IF(DC110=BS110,BT110,IF(DC110=BW110,BX110,IF(DC110=CA110,CB110,IF(DC110=CE110,CF110,IF(DC110=CI110,CJ110,IF(DC110=CM110,CN110,IF(DC110=CQ110,CR110,IF(DC110=CU110,CV110,IF(DC110=CY110,CZ110,0))))))))))</f>
        <v>5</v>
      </c>
      <c r="DE110">
        <f>IF(DC110=BO110,BQ110,IF(DC110=BS110,BU110,IF(DC110=BW110,BY110,IF(DC110=CA110,CC110,IF(DC110=CE110,CG110,IF(DC110=CI110,CK110,IF(DC110=CM110,CO110,IF(DC110=CQ110,CS110,IF(DC110=CU110,CW110,IF(DC110=CY110,DA110,0))))))))))</f>
        <v>0.57282999999999995</v>
      </c>
      <c r="DF110">
        <f t="shared" si="59"/>
        <v>0</v>
      </c>
      <c r="DG110">
        <f t="shared" si="60"/>
        <v>3.5105555555555598E-2</v>
      </c>
      <c r="DH110">
        <f>IF(DG110=BO110,BP110,IF(DG110=BS110,BT110,IF(DG110=BW110,BX110,IF(DG110=CA110,CB110,IF(DG110=CE110,CF110,IF(DG110=CI110,CJ110,IF(DG110=CM110,CN110,IF(DG110=CQ110,CR110,IF(DG110=CU110,CV110,IF(DG110=CY110,CZ110,IF(DG110=DC110,DD110,0)))))))))))</f>
        <v>5</v>
      </c>
      <c r="DI110">
        <f>IF(DG110=BO110,BQ110,IF(DG110=BS110,BU110,IF(DG110=BW110,BY110,IF(DG110=CA110,CC110,IF(DG110=CE110,CG110,IF(DG110=CI110,CK110,IF(DG110=CM110,CO110,IF(DG110=CQ110,CS110,IF(DG110=CU110,CW110,IF(DG110=CY110,DA110,IF(DG110=DC110,DE110,0)))))))))))</f>
        <v>0.57282999999999995</v>
      </c>
      <c r="DJ110">
        <f t="shared" si="61"/>
        <v>0</v>
      </c>
      <c r="DK110">
        <f t="shared" si="62"/>
        <v>3.5105555555555598E-2</v>
      </c>
      <c r="DL110">
        <f>IF(DK110=BO110,BP110,IF(DK110=BS110,BT110,IF(DK110=BW110,BX110,IF(DK110=CA110,CB110,IF(DK110=CE110,CF110,IF(DK110=CI110,CJ110,IF(DK110=CM110,CN110,IF(DK110=CQ110,CR110,IF(DK110=CU110,CV110,IF(DK110=CY110,CZ110,IF(DK110=DC110,DD110,IF(DK110=DG110,DH110,0))))))))))))</f>
        <v>5</v>
      </c>
      <c r="DM110">
        <f>IF(DK110=BO110,BQ110,IF(DK110=BS110,BU110,IF(DK110=BW110,BY110,IF(DK110=CA110,CC110,IF(DK110=CE110,CG110,IF(DK110=CI110,CK110,IF(DK110=CM110,CO110,IF(DK110=CQ110,CS110,IF(DK110=CU110,CW110,IF(DK110=CY110,DA110,IF(DK110=DC110,DE110,IF(DK110=DG110,DI110,0))))))))))))</f>
        <v>0.57282999999999995</v>
      </c>
      <c r="DN110">
        <f t="shared" si="63"/>
        <v>0</v>
      </c>
      <c r="DO110">
        <f t="shared" si="64"/>
        <v>3.5105555555555598E-2</v>
      </c>
      <c r="DP110">
        <f>IF(DO110=BO110,BP110,IF(DO110=BS110,BT110,IF(DO110=BW110,BX110,IF(DO110=CA110,CB110,IF(DO110=CE110,CF110,IF(DO110=CI110,CJ110,IF(DO110=CM110,CN110,IF(DO110=CQ110,CR110,IF(DO110=CU110,CV110,IF(DO110=CY110,CZ110,IF(DO110=DC110,DD110,IF(DO110=DG110,DH110,IF(DO110=DK110,DL110,0)))))))))))))</f>
        <v>5</v>
      </c>
      <c r="DQ110">
        <f>IF(DO110=BO110,BQ110,IF(DO110=BS110,BU110,IF(DO110=BW110,BY110,IF(DO110=CA110,CC110,IF(DO110=CE110,CG110,IF(DO110=CI110,CK110,IF(DO110=CM110,CO110,IF(DO110=CQ110,CS110,IF(DO110=CU110,CW110,IF(DO110=CY110,DA110,IF(DO110=DC110,DE110,IF(DO110=DG110,DI110,IF(DO110=DK110,DM110,0)))))))))))))</f>
        <v>0.57282999999999995</v>
      </c>
      <c r="DR110">
        <f t="shared" si="65"/>
        <v>0</v>
      </c>
      <c r="DS110">
        <f t="shared" si="66"/>
        <v>3.5105555555555598E-2</v>
      </c>
      <c r="DT110">
        <f>IF(DS110=BO110,BP110,IF(DS110=BS110,BT110,IF(DS110=BW110,BX110,IF(DS110=CA110,CB110,IF(DS110=CE110,CF110,IF(DS110=CI110,CJ110,IF(DS110=CM110,CN110,IF(DS110=CQ110,CR110,IF(DS110=CU110,CV110,IF(DS110=CY110,CZ110,IF(DS110=DC110,DD110,IF(DS110=DG110,DH110,IF(DS110=DK110,DL110,IF(DS110=DO110,DP110,0))))))))))))))</f>
        <v>5</v>
      </c>
      <c r="DU110">
        <f>IF(DS110=BO110,BQ110,IF(DS110=BS110,BU110,IF(DS110=BW110,BY110,IF(DS110=CA110,CC110,IF(DS110=CE110,CG110,IF(DS110=CI110,CK110,IF(DS110=CM110,CO110,IF(DS110=CQ110,CS110,IF(DS110=CU110,CW110,IF(DS110=CY110,DA110,IF(DS110=DC110,DE110,IF(DS110=DG110,DI110,IF(DS110=DK110,DM110,IF(DS110=DO110,DQ110,0))))))))))))))</f>
        <v>0.57282999999999995</v>
      </c>
      <c r="DV110">
        <f t="shared" si="67"/>
        <v>0</v>
      </c>
      <c r="DW110">
        <v>31226.480769230799</v>
      </c>
      <c r="DX110">
        <v>6</v>
      </c>
      <c r="DY110">
        <v>20</v>
      </c>
      <c r="DZ110">
        <v>12</v>
      </c>
      <c r="EA110">
        <v>12</v>
      </c>
      <c r="EB110">
        <v>14.0364762223093</v>
      </c>
      <c r="EC110">
        <v>2</v>
      </c>
      <c r="ED110">
        <v>3.3794828666666699</v>
      </c>
      <c r="EE110">
        <v>3.5105555555555598E-2</v>
      </c>
      <c r="EF110">
        <v>0.57282999999999995</v>
      </c>
      <c r="EG110">
        <v>12.015498455574701</v>
      </c>
      <c r="EH110">
        <v>5</v>
      </c>
      <c r="EI110">
        <v>0</v>
      </c>
      <c r="EJ110">
        <v>4.9645266666666701E-2</v>
      </c>
      <c r="EK110">
        <v>1</v>
      </c>
      <c r="EL110">
        <v>0</v>
      </c>
      <c r="EM110">
        <v>48</v>
      </c>
      <c r="EN110">
        <v>1</v>
      </c>
      <c r="EO110">
        <v>4</v>
      </c>
      <c r="EP110">
        <v>7</v>
      </c>
      <c r="EQ110">
        <v>10</v>
      </c>
      <c r="ER110">
        <v>14.1987814663817</v>
      </c>
      <c r="ES110">
        <v>9.5774725096707307</v>
      </c>
      <c r="ET110">
        <v>12.956955376337399</v>
      </c>
      <c r="EU110">
        <v>0.99691222317851003</v>
      </c>
      <c r="EV110">
        <v>1.0465574898451799</v>
      </c>
      <c r="EW110">
        <v>0.98440506666666705</v>
      </c>
      <c r="EX110">
        <v>7.6202493666492801</v>
      </c>
      <c r="EY110">
        <v>8.6046544333159503</v>
      </c>
      <c r="EZ110">
        <v>4.9645266666666701E-2</v>
      </c>
      <c r="FA110">
        <v>0.99691222317851003</v>
      </c>
      <c r="FB110">
        <v>1.0465574898451799</v>
      </c>
      <c r="FC110">
        <v>0.59170626666666704</v>
      </c>
      <c r="FD110">
        <v>6.3546646452791196</v>
      </c>
      <c r="FE110">
        <v>6.9463709119457899</v>
      </c>
      <c r="FF110">
        <v>4.9645266666666701E-2</v>
      </c>
      <c r="FG110">
        <v>0.99691222317851003</v>
      </c>
      <c r="FH110">
        <v>1.0465574898451799</v>
      </c>
    </row>
    <row r="111" spans="1:164" x14ac:dyDescent="0.2">
      <c r="A111">
        <v>110</v>
      </c>
      <c r="B111">
        <v>123</v>
      </c>
      <c r="C111">
        <v>189</v>
      </c>
      <c r="D111">
        <v>3</v>
      </c>
      <c r="E111">
        <v>12</v>
      </c>
      <c r="F111" t="s">
        <v>309</v>
      </c>
      <c r="G111" t="s">
        <v>310</v>
      </c>
      <c r="H111">
        <v>3</v>
      </c>
      <c r="I111">
        <v>4</v>
      </c>
      <c r="K111" t="s">
        <v>311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3</v>
      </c>
      <c r="AE111">
        <v>4</v>
      </c>
      <c r="AF111">
        <v>2</v>
      </c>
      <c r="AG111">
        <v>3</v>
      </c>
      <c r="AH111">
        <v>6</v>
      </c>
      <c r="AI111">
        <v>0.74972222222222196</v>
      </c>
      <c r="AJ111">
        <v>52.624189999999999</v>
      </c>
      <c r="AK111">
        <v>0.61333611111111097</v>
      </c>
      <c r="AL111">
        <v>32.585900000000002</v>
      </c>
      <c r="AM111">
        <v>0.53355277777777799</v>
      </c>
      <c r="AN111">
        <v>33.238039999999998</v>
      </c>
      <c r="AO111">
        <v>0.58473333333333299</v>
      </c>
      <c r="AP111">
        <v>35.852150000000002</v>
      </c>
      <c r="AQ111">
        <v>0.62406666666666699</v>
      </c>
      <c r="AR111">
        <v>37.872639999999997</v>
      </c>
      <c r="AS111">
        <v>0.66864166666666702</v>
      </c>
      <c r="AT111">
        <v>41.213320000000003</v>
      </c>
      <c r="AU111">
        <v>0.66510000000000002</v>
      </c>
      <c r="AV111">
        <v>44.948180000000001</v>
      </c>
      <c r="AW111">
        <v>0.67465555555555601</v>
      </c>
      <c r="AX111">
        <v>47.874220000000001</v>
      </c>
      <c r="AY111">
        <v>0.68463888888888902</v>
      </c>
      <c r="AZ111">
        <v>49.112949999999998</v>
      </c>
      <c r="BA111">
        <v>0.69799166666666701</v>
      </c>
      <c r="BB111">
        <v>50.433669999999999</v>
      </c>
      <c r="BC111">
        <v>0.75881944444444405</v>
      </c>
      <c r="BD111">
        <v>51.758360000000003</v>
      </c>
      <c r="BE111">
        <v>0.76983888888888896</v>
      </c>
      <c r="BF111">
        <v>58.13532</v>
      </c>
      <c r="BG111">
        <v>0.83371111111111096</v>
      </c>
      <c r="BH111">
        <v>61.538170000000001</v>
      </c>
      <c r="BI111">
        <v>0.87753888888888898</v>
      </c>
      <c r="BJ111">
        <v>63.512090000000001</v>
      </c>
      <c r="BK111">
        <v>0.94567777777777795</v>
      </c>
      <c r="BL111">
        <v>70.327740000000006</v>
      </c>
      <c r="BM111">
        <v>0.98718333333333297</v>
      </c>
      <c r="BN111">
        <v>72.320409999999995</v>
      </c>
      <c r="BO111">
        <f t="shared" si="34"/>
        <v>0.53355277777777799</v>
      </c>
      <c r="BP111">
        <v>2</v>
      </c>
      <c r="BQ111">
        <v>33.238039999999998</v>
      </c>
      <c r="BR111">
        <f t="shared" si="35"/>
        <v>0</v>
      </c>
      <c r="BS111">
        <f t="shared" si="36"/>
        <v>0.58473333333333299</v>
      </c>
      <c r="BT111">
        <v>3</v>
      </c>
      <c r="BU111">
        <v>35.852150000000002</v>
      </c>
      <c r="BV111">
        <f t="shared" si="39"/>
        <v>0</v>
      </c>
      <c r="BW111">
        <f t="shared" si="40"/>
        <v>0.53355277777777799</v>
      </c>
      <c r="BX111">
        <f t="shared" si="41"/>
        <v>2</v>
      </c>
      <c r="BY111">
        <f t="shared" si="42"/>
        <v>33.238039999999998</v>
      </c>
      <c r="BZ111">
        <f t="shared" si="43"/>
        <v>0</v>
      </c>
      <c r="CA111">
        <f t="shared" si="44"/>
        <v>0.53355277777777799</v>
      </c>
      <c r="CB111">
        <f>IF(CA111=BO111,BP111,IF(CA111=BS111,BT111,IF(CA111=BW111,BX111,0)))</f>
        <v>2</v>
      </c>
      <c r="CC111">
        <f>IF(CA111=BO111,BQ111,IF(CA111=BS111,BU111,IF(CA111=BW111,BY111,0)))</f>
        <v>33.238039999999998</v>
      </c>
      <c r="CD111">
        <f t="shared" si="45"/>
        <v>0</v>
      </c>
      <c r="CE111">
        <f t="shared" si="46"/>
        <v>0.53355277777777799</v>
      </c>
      <c r="CF111">
        <f>IF(CE111=BO111,BP111,IF(CE111=BS111,BT111,IF(CE111=BW111,BX111,IF(CE111=CA111,CB111,0))))</f>
        <v>2</v>
      </c>
      <c r="CG111">
        <f>IF(CE111=BO111,BQ111,IF(CE111=BS111,BU111,IF(CE111=BW111,BY111,IF(CE111=CA111,CC111,0))))</f>
        <v>33.238039999999998</v>
      </c>
      <c r="CH111">
        <f t="shared" si="47"/>
        <v>0</v>
      </c>
      <c r="CI111">
        <f t="shared" si="48"/>
        <v>0.53355277777777799</v>
      </c>
      <c r="CJ111">
        <f>IF(CI111=BO111,BP111,IF(CI111=BS111,BT111,IF(CI111=BW111,BX111,IF(CI111=CA111,CB111,IF(CI111=CE111,CF111,0)))))</f>
        <v>2</v>
      </c>
      <c r="CK111">
        <f>IF(CI111=BO111,BQ111,IF(CI111=BS111,BU111,IF(CI111=BW111,BY111,IF(CI111=CA111,CC111,IF(CI111=CE111,CG111,0)))))</f>
        <v>33.238039999999998</v>
      </c>
      <c r="CL111">
        <f t="shared" si="49"/>
        <v>0</v>
      </c>
      <c r="CM111">
        <f t="shared" si="50"/>
        <v>0.53355277777777799</v>
      </c>
      <c r="CN111">
        <f>IF(CM111=BO111,BP111,IF(CM111=BS111,BT111,IF(CM111=BW111,BX111,IF(CM111=CA111,CB111,IF(CM111=CE111,CF111,IF(CM111=CI111,CJ111,0))))))</f>
        <v>2</v>
      </c>
      <c r="CO111">
        <f>IF(CM111=BO111,BQ111,IF(CM111=BS111,BU111,IF(CM111=BW111,BY111,IF(CM111=CA111,CC111,IF(CM111=CE111,CG111,IF(CM111=CI111,CK111,0))))))</f>
        <v>33.238039999999998</v>
      </c>
      <c r="CP111">
        <f t="shared" si="51"/>
        <v>0</v>
      </c>
      <c r="CQ111">
        <f t="shared" si="52"/>
        <v>0.53355277777777799</v>
      </c>
      <c r="CR111">
        <f>IF(CQ111=BO111,BP111,IF(CQ111=BS111,BT111,IF(CQ111=BW111,BX111,IF(CQ111=CA111,CB111,IF(CQ111=CE111,CF111,IF(CQ111=CI111,CJ111,IF(CQ111=CM111,CN111,0)))))))</f>
        <v>2</v>
      </c>
      <c r="CS111">
        <f>IF(CQ111=BO111,BQ111,IF(CQ111=BS111,BU111,IF(CQ111=BW111,BY111,IF(CQ111=CA111,CC111,IF(CQ111=CE111,CG111,IF(CQ111=CI111,CK111,IF(CQ111=CM111,CO111,0)))))))</f>
        <v>33.238039999999998</v>
      </c>
      <c r="CT111">
        <f t="shared" si="53"/>
        <v>0</v>
      </c>
      <c r="CU111">
        <f t="shared" si="54"/>
        <v>0.53355277777777799</v>
      </c>
      <c r="CV111">
        <f>IF(CU111=BO111,BP111,IF(CU111=BS111,BT111,IF(CU111=BW111,BX111,IF(CU111=CA111,CB111,IF(CU111=CE111,CF111,IF(CU111=CI111,CJ111,IF(CU111=CM111,CN111,IF(CU111=CQ111,CR111,0))))))))</f>
        <v>2</v>
      </c>
      <c r="CW111">
        <f>IF(CU111=BO111,BQ111,IF(CU111=BS111,BU111,IF(CU111=BW111,BY111,IF(CU111=CA111,CC111,IF(CU111=CE111,CG111,IF(CU111=CI111,CK111,IF(CU111=CM111,CO111,IF(CU111=CQ111,CS111,0))))))))</f>
        <v>33.238039999999998</v>
      </c>
      <c r="CX111">
        <f t="shared" si="55"/>
        <v>0</v>
      </c>
      <c r="CY111">
        <f t="shared" si="56"/>
        <v>0.53355277777777799</v>
      </c>
      <c r="CZ111">
        <f>IF(CY111=BO111,BP111,IF(CY111=BS111,BT111,IF(CY111=BW111,BX111,IF(CY111=CA111,CB111,IF(CY111=CE111,CF111,IF(CY111=CI111,CJ111,IF(CY111=CM111,CN111,IF(CY111=CQ111,CR111,IF(CY111=CU111,CV111,0)))))))))</f>
        <v>2</v>
      </c>
      <c r="DA111">
        <f>IF(CY111=BO111,BQ111,IF(CY111=BS111,BU111,IF(CY111=BW111,BY111,IF(CY111=CA111,CC111,IF(CY111=CE111,CG111,IF(CY111=CI111,CK111,IF(CY111=CM111,CO111,IF(CY111=CQ111,CS111,IF(CY111=CU111,CW111,0)))))))))</f>
        <v>33.238039999999998</v>
      </c>
      <c r="DB111">
        <f t="shared" si="57"/>
        <v>0</v>
      </c>
      <c r="DC111">
        <f t="shared" si="58"/>
        <v>0.53355277777777799</v>
      </c>
      <c r="DD111">
        <f>IF(DC111=BO111,BP111,IF(DC111=BS111,BT111,IF(DC111=BW111,BX111,IF(DC111=CA111,CB111,IF(DC111=CE111,CF111,IF(DC111=CI111,CJ111,IF(DC111=CM111,CN111,IF(DC111=CQ111,CR111,IF(DC111=CU111,CV111,IF(DC111=CY111,CZ111,0))))))))))</f>
        <v>2</v>
      </c>
      <c r="DE111">
        <f>IF(DC111=BO111,BQ111,IF(DC111=BS111,BU111,IF(DC111=BW111,BY111,IF(DC111=CA111,CC111,IF(DC111=CE111,CG111,IF(DC111=CI111,CK111,IF(DC111=CM111,CO111,IF(DC111=CQ111,CS111,IF(DC111=CU111,CW111,IF(DC111=CY111,DA111,0))))))))))</f>
        <v>33.238039999999998</v>
      </c>
      <c r="DF111">
        <f t="shared" si="59"/>
        <v>0</v>
      </c>
      <c r="DG111">
        <f t="shared" si="60"/>
        <v>0.53355277777777799</v>
      </c>
      <c r="DH111">
        <f>IF(DG111=BO111,BP111,IF(DG111=BS111,BT111,IF(DG111=BW111,BX111,IF(DG111=CA111,CB111,IF(DG111=CE111,CF111,IF(DG111=CI111,CJ111,IF(DG111=CM111,CN111,IF(DG111=CQ111,CR111,IF(DG111=CU111,CV111,IF(DG111=CY111,CZ111,IF(DG111=DC111,DD111,0)))))))))))</f>
        <v>2</v>
      </c>
      <c r="DI111">
        <f>IF(DG111=BO111,BQ111,IF(DG111=BS111,BU111,IF(DG111=BW111,BY111,IF(DG111=CA111,CC111,IF(DG111=CE111,CG111,IF(DG111=CI111,CK111,IF(DG111=CM111,CO111,IF(DG111=CQ111,CS111,IF(DG111=CU111,CW111,IF(DG111=CY111,DA111,IF(DG111=DC111,DE111,0)))))))))))</f>
        <v>33.238039999999998</v>
      </c>
      <c r="DJ111">
        <f t="shared" si="61"/>
        <v>0</v>
      </c>
      <c r="DK111">
        <f t="shared" si="62"/>
        <v>0.53355277777777799</v>
      </c>
      <c r="DL111">
        <f>IF(DK111=BO111,BP111,IF(DK111=BS111,BT111,IF(DK111=BW111,BX111,IF(DK111=CA111,CB111,IF(DK111=CE111,CF111,IF(DK111=CI111,CJ111,IF(DK111=CM111,CN111,IF(DK111=CQ111,CR111,IF(DK111=CU111,CV111,IF(DK111=CY111,CZ111,IF(DK111=DC111,DD111,IF(DK111=DG111,DH111,0))))))))))))</f>
        <v>2</v>
      </c>
      <c r="DM111">
        <f>IF(DK111=BO111,BQ111,IF(DK111=BS111,BU111,IF(DK111=BW111,BY111,IF(DK111=CA111,CC111,IF(DK111=CE111,CG111,IF(DK111=CI111,CK111,IF(DK111=CM111,CO111,IF(DK111=CQ111,CS111,IF(DK111=CU111,CW111,IF(DK111=CY111,DA111,IF(DK111=DC111,DE111,IF(DK111=DG111,DI111,0))))))))))))</f>
        <v>33.238039999999998</v>
      </c>
      <c r="DN111">
        <f t="shared" si="63"/>
        <v>0</v>
      </c>
      <c r="DO111">
        <f t="shared" si="64"/>
        <v>0.53355277777777799</v>
      </c>
      <c r="DP111">
        <f>IF(DO111=BO111,BP111,IF(DO111=BS111,BT111,IF(DO111=BW111,BX111,IF(DO111=CA111,CB111,IF(DO111=CE111,CF111,IF(DO111=CI111,CJ111,IF(DO111=CM111,CN111,IF(DO111=CQ111,CR111,IF(DO111=CU111,CV111,IF(DO111=CY111,CZ111,IF(DO111=DC111,DD111,IF(DO111=DG111,DH111,IF(DO111=DK111,DL111,0)))))))))))))</f>
        <v>2</v>
      </c>
      <c r="DQ111">
        <f>IF(DO111=BO111,BQ111,IF(DO111=BS111,BU111,IF(DO111=BW111,BY111,IF(DO111=CA111,CC111,IF(DO111=CE111,CG111,IF(DO111=CI111,CK111,IF(DO111=CM111,CO111,IF(DO111=CQ111,CS111,IF(DO111=CU111,CW111,IF(DO111=CY111,DA111,IF(DO111=DC111,DE111,IF(DO111=DG111,DI111,IF(DO111=DK111,DM111,0)))))))))))))</f>
        <v>33.238039999999998</v>
      </c>
      <c r="DR111">
        <f t="shared" si="65"/>
        <v>0</v>
      </c>
      <c r="DS111">
        <f t="shared" si="66"/>
        <v>0.53355277777777799</v>
      </c>
      <c r="DT111">
        <f>IF(DS111=BO111,BP111,IF(DS111=BS111,BT111,IF(DS111=BW111,BX111,IF(DS111=CA111,CB111,IF(DS111=CE111,CF111,IF(DS111=CI111,CJ111,IF(DS111=CM111,CN111,IF(DS111=CQ111,CR111,IF(DS111=CU111,CV111,IF(DS111=CY111,CZ111,IF(DS111=DC111,DD111,IF(DS111=DG111,DH111,IF(DS111=DK111,DL111,IF(DS111=DO111,DP111,0))))))))))))))</f>
        <v>2</v>
      </c>
      <c r="DU111">
        <f>IF(DS111=BO111,BQ111,IF(DS111=BS111,BU111,IF(DS111=BW111,BY111,IF(DS111=CA111,CC111,IF(DS111=CE111,CG111,IF(DS111=CI111,CK111,IF(DS111=CM111,CO111,IF(DS111=CQ111,CS111,IF(DS111=CU111,CW111,IF(DS111=CY111,DA111,IF(DS111=DC111,DE111,IF(DS111=DG111,DI111,IF(DS111=DK111,DM111,IF(DS111=DO111,DQ111,0))))))))))))))</f>
        <v>33.238039999999998</v>
      </c>
      <c r="DV111">
        <f t="shared" si="67"/>
        <v>0</v>
      </c>
      <c r="DW111">
        <v>7500</v>
      </c>
      <c r="DX111">
        <v>4</v>
      </c>
      <c r="DY111">
        <v>0</v>
      </c>
      <c r="DZ111">
        <v>6</v>
      </c>
      <c r="EA111">
        <v>6</v>
      </c>
      <c r="EB111">
        <v>3.37129157926281</v>
      </c>
      <c r="EC111">
        <v>1.5</v>
      </c>
      <c r="ED111">
        <v>8.3411446999999992</v>
      </c>
      <c r="EE111">
        <v>0.53355277777777799</v>
      </c>
      <c r="EF111">
        <v>33.238039999999998</v>
      </c>
      <c r="EG111">
        <v>9.2702581845544092</v>
      </c>
      <c r="EH111">
        <v>2</v>
      </c>
      <c r="EI111">
        <v>0</v>
      </c>
      <c r="EJ111">
        <v>4.3209451999999997</v>
      </c>
      <c r="EK111">
        <v>1</v>
      </c>
      <c r="EL111">
        <v>0</v>
      </c>
      <c r="EM111">
        <v>37</v>
      </c>
      <c r="EN111">
        <v>1</v>
      </c>
      <c r="EO111">
        <v>2</v>
      </c>
      <c r="EP111">
        <v>6</v>
      </c>
      <c r="EQ111">
        <v>2</v>
      </c>
      <c r="ER111">
        <v>14.1987814663817</v>
      </c>
      <c r="ES111">
        <v>21.290283987646699</v>
      </c>
      <c r="ET111">
        <v>29.6314286876467</v>
      </c>
      <c r="EU111">
        <v>15.151598584895201</v>
      </c>
      <c r="EV111">
        <v>19.472543784895201</v>
      </c>
      <c r="EW111">
        <v>6.3846835000000004</v>
      </c>
      <c r="EX111">
        <v>19.442075933439401</v>
      </c>
      <c r="EY111">
        <v>25.826759433439399</v>
      </c>
      <c r="EZ111">
        <v>4.3209451999999997</v>
      </c>
      <c r="FA111">
        <v>15.151598584895201</v>
      </c>
      <c r="FB111">
        <v>19.472543784895201</v>
      </c>
      <c r="FC111">
        <v>4.6607795000000003</v>
      </c>
      <c r="FD111">
        <v>16.6050016322178</v>
      </c>
      <c r="FE111">
        <v>21.2657811322178</v>
      </c>
      <c r="FF111">
        <v>4.3209451999999997</v>
      </c>
      <c r="FG111">
        <v>15.151598584895201</v>
      </c>
      <c r="FH111">
        <v>19.472543784895201</v>
      </c>
    </row>
    <row r="112" spans="1:164" x14ac:dyDescent="0.2">
      <c r="A112">
        <v>111</v>
      </c>
      <c r="B112">
        <v>124</v>
      </c>
      <c r="C112">
        <v>190</v>
      </c>
      <c r="D112">
        <v>3</v>
      </c>
      <c r="E112">
        <v>12</v>
      </c>
      <c r="F112" t="s">
        <v>312</v>
      </c>
      <c r="H112">
        <v>3</v>
      </c>
      <c r="I112">
        <v>6</v>
      </c>
      <c r="K112" t="s">
        <v>170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1</v>
      </c>
      <c r="AD112">
        <v>0</v>
      </c>
      <c r="AE112">
        <v>4</v>
      </c>
      <c r="AF112">
        <v>2</v>
      </c>
      <c r="AG112">
        <v>5</v>
      </c>
      <c r="AH112">
        <v>3</v>
      </c>
      <c r="AI112">
        <v>0.40377222222222198</v>
      </c>
      <c r="AJ112">
        <v>21.68085</v>
      </c>
      <c r="AK112">
        <v>0.37228611111111098</v>
      </c>
      <c r="AL112">
        <v>11.58466</v>
      </c>
      <c r="AM112">
        <v>0.26991111111111099</v>
      </c>
      <c r="AN112">
        <v>10.12307</v>
      </c>
      <c r="AO112">
        <v>0.255202777777778</v>
      </c>
      <c r="AP112">
        <v>8.6622500000000002</v>
      </c>
      <c r="AQ112">
        <v>0.31812777777777801</v>
      </c>
      <c r="AR112">
        <v>10.73414</v>
      </c>
      <c r="AS112">
        <v>0.31245000000000001</v>
      </c>
      <c r="AT112">
        <v>10.14893</v>
      </c>
      <c r="AU112">
        <v>0.30712499999999998</v>
      </c>
      <c r="AV112">
        <v>12.55533</v>
      </c>
      <c r="AW112">
        <v>0.32870277777777801</v>
      </c>
      <c r="AX112">
        <v>16.930879999999998</v>
      </c>
      <c r="AY112">
        <v>0.33868888888888898</v>
      </c>
      <c r="AZ112">
        <v>18.169609999999999</v>
      </c>
      <c r="BA112">
        <v>0.35203888888888901</v>
      </c>
      <c r="BB112">
        <v>19.490320000000001</v>
      </c>
      <c r="BC112">
        <v>0.41286666666666699</v>
      </c>
      <c r="BD112">
        <v>20.815020000000001</v>
      </c>
      <c r="BE112">
        <v>0.42388611111111102</v>
      </c>
      <c r="BF112">
        <v>27.191980000000001</v>
      </c>
      <c r="BG112">
        <v>0.48776111111111098</v>
      </c>
      <c r="BH112">
        <v>30.594830000000002</v>
      </c>
      <c r="BI112">
        <v>0.53158611111111098</v>
      </c>
      <c r="BJ112">
        <v>32.568750000000001</v>
      </c>
      <c r="BK112">
        <v>0.59972777777777797</v>
      </c>
      <c r="BL112">
        <v>39.384390000000003</v>
      </c>
      <c r="BM112">
        <v>0.64123055555555597</v>
      </c>
      <c r="BN112">
        <v>41.377070000000003</v>
      </c>
      <c r="BO112">
        <f t="shared" si="34"/>
        <v>0.255202777777778</v>
      </c>
      <c r="BP112">
        <v>3</v>
      </c>
      <c r="BQ112">
        <v>8.6622500000000002</v>
      </c>
      <c r="BR112">
        <f t="shared" si="35"/>
        <v>0</v>
      </c>
      <c r="BS112">
        <f t="shared" si="36"/>
        <v>0.255202777777778</v>
      </c>
      <c r="BT112">
        <f t="shared" si="37"/>
        <v>3</v>
      </c>
      <c r="BU112">
        <f t="shared" si="38"/>
        <v>8.6622500000000002</v>
      </c>
      <c r="BV112">
        <f t="shared" si="39"/>
        <v>0</v>
      </c>
      <c r="BW112">
        <f t="shared" si="40"/>
        <v>0.26991111111111099</v>
      </c>
      <c r="BX112">
        <v>2</v>
      </c>
      <c r="BY112">
        <v>10.12307</v>
      </c>
      <c r="BZ112">
        <f t="shared" si="43"/>
        <v>0</v>
      </c>
      <c r="CA112">
        <f t="shared" si="44"/>
        <v>0.255202777777778</v>
      </c>
      <c r="CB112">
        <f>IF(CA112=BO112,BP112,IF(CA112=BS112,BT112,IF(CA112=BW112,BX112,0)))</f>
        <v>3</v>
      </c>
      <c r="CC112">
        <f>IF(CA112=BO112,BQ112,IF(CA112=BS112,BU112,IF(CA112=BW112,BY112,0)))</f>
        <v>8.6622500000000002</v>
      </c>
      <c r="CD112">
        <f t="shared" si="45"/>
        <v>0</v>
      </c>
      <c r="CE112">
        <f t="shared" si="46"/>
        <v>0.255202777777778</v>
      </c>
      <c r="CF112">
        <f>IF(CE112=BO112,BP112,IF(CE112=BS112,BT112,IF(CE112=BW112,BX112,IF(CE112=CA112,CB112,0))))</f>
        <v>3</v>
      </c>
      <c r="CG112">
        <f>IF(CE112=BO112,BQ112,IF(CE112=BS112,BU112,IF(CE112=BW112,BY112,IF(CE112=CA112,CC112,0))))</f>
        <v>8.6622500000000002</v>
      </c>
      <c r="CH112">
        <f t="shared" si="47"/>
        <v>0</v>
      </c>
      <c r="CI112">
        <f t="shared" si="48"/>
        <v>0.255202777777778</v>
      </c>
      <c r="CJ112">
        <f>IF(CI112=BO112,BP112,IF(CI112=BS112,BT112,IF(CI112=BW112,BX112,IF(CI112=CA112,CB112,IF(CI112=CE112,CF112,0)))))</f>
        <v>3</v>
      </c>
      <c r="CK112">
        <f>IF(CI112=BO112,BQ112,IF(CI112=BS112,BU112,IF(CI112=BW112,BY112,IF(CI112=CA112,CC112,IF(CI112=CE112,CG112,0)))))</f>
        <v>8.6622500000000002</v>
      </c>
      <c r="CL112">
        <f t="shared" si="49"/>
        <v>0</v>
      </c>
      <c r="CM112">
        <f t="shared" si="50"/>
        <v>0.255202777777778</v>
      </c>
      <c r="CN112">
        <f>IF(CM112=BO112,BP112,IF(CM112=BS112,BT112,IF(CM112=BW112,BX112,IF(CM112=CA112,CB112,IF(CM112=CE112,CF112,IF(CM112=CI112,CJ112,0))))))</f>
        <v>3</v>
      </c>
      <c r="CO112">
        <f>IF(CM112=BO112,BQ112,IF(CM112=BS112,BU112,IF(CM112=BW112,BY112,IF(CM112=CA112,CC112,IF(CM112=CE112,CG112,IF(CM112=CI112,CK112,0))))))</f>
        <v>8.6622500000000002</v>
      </c>
      <c r="CP112">
        <f t="shared" si="51"/>
        <v>0</v>
      </c>
      <c r="CQ112">
        <f t="shared" si="52"/>
        <v>0.255202777777778</v>
      </c>
      <c r="CR112">
        <f>IF(CQ112=BO112,BP112,IF(CQ112=BS112,BT112,IF(CQ112=BW112,BX112,IF(CQ112=CA112,CB112,IF(CQ112=CE112,CF112,IF(CQ112=CI112,CJ112,IF(CQ112=CM112,CN112,0)))))))</f>
        <v>3</v>
      </c>
      <c r="CS112">
        <f>IF(CQ112=BO112,BQ112,IF(CQ112=BS112,BU112,IF(CQ112=BW112,BY112,IF(CQ112=CA112,CC112,IF(CQ112=CE112,CG112,IF(CQ112=CI112,CK112,IF(CQ112=CM112,CO112,0)))))))</f>
        <v>8.6622500000000002</v>
      </c>
      <c r="CT112">
        <f t="shared" si="53"/>
        <v>0</v>
      </c>
      <c r="CU112">
        <f t="shared" si="54"/>
        <v>0.255202777777778</v>
      </c>
      <c r="CV112">
        <f>IF(CU112=BO112,BP112,IF(CU112=BS112,BT112,IF(CU112=BW112,BX112,IF(CU112=CA112,CB112,IF(CU112=CE112,CF112,IF(CU112=CI112,CJ112,IF(CU112=CM112,CN112,IF(CU112=CQ112,CR112,0))))))))</f>
        <v>3</v>
      </c>
      <c r="CW112">
        <f>IF(CU112=BO112,BQ112,IF(CU112=BS112,BU112,IF(CU112=BW112,BY112,IF(CU112=CA112,CC112,IF(CU112=CE112,CG112,IF(CU112=CI112,CK112,IF(CU112=CM112,CO112,IF(CU112=CQ112,CS112,0))))))))</f>
        <v>8.6622500000000002</v>
      </c>
      <c r="CX112">
        <f t="shared" si="55"/>
        <v>0</v>
      </c>
      <c r="CY112">
        <f t="shared" si="56"/>
        <v>0.255202777777778</v>
      </c>
      <c r="CZ112">
        <f>IF(CY112=BO112,BP112,IF(CY112=BS112,BT112,IF(CY112=BW112,BX112,IF(CY112=CA112,CB112,IF(CY112=CE112,CF112,IF(CY112=CI112,CJ112,IF(CY112=CM112,CN112,IF(CY112=CQ112,CR112,IF(CY112=CU112,CV112,0)))))))))</f>
        <v>3</v>
      </c>
      <c r="DA112">
        <f>IF(CY112=BO112,BQ112,IF(CY112=BS112,BU112,IF(CY112=BW112,BY112,IF(CY112=CA112,CC112,IF(CY112=CE112,CG112,IF(CY112=CI112,CK112,IF(CY112=CM112,CO112,IF(CY112=CQ112,CS112,IF(CY112=CU112,CW112,0)))))))))</f>
        <v>8.6622500000000002</v>
      </c>
      <c r="DB112">
        <f t="shared" si="57"/>
        <v>0</v>
      </c>
      <c r="DC112">
        <f t="shared" si="58"/>
        <v>0.255202777777778</v>
      </c>
      <c r="DD112">
        <f>IF(DC112=BO112,BP112,IF(DC112=BS112,BT112,IF(DC112=BW112,BX112,IF(DC112=CA112,CB112,IF(DC112=CE112,CF112,IF(DC112=CI112,CJ112,IF(DC112=CM112,CN112,IF(DC112=CQ112,CR112,IF(DC112=CU112,CV112,IF(DC112=CY112,CZ112,0))))))))))</f>
        <v>3</v>
      </c>
      <c r="DE112">
        <f>IF(DC112=BO112,BQ112,IF(DC112=BS112,BU112,IF(DC112=BW112,BY112,IF(DC112=CA112,CC112,IF(DC112=CE112,CG112,IF(DC112=CI112,CK112,IF(DC112=CM112,CO112,IF(DC112=CQ112,CS112,IF(DC112=CU112,CW112,IF(DC112=CY112,DA112,0))))))))))</f>
        <v>8.6622500000000002</v>
      </c>
      <c r="DF112">
        <f t="shared" si="59"/>
        <v>0</v>
      </c>
      <c r="DG112">
        <f t="shared" si="60"/>
        <v>0.255202777777778</v>
      </c>
      <c r="DH112">
        <f>IF(DG112=BO112,BP112,IF(DG112=BS112,BT112,IF(DG112=BW112,BX112,IF(DG112=CA112,CB112,IF(DG112=CE112,CF112,IF(DG112=CI112,CJ112,IF(DG112=CM112,CN112,IF(DG112=CQ112,CR112,IF(DG112=CU112,CV112,IF(DG112=CY112,CZ112,IF(DG112=DC112,DD112,0)))))))))))</f>
        <v>3</v>
      </c>
      <c r="DI112">
        <f>IF(DG112=BO112,BQ112,IF(DG112=BS112,BU112,IF(DG112=BW112,BY112,IF(DG112=CA112,CC112,IF(DG112=CE112,CG112,IF(DG112=CI112,CK112,IF(DG112=CM112,CO112,IF(DG112=CQ112,CS112,IF(DG112=CU112,CW112,IF(DG112=CY112,DA112,IF(DG112=DC112,DE112,0)))))))))))</f>
        <v>8.6622500000000002</v>
      </c>
      <c r="DJ112">
        <f t="shared" si="61"/>
        <v>0</v>
      </c>
      <c r="DK112">
        <f t="shared" si="62"/>
        <v>0.255202777777778</v>
      </c>
      <c r="DL112">
        <f>IF(DK112=BO112,BP112,IF(DK112=BS112,BT112,IF(DK112=BW112,BX112,IF(DK112=CA112,CB112,IF(DK112=CE112,CF112,IF(DK112=CI112,CJ112,IF(DK112=CM112,CN112,IF(DK112=CQ112,CR112,IF(DK112=CU112,CV112,IF(DK112=CY112,CZ112,IF(DK112=DC112,DD112,IF(DK112=DG112,DH112,0))))))))))))</f>
        <v>3</v>
      </c>
      <c r="DM112">
        <f>IF(DK112=BO112,BQ112,IF(DK112=BS112,BU112,IF(DK112=BW112,BY112,IF(DK112=CA112,CC112,IF(DK112=CE112,CG112,IF(DK112=CI112,CK112,IF(DK112=CM112,CO112,IF(DK112=CQ112,CS112,IF(DK112=CU112,CW112,IF(DK112=CY112,DA112,IF(DK112=DC112,DE112,IF(DK112=DG112,DI112,0))))))))))))</f>
        <v>8.6622500000000002</v>
      </c>
      <c r="DN112">
        <f t="shared" si="63"/>
        <v>0</v>
      </c>
      <c r="DO112">
        <f t="shared" si="64"/>
        <v>0.255202777777778</v>
      </c>
      <c r="DP112">
        <f>IF(DO112=BO112,BP112,IF(DO112=BS112,BT112,IF(DO112=BW112,BX112,IF(DO112=CA112,CB112,IF(DO112=CE112,CF112,IF(DO112=CI112,CJ112,IF(DO112=CM112,CN112,IF(DO112=CQ112,CR112,IF(DO112=CU112,CV112,IF(DO112=CY112,CZ112,IF(DO112=DC112,DD112,IF(DO112=DG112,DH112,IF(DO112=DK112,DL112,0)))))))))))))</f>
        <v>3</v>
      </c>
      <c r="DQ112">
        <f>IF(DO112=BO112,BQ112,IF(DO112=BS112,BU112,IF(DO112=BW112,BY112,IF(DO112=CA112,CC112,IF(DO112=CE112,CG112,IF(DO112=CI112,CK112,IF(DO112=CM112,CO112,IF(DO112=CQ112,CS112,IF(DO112=CU112,CW112,IF(DO112=CY112,DA112,IF(DO112=DC112,DE112,IF(DO112=DG112,DI112,IF(DO112=DK112,DM112,0)))))))))))))</f>
        <v>8.6622500000000002</v>
      </c>
      <c r="DR112">
        <f t="shared" si="65"/>
        <v>0</v>
      </c>
      <c r="DS112">
        <f t="shared" si="66"/>
        <v>0.255202777777778</v>
      </c>
      <c r="DT112">
        <f>IF(DS112=BO112,BP112,IF(DS112=BS112,BT112,IF(DS112=BW112,BX112,IF(DS112=CA112,CB112,IF(DS112=CE112,CF112,IF(DS112=CI112,CJ112,IF(DS112=CM112,CN112,IF(DS112=CQ112,CR112,IF(DS112=CU112,CV112,IF(DS112=CY112,CZ112,IF(DS112=DC112,DD112,IF(DS112=DG112,DH112,IF(DS112=DK112,DL112,IF(DS112=DO112,DP112,0))))))))))))))</f>
        <v>3</v>
      </c>
      <c r="DU112">
        <f>IF(DS112=BO112,BQ112,IF(DS112=BS112,BU112,IF(DS112=BW112,BY112,IF(DS112=CA112,CC112,IF(DS112=CE112,CG112,IF(DS112=CI112,CK112,IF(DS112=CM112,CO112,IF(DS112=CQ112,CS112,IF(DS112=CU112,CW112,IF(DS112=CY112,DA112,IF(DS112=DC112,DE112,IF(DS112=DG112,DI112,IF(DS112=DK112,DM112,IF(DS112=DO112,DQ112,0))))))))))))))</f>
        <v>8.6622500000000002</v>
      </c>
      <c r="DV112">
        <f t="shared" si="67"/>
        <v>0</v>
      </c>
      <c r="DW112">
        <v>31226.480769230799</v>
      </c>
      <c r="DX112">
        <v>2</v>
      </c>
      <c r="DY112">
        <v>0</v>
      </c>
      <c r="EA112">
        <v>4</v>
      </c>
      <c r="EB112">
        <v>14.0364762223093</v>
      </c>
      <c r="EC112">
        <v>2</v>
      </c>
      <c r="ED112">
        <v>7.6370209999999998</v>
      </c>
      <c r="EE112">
        <v>0.255202777777778</v>
      </c>
      <c r="EF112">
        <v>8.6622500000000002</v>
      </c>
      <c r="EG112">
        <v>15.5723654098556</v>
      </c>
      <c r="EH112">
        <v>3</v>
      </c>
      <c r="EI112">
        <v>0</v>
      </c>
      <c r="EJ112">
        <v>2.2521849999999999</v>
      </c>
      <c r="EK112">
        <v>1</v>
      </c>
      <c r="EL112">
        <v>0</v>
      </c>
      <c r="EM112">
        <v>23</v>
      </c>
      <c r="EN112">
        <v>0</v>
      </c>
      <c r="EO112">
        <v>2</v>
      </c>
      <c r="EP112">
        <v>3</v>
      </c>
      <c r="EQ112">
        <v>2</v>
      </c>
      <c r="ER112">
        <v>14.1987814663817</v>
      </c>
      <c r="ES112">
        <v>11.4661470910573</v>
      </c>
      <c r="ET112">
        <v>19.103168091057299</v>
      </c>
      <c r="EU112">
        <v>7.2471369425604699</v>
      </c>
      <c r="EV112">
        <v>9.4993219425604707</v>
      </c>
      <c r="EW112">
        <v>4.7240985999999996</v>
      </c>
      <c r="EX112">
        <v>9.6179390368499202</v>
      </c>
      <c r="EY112">
        <v>14.3420376368499</v>
      </c>
      <c r="EZ112">
        <v>2.2521849999999999</v>
      </c>
      <c r="FA112">
        <v>7.2471369425604699</v>
      </c>
      <c r="FB112">
        <v>9.4993219425604707</v>
      </c>
      <c r="FC112">
        <v>2.2521849999999999</v>
      </c>
      <c r="FD112">
        <v>7.2471369425604699</v>
      </c>
      <c r="FE112">
        <v>9.4993219425604707</v>
      </c>
      <c r="FF112">
        <v>2.6319982</v>
      </c>
      <c r="FG112">
        <v>7.66481776402986</v>
      </c>
      <c r="FH112">
        <v>10.2968159640299</v>
      </c>
    </row>
    <row r="113" spans="1:164" x14ac:dyDescent="0.2">
      <c r="A113">
        <v>112</v>
      </c>
      <c r="B113">
        <v>125</v>
      </c>
      <c r="C113">
        <v>191</v>
      </c>
      <c r="D113">
        <v>3</v>
      </c>
      <c r="E113">
        <v>12</v>
      </c>
      <c r="F113" t="s">
        <v>313</v>
      </c>
      <c r="G113" t="s">
        <v>314</v>
      </c>
      <c r="H113">
        <v>3</v>
      </c>
      <c r="I113">
        <v>6</v>
      </c>
      <c r="K113" t="s">
        <v>117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7</v>
      </c>
      <c r="AE113">
        <v>8</v>
      </c>
      <c r="AF113">
        <v>4</v>
      </c>
      <c r="AG113">
        <v>7</v>
      </c>
      <c r="AH113">
        <v>3</v>
      </c>
      <c r="AI113">
        <v>0.28987777777777801</v>
      </c>
      <c r="AJ113">
        <v>12.136799999999999</v>
      </c>
      <c r="AK113">
        <v>0.45840277777777799</v>
      </c>
      <c r="AL113">
        <v>23.175879999999999</v>
      </c>
      <c r="AM113">
        <v>0.35251388888888902</v>
      </c>
      <c r="AN113">
        <v>20.705739999999999</v>
      </c>
      <c r="AO113">
        <v>0.348655555555556</v>
      </c>
      <c r="AP113">
        <v>18.332239999999999</v>
      </c>
      <c r="AQ113">
        <v>0.37195555555555598</v>
      </c>
      <c r="AR113">
        <v>18.660139999999998</v>
      </c>
      <c r="AS113">
        <v>0.33714166666666701</v>
      </c>
      <c r="AT113">
        <v>15.160270000000001</v>
      </c>
      <c r="AU113">
        <v>0.22090833333333301</v>
      </c>
      <c r="AV113">
        <v>8.9964999999999993</v>
      </c>
      <c r="AW113">
        <v>0.23708888888888899</v>
      </c>
      <c r="AX113">
        <v>10.373049999999999</v>
      </c>
      <c r="AY113">
        <v>0.22804722222222201</v>
      </c>
      <c r="AZ113">
        <v>10.564590000000001</v>
      </c>
      <c r="BA113">
        <v>0.213038888888889</v>
      </c>
      <c r="BB113">
        <v>9.9816199999999995</v>
      </c>
      <c r="BC113">
        <v>0.29693611111111101</v>
      </c>
      <c r="BD113">
        <v>12.423389999999999</v>
      </c>
      <c r="BE113">
        <v>0.32260555555555598</v>
      </c>
      <c r="BF113">
        <v>17.779039999999998</v>
      </c>
      <c r="BG113">
        <v>0.38647777777777798</v>
      </c>
      <c r="BH113">
        <v>21.181889999999999</v>
      </c>
      <c r="BI113">
        <v>0.430305555555556</v>
      </c>
      <c r="BJ113">
        <v>23.155809999999999</v>
      </c>
      <c r="BK113">
        <v>0.49844444444444402</v>
      </c>
      <c r="BL113">
        <v>29.97146</v>
      </c>
      <c r="BM113">
        <v>0.53995000000000004</v>
      </c>
      <c r="BN113">
        <v>31.96414</v>
      </c>
      <c r="BO113">
        <f t="shared" si="34"/>
        <v>0.213038888888889</v>
      </c>
      <c r="BP113">
        <v>9</v>
      </c>
      <c r="BQ113">
        <v>9.9816199999999995</v>
      </c>
      <c r="BR113">
        <f t="shared" si="35"/>
        <v>0</v>
      </c>
      <c r="BS113">
        <f t="shared" si="36"/>
        <v>0.213038888888889</v>
      </c>
      <c r="BT113">
        <f t="shared" si="37"/>
        <v>9</v>
      </c>
      <c r="BU113">
        <f t="shared" si="38"/>
        <v>9.9816199999999995</v>
      </c>
      <c r="BV113">
        <f t="shared" si="39"/>
        <v>0</v>
      </c>
      <c r="BW113">
        <f t="shared" si="40"/>
        <v>0.213038888888889</v>
      </c>
      <c r="BX113">
        <f t="shared" si="41"/>
        <v>9</v>
      </c>
      <c r="BY113">
        <f t="shared" si="42"/>
        <v>9.9816199999999995</v>
      </c>
      <c r="BZ113">
        <f t="shared" si="43"/>
        <v>0</v>
      </c>
      <c r="CA113">
        <f t="shared" si="44"/>
        <v>0.213038888888889</v>
      </c>
      <c r="CB113">
        <f>IF(CA113=BO113,BP113,IF(CA113=BS113,BT113,IF(CA113=BW113,BX113,0)))</f>
        <v>9</v>
      </c>
      <c r="CC113">
        <f>IF(CA113=BO113,BQ113,IF(CA113=BS113,BU113,IF(CA113=BW113,BY113,0)))</f>
        <v>9.9816199999999995</v>
      </c>
      <c r="CD113">
        <f t="shared" si="45"/>
        <v>0</v>
      </c>
      <c r="CE113">
        <f t="shared" si="46"/>
        <v>0.213038888888889</v>
      </c>
      <c r="CF113">
        <f>IF(CE113=BO113,BP113,IF(CE113=BS113,BT113,IF(CE113=BW113,BX113,IF(CE113=CA113,CB113,0))))</f>
        <v>9</v>
      </c>
      <c r="CG113">
        <f>IF(CE113=BO113,BQ113,IF(CE113=BS113,BU113,IF(CE113=BW113,BY113,IF(CE113=CA113,CC113,0))))</f>
        <v>9.9816199999999995</v>
      </c>
      <c r="CH113">
        <f t="shared" si="47"/>
        <v>0</v>
      </c>
      <c r="CI113">
        <f t="shared" si="48"/>
        <v>0.213038888888889</v>
      </c>
      <c r="CJ113">
        <f>IF(CI113=BO113,BP113,IF(CI113=BS113,BT113,IF(CI113=BW113,BX113,IF(CI113=CA113,CB113,IF(CI113=CE113,CF113,0)))))</f>
        <v>9</v>
      </c>
      <c r="CK113">
        <f>IF(CI113=BO113,BQ113,IF(CI113=BS113,BU113,IF(CI113=BW113,BY113,IF(CI113=CA113,CC113,IF(CI113=CE113,CG113,0)))))</f>
        <v>9.9816199999999995</v>
      </c>
      <c r="CL113">
        <f t="shared" si="49"/>
        <v>0</v>
      </c>
      <c r="CM113">
        <f t="shared" si="50"/>
        <v>0.213038888888889</v>
      </c>
      <c r="CN113">
        <f>IF(CM113=BO113,BP113,IF(CM113=BS113,BT113,IF(CM113=BW113,BX113,IF(CM113=CA113,CB113,IF(CM113=CE113,CF113,IF(CM113=CI113,CJ113,0))))))</f>
        <v>9</v>
      </c>
      <c r="CO113">
        <f>IF(CM113=BO113,BQ113,IF(CM113=BS113,BU113,IF(CM113=BW113,BY113,IF(CM113=CA113,CC113,IF(CM113=CE113,CG113,IF(CM113=CI113,CK113,0))))))</f>
        <v>9.9816199999999995</v>
      </c>
      <c r="CP113">
        <f t="shared" si="51"/>
        <v>0</v>
      </c>
      <c r="CQ113">
        <f t="shared" si="52"/>
        <v>0.213038888888889</v>
      </c>
      <c r="CR113">
        <f>IF(CQ113=BO113,BP113,IF(CQ113=BS113,BT113,IF(CQ113=BW113,BX113,IF(CQ113=CA113,CB113,IF(CQ113=CE113,CF113,IF(CQ113=CI113,CJ113,IF(CQ113=CM113,CN113,0)))))))</f>
        <v>9</v>
      </c>
      <c r="CS113">
        <f>IF(CQ113=BO113,BQ113,IF(CQ113=BS113,BU113,IF(CQ113=BW113,BY113,IF(CQ113=CA113,CC113,IF(CQ113=CE113,CG113,IF(CQ113=CI113,CK113,IF(CQ113=CM113,CO113,0)))))))</f>
        <v>9.9816199999999995</v>
      </c>
      <c r="CT113">
        <f t="shared" si="53"/>
        <v>0</v>
      </c>
      <c r="CU113">
        <f t="shared" si="54"/>
        <v>0.22090833333333301</v>
      </c>
      <c r="CV113">
        <v>6</v>
      </c>
      <c r="CW113">
        <v>8.9964999999999993</v>
      </c>
      <c r="CX113">
        <f t="shared" si="55"/>
        <v>0</v>
      </c>
      <c r="CY113">
        <f t="shared" si="56"/>
        <v>0.213038888888889</v>
      </c>
      <c r="CZ113">
        <f>IF(CY113=BO113,BP113,IF(CY113=BS113,BT113,IF(CY113=BW113,BX113,IF(CY113=CA113,CB113,IF(CY113=CE113,CF113,IF(CY113=CI113,CJ113,IF(CY113=CM113,CN113,IF(CY113=CQ113,CR113,IF(CY113=CU113,CV113,0)))))))))</f>
        <v>9</v>
      </c>
      <c r="DA113">
        <f>IF(CY113=BO113,BQ113,IF(CY113=BS113,BU113,IF(CY113=BW113,BY113,IF(CY113=CA113,CC113,IF(CY113=CE113,CG113,IF(CY113=CI113,CK113,IF(CY113=CM113,CO113,IF(CY113=CQ113,CS113,IF(CY113=CU113,CW113,0)))))))))</f>
        <v>9.9816199999999995</v>
      </c>
      <c r="DB113">
        <f t="shared" si="57"/>
        <v>0</v>
      </c>
      <c r="DC113">
        <f t="shared" si="58"/>
        <v>0.213038888888889</v>
      </c>
      <c r="DD113">
        <f>IF(DC113=BO113,BP113,IF(DC113=BS113,BT113,IF(DC113=BW113,BX113,IF(DC113=CA113,CB113,IF(DC113=CE113,CF113,IF(DC113=CI113,CJ113,IF(DC113=CM113,CN113,IF(DC113=CQ113,CR113,IF(DC113=CU113,CV113,IF(DC113=CY113,CZ113,0))))))))))</f>
        <v>9</v>
      </c>
      <c r="DE113">
        <f>IF(DC113=BO113,BQ113,IF(DC113=BS113,BU113,IF(DC113=BW113,BY113,IF(DC113=CA113,CC113,IF(DC113=CE113,CG113,IF(DC113=CI113,CK113,IF(DC113=CM113,CO113,IF(DC113=CQ113,CS113,IF(DC113=CU113,CW113,IF(DC113=CY113,DA113,0))))))))))</f>
        <v>9.9816199999999995</v>
      </c>
      <c r="DF113">
        <f t="shared" si="59"/>
        <v>0</v>
      </c>
      <c r="DG113">
        <f t="shared" si="60"/>
        <v>0.213038888888889</v>
      </c>
      <c r="DH113">
        <f>IF(DG113=BO113,BP113,IF(DG113=BS113,BT113,IF(DG113=BW113,BX113,IF(DG113=CA113,CB113,IF(DG113=CE113,CF113,IF(DG113=CI113,CJ113,IF(DG113=CM113,CN113,IF(DG113=CQ113,CR113,IF(DG113=CU113,CV113,IF(DG113=CY113,CZ113,IF(DG113=DC113,DD113,0)))))))))))</f>
        <v>9</v>
      </c>
      <c r="DI113">
        <f>IF(DG113=BO113,BQ113,IF(DG113=BS113,BU113,IF(DG113=BW113,BY113,IF(DG113=CA113,CC113,IF(DG113=CE113,CG113,IF(DG113=CI113,CK113,IF(DG113=CM113,CO113,IF(DG113=CQ113,CS113,IF(DG113=CU113,CW113,IF(DG113=CY113,DA113,IF(DG113=DC113,DE113,0)))))))))))</f>
        <v>9.9816199999999995</v>
      </c>
      <c r="DJ113">
        <f t="shared" si="61"/>
        <v>0</v>
      </c>
      <c r="DK113">
        <f t="shared" si="62"/>
        <v>0.213038888888889</v>
      </c>
      <c r="DL113">
        <f>IF(DK113=BO113,BP113,IF(DK113=BS113,BT113,IF(DK113=BW113,BX113,IF(DK113=CA113,CB113,IF(DK113=CE113,CF113,IF(DK113=CI113,CJ113,IF(DK113=CM113,CN113,IF(DK113=CQ113,CR113,IF(DK113=CU113,CV113,IF(DK113=CY113,CZ113,IF(DK113=DC113,DD113,IF(DK113=DG113,DH113,0))))))))))))</f>
        <v>9</v>
      </c>
      <c r="DM113">
        <f>IF(DK113=BO113,BQ113,IF(DK113=BS113,BU113,IF(DK113=BW113,BY113,IF(DK113=CA113,CC113,IF(DK113=CE113,CG113,IF(DK113=CI113,CK113,IF(DK113=CM113,CO113,IF(DK113=CQ113,CS113,IF(DK113=CU113,CW113,IF(DK113=CY113,DA113,IF(DK113=DC113,DE113,IF(DK113=DG113,DI113,0))))))))))))</f>
        <v>9.9816199999999995</v>
      </c>
      <c r="DN113">
        <f t="shared" si="63"/>
        <v>0</v>
      </c>
      <c r="DO113">
        <f t="shared" si="64"/>
        <v>0.213038888888889</v>
      </c>
      <c r="DP113">
        <f>IF(DO113=BO113,BP113,IF(DO113=BS113,BT113,IF(DO113=BW113,BX113,IF(DO113=CA113,CB113,IF(DO113=CE113,CF113,IF(DO113=CI113,CJ113,IF(DO113=CM113,CN113,IF(DO113=CQ113,CR113,IF(DO113=CU113,CV113,IF(DO113=CY113,CZ113,IF(DO113=DC113,DD113,IF(DO113=DG113,DH113,IF(DO113=DK113,DL113,0)))))))))))))</f>
        <v>9</v>
      </c>
      <c r="DQ113">
        <f>IF(DO113=BO113,BQ113,IF(DO113=BS113,BU113,IF(DO113=BW113,BY113,IF(DO113=CA113,CC113,IF(DO113=CE113,CG113,IF(DO113=CI113,CK113,IF(DO113=CM113,CO113,IF(DO113=CQ113,CS113,IF(DO113=CU113,CW113,IF(DO113=CY113,DA113,IF(DO113=DC113,DE113,IF(DO113=DG113,DI113,IF(DO113=DK113,DM113,0)))))))))))))</f>
        <v>9.9816199999999995</v>
      </c>
      <c r="DR113">
        <f t="shared" si="65"/>
        <v>0</v>
      </c>
      <c r="DS113">
        <f t="shared" si="66"/>
        <v>0.213038888888889</v>
      </c>
      <c r="DT113">
        <f>IF(DS113=BO113,BP113,IF(DS113=BS113,BT113,IF(DS113=BW113,BX113,IF(DS113=CA113,CB113,IF(DS113=CE113,CF113,IF(DS113=CI113,CJ113,IF(DS113=CM113,CN113,IF(DS113=CQ113,CR113,IF(DS113=CU113,CV113,IF(DS113=CY113,CZ113,IF(DS113=DC113,DD113,IF(DS113=DG113,DH113,IF(DS113=DK113,DL113,IF(DS113=DO113,DP113,0))))))))))))))</f>
        <v>9</v>
      </c>
      <c r="DU113">
        <f>IF(DS113=BO113,BQ113,IF(DS113=BS113,BU113,IF(DS113=BW113,BY113,IF(DS113=CA113,CC113,IF(DS113=CE113,CG113,IF(DS113=CI113,CK113,IF(DS113=CM113,CO113,IF(DS113=CQ113,CS113,IF(DS113=CU113,CW113,IF(DS113=CY113,DA113,IF(DS113=DC113,DE113,IF(DS113=DG113,DI113,IF(DS113=DK113,DM113,IF(DS113=DO113,DQ113,0))))))))))))))</f>
        <v>9.9816199999999995</v>
      </c>
      <c r="DV113">
        <f t="shared" si="67"/>
        <v>0</v>
      </c>
      <c r="DW113">
        <v>37501</v>
      </c>
      <c r="DX113">
        <v>4</v>
      </c>
      <c r="DY113">
        <v>0</v>
      </c>
      <c r="DZ113">
        <v>6</v>
      </c>
      <c r="EA113">
        <v>6</v>
      </c>
      <c r="EB113">
        <v>16.856907401857999</v>
      </c>
      <c r="EC113">
        <v>1.5</v>
      </c>
      <c r="ED113">
        <v>3.0777839999999999</v>
      </c>
      <c r="EE113">
        <v>0.213038888888889</v>
      </c>
      <c r="EF113">
        <v>9.9816199999999995</v>
      </c>
      <c r="EG113">
        <v>11.8990951370997</v>
      </c>
      <c r="EH113">
        <v>9</v>
      </c>
      <c r="EI113">
        <v>0</v>
      </c>
      <c r="EJ113">
        <v>1.2976106000000001</v>
      </c>
      <c r="EK113">
        <v>1</v>
      </c>
      <c r="EL113">
        <v>0</v>
      </c>
      <c r="EM113">
        <v>27</v>
      </c>
      <c r="EN113">
        <v>1</v>
      </c>
      <c r="EO113">
        <v>4</v>
      </c>
      <c r="EP113">
        <v>3</v>
      </c>
      <c r="EQ113">
        <v>4</v>
      </c>
      <c r="ER113">
        <v>14.1987814663817</v>
      </c>
      <c r="ES113">
        <v>8.2318224372540403</v>
      </c>
      <c r="ET113">
        <v>11.309606437254001</v>
      </c>
      <c r="EU113">
        <v>6.04978525434821</v>
      </c>
      <c r="EV113">
        <v>7.3473958543482096</v>
      </c>
      <c r="EW113">
        <v>1.3733967</v>
      </c>
      <c r="EX113">
        <v>6.4759853446974196</v>
      </c>
      <c r="EY113">
        <v>7.8493820446974203</v>
      </c>
      <c r="EZ113">
        <v>1.2976106000000001</v>
      </c>
      <c r="FA113">
        <v>6.04978525434821</v>
      </c>
      <c r="FB113">
        <v>7.3473958543482096</v>
      </c>
      <c r="FC113">
        <v>2.3831912000000002</v>
      </c>
      <c r="FD113">
        <v>9.9009680807464697</v>
      </c>
      <c r="FE113">
        <v>12.284159280746501</v>
      </c>
      <c r="FF113">
        <v>1.2976106000000001</v>
      </c>
      <c r="FG113">
        <v>6.04978525434821</v>
      </c>
      <c r="FH113">
        <v>7.3473958543482096</v>
      </c>
    </row>
    <row r="114" spans="1:164" x14ac:dyDescent="0.2">
      <c r="A114">
        <v>113</v>
      </c>
      <c r="B114">
        <v>126</v>
      </c>
      <c r="C114">
        <v>192</v>
      </c>
      <c r="D114">
        <v>3</v>
      </c>
      <c r="E114">
        <v>12</v>
      </c>
      <c r="F114" t="s">
        <v>315</v>
      </c>
      <c r="G114" t="s">
        <v>316</v>
      </c>
      <c r="H114">
        <v>3</v>
      </c>
      <c r="I114">
        <v>5</v>
      </c>
      <c r="K114" t="s">
        <v>117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6</v>
      </c>
      <c r="AE114">
        <v>8</v>
      </c>
      <c r="AF114">
        <v>4</v>
      </c>
      <c r="AG114">
        <v>7</v>
      </c>
      <c r="AH114">
        <v>2</v>
      </c>
      <c r="AI114">
        <v>0.28987777777777801</v>
      </c>
      <c r="AJ114">
        <v>12.136799999999999</v>
      </c>
      <c r="AK114">
        <v>0.45840277777777799</v>
      </c>
      <c r="AL114">
        <v>23.175879999999999</v>
      </c>
      <c r="AM114">
        <v>0.35251388888888902</v>
      </c>
      <c r="AN114">
        <v>20.705739999999999</v>
      </c>
      <c r="AO114">
        <v>0.348655555555556</v>
      </c>
      <c r="AP114">
        <v>18.332239999999999</v>
      </c>
      <c r="AQ114">
        <v>0.37195555555555598</v>
      </c>
      <c r="AR114">
        <v>18.660139999999998</v>
      </c>
      <c r="AS114">
        <v>0.33714166666666701</v>
      </c>
      <c r="AT114">
        <v>15.160270000000001</v>
      </c>
      <c r="AU114">
        <v>0.22090833333333301</v>
      </c>
      <c r="AV114">
        <v>8.9964999999999993</v>
      </c>
      <c r="AW114">
        <v>0.23708888888888899</v>
      </c>
      <c r="AX114">
        <v>10.373049999999999</v>
      </c>
      <c r="AY114">
        <v>0.22804722222222201</v>
      </c>
      <c r="AZ114">
        <v>10.564590000000001</v>
      </c>
      <c r="BA114">
        <v>0.213038888888889</v>
      </c>
      <c r="BB114">
        <v>9.9816199999999995</v>
      </c>
      <c r="BC114">
        <v>0.29693611111111101</v>
      </c>
      <c r="BD114">
        <v>12.423389999999999</v>
      </c>
      <c r="BE114">
        <v>0.32260555555555598</v>
      </c>
      <c r="BF114">
        <v>17.779039999999998</v>
      </c>
      <c r="BG114">
        <v>0.38647777777777798</v>
      </c>
      <c r="BH114">
        <v>21.181889999999999</v>
      </c>
      <c r="BI114">
        <v>0.430305555555556</v>
      </c>
      <c r="BJ114">
        <v>23.155809999999999</v>
      </c>
      <c r="BK114">
        <v>0.49844444444444402</v>
      </c>
      <c r="BL114">
        <v>29.97146</v>
      </c>
      <c r="BM114">
        <v>0.53995000000000004</v>
      </c>
      <c r="BN114">
        <v>31.96414</v>
      </c>
      <c r="BO114">
        <f t="shared" si="34"/>
        <v>0.213038888888889</v>
      </c>
      <c r="BP114">
        <v>9</v>
      </c>
      <c r="BQ114">
        <v>9.9816199999999995</v>
      </c>
      <c r="BR114">
        <f t="shared" si="35"/>
        <v>0</v>
      </c>
      <c r="BS114">
        <f t="shared" si="36"/>
        <v>0.213038888888889</v>
      </c>
      <c r="BT114">
        <f t="shared" si="37"/>
        <v>9</v>
      </c>
      <c r="BU114">
        <f t="shared" si="38"/>
        <v>9.9816199999999995</v>
      </c>
      <c r="BV114">
        <f t="shared" si="39"/>
        <v>0</v>
      </c>
      <c r="BW114">
        <f t="shared" si="40"/>
        <v>0.213038888888889</v>
      </c>
      <c r="BX114">
        <f t="shared" si="41"/>
        <v>9</v>
      </c>
      <c r="BY114">
        <f t="shared" si="42"/>
        <v>9.9816199999999995</v>
      </c>
      <c r="BZ114">
        <f t="shared" si="43"/>
        <v>0</v>
      </c>
      <c r="CA114">
        <f t="shared" si="44"/>
        <v>0.213038888888889</v>
      </c>
      <c r="CB114">
        <f>IF(CA114=BO114,BP114,IF(CA114=BS114,BT114,IF(CA114=BW114,BX114,0)))</f>
        <v>9</v>
      </c>
      <c r="CC114">
        <f>IF(CA114=BO114,BQ114,IF(CA114=BS114,BU114,IF(CA114=BW114,BY114,0)))</f>
        <v>9.9816199999999995</v>
      </c>
      <c r="CD114">
        <f t="shared" si="45"/>
        <v>0</v>
      </c>
      <c r="CE114">
        <f t="shared" si="46"/>
        <v>0.213038888888889</v>
      </c>
      <c r="CF114">
        <f>IF(CE114=BO114,BP114,IF(CE114=BS114,BT114,IF(CE114=BW114,BX114,IF(CE114=CA114,CB114,0))))</f>
        <v>9</v>
      </c>
      <c r="CG114">
        <f>IF(CE114=BO114,BQ114,IF(CE114=BS114,BU114,IF(CE114=BW114,BY114,IF(CE114=CA114,CC114,0))))</f>
        <v>9.9816199999999995</v>
      </c>
      <c r="CH114">
        <f t="shared" si="47"/>
        <v>0</v>
      </c>
      <c r="CI114">
        <f t="shared" si="48"/>
        <v>0.213038888888889</v>
      </c>
      <c r="CJ114">
        <f>IF(CI114=BO114,BP114,IF(CI114=BS114,BT114,IF(CI114=BW114,BX114,IF(CI114=CA114,CB114,IF(CI114=CE114,CF114,0)))))</f>
        <v>9</v>
      </c>
      <c r="CK114">
        <f>IF(CI114=BO114,BQ114,IF(CI114=BS114,BU114,IF(CI114=BW114,BY114,IF(CI114=CA114,CC114,IF(CI114=CE114,CG114,0)))))</f>
        <v>9.9816199999999995</v>
      </c>
      <c r="CL114">
        <f t="shared" si="49"/>
        <v>0</v>
      </c>
      <c r="CM114">
        <f t="shared" si="50"/>
        <v>0.213038888888889</v>
      </c>
      <c r="CN114">
        <f>IF(CM114=BO114,BP114,IF(CM114=BS114,BT114,IF(CM114=BW114,BX114,IF(CM114=CA114,CB114,IF(CM114=CE114,CF114,IF(CM114=CI114,CJ114,0))))))</f>
        <v>9</v>
      </c>
      <c r="CO114">
        <f>IF(CM114=BO114,BQ114,IF(CM114=BS114,BU114,IF(CM114=BW114,BY114,IF(CM114=CA114,CC114,IF(CM114=CE114,CG114,IF(CM114=CI114,CK114,0))))))</f>
        <v>9.9816199999999995</v>
      </c>
      <c r="CP114">
        <f t="shared" si="51"/>
        <v>0</v>
      </c>
      <c r="CQ114">
        <f t="shared" si="52"/>
        <v>0.213038888888889</v>
      </c>
      <c r="CR114">
        <f>IF(CQ114=BO114,BP114,IF(CQ114=BS114,BT114,IF(CQ114=BW114,BX114,IF(CQ114=CA114,CB114,IF(CQ114=CE114,CF114,IF(CQ114=CI114,CJ114,IF(CQ114=CM114,CN114,0)))))))</f>
        <v>9</v>
      </c>
      <c r="CS114">
        <f>IF(CQ114=BO114,BQ114,IF(CQ114=BS114,BU114,IF(CQ114=BW114,BY114,IF(CQ114=CA114,CC114,IF(CQ114=CE114,CG114,IF(CQ114=CI114,CK114,IF(CQ114=CM114,CO114,0)))))))</f>
        <v>9.9816199999999995</v>
      </c>
      <c r="CT114">
        <f t="shared" si="53"/>
        <v>0</v>
      </c>
      <c r="CU114">
        <f t="shared" si="54"/>
        <v>0.22090833333333301</v>
      </c>
      <c r="CV114">
        <v>6</v>
      </c>
      <c r="CW114">
        <v>8.9964999999999993</v>
      </c>
      <c r="CX114">
        <f t="shared" si="55"/>
        <v>0</v>
      </c>
      <c r="CY114">
        <f t="shared" si="56"/>
        <v>0.213038888888889</v>
      </c>
      <c r="CZ114">
        <f>IF(CY114=BO114,BP114,IF(CY114=BS114,BT114,IF(CY114=BW114,BX114,IF(CY114=CA114,CB114,IF(CY114=CE114,CF114,IF(CY114=CI114,CJ114,IF(CY114=CM114,CN114,IF(CY114=CQ114,CR114,IF(CY114=CU114,CV114,0)))))))))</f>
        <v>9</v>
      </c>
      <c r="DA114">
        <f>IF(CY114=BO114,BQ114,IF(CY114=BS114,BU114,IF(CY114=BW114,BY114,IF(CY114=CA114,CC114,IF(CY114=CE114,CG114,IF(CY114=CI114,CK114,IF(CY114=CM114,CO114,IF(CY114=CQ114,CS114,IF(CY114=CU114,CW114,0)))))))))</f>
        <v>9.9816199999999995</v>
      </c>
      <c r="DB114">
        <f t="shared" si="57"/>
        <v>0</v>
      </c>
      <c r="DC114">
        <f t="shared" si="58"/>
        <v>0.213038888888889</v>
      </c>
      <c r="DD114">
        <f>IF(DC114=BO114,BP114,IF(DC114=BS114,BT114,IF(DC114=BW114,BX114,IF(DC114=CA114,CB114,IF(DC114=CE114,CF114,IF(DC114=CI114,CJ114,IF(DC114=CM114,CN114,IF(DC114=CQ114,CR114,IF(DC114=CU114,CV114,IF(DC114=CY114,CZ114,0))))))))))</f>
        <v>9</v>
      </c>
      <c r="DE114">
        <f>IF(DC114=BO114,BQ114,IF(DC114=BS114,BU114,IF(DC114=BW114,BY114,IF(DC114=CA114,CC114,IF(DC114=CE114,CG114,IF(DC114=CI114,CK114,IF(DC114=CM114,CO114,IF(DC114=CQ114,CS114,IF(DC114=CU114,CW114,IF(DC114=CY114,DA114,0))))))))))</f>
        <v>9.9816199999999995</v>
      </c>
      <c r="DF114">
        <f t="shared" si="59"/>
        <v>0</v>
      </c>
      <c r="DG114">
        <f t="shared" si="60"/>
        <v>0.213038888888889</v>
      </c>
      <c r="DH114">
        <f>IF(DG114=BO114,BP114,IF(DG114=BS114,BT114,IF(DG114=BW114,BX114,IF(DG114=CA114,CB114,IF(DG114=CE114,CF114,IF(DG114=CI114,CJ114,IF(DG114=CM114,CN114,IF(DG114=CQ114,CR114,IF(DG114=CU114,CV114,IF(DG114=CY114,CZ114,IF(DG114=DC114,DD114,0)))))))))))</f>
        <v>9</v>
      </c>
      <c r="DI114">
        <f>IF(DG114=BO114,BQ114,IF(DG114=BS114,BU114,IF(DG114=BW114,BY114,IF(DG114=CA114,CC114,IF(DG114=CE114,CG114,IF(DG114=CI114,CK114,IF(DG114=CM114,CO114,IF(DG114=CQ114,CS114,IF(DG114=CU114,CW114,IF(DG114=CY114,DA114,IF(DG114=DC114,DE114,0)))))))))))</f>
        <v>9.9816199999999995</v>
      </c>
      <c r="DJ114">
        <f t="shared" si="61"/>
        <v>0</v>
      </c>
      <c r="DK114">
        <f t="shared" si="62"/>
        <v>0.213038888888889</v>
      </c>
      <c r="DL114">
        <f>IF(DK114=BO114,BP114,IF(DK114=BS114,BT114,IF(DK114=BW114,BX114,IF(DK114=CA114,CB114,IF(DK114=CE114,CF114,IF(DK114=CI114,CJ114,IF(DK114=CM114,CN114,IF(DK114=CQ114,CR114,IF(DK114=CU114,CV114,IF(DK114=CY114,CZ114,IF(DK114=DC114,DD114,IF(DK114=DG114,DH114,0))))))))))))</f>
        <v>9</v>
      </c>
      <c r="DM114">
        <f>IF(DK114=BO114,BQ114,IF(DK114=BS114,BU114,IF(DK114=BW114,BY114,IF(DK114=CA114,CC114,IF(DK114=CE114,CG114,IF(DK114=CI114,CK114,IF(DK114=CM114,CO114,IF(DK114=CQ114,CS114,IF(DK114=CU114,CW114,IF(DK114=CY114,DA114,IF(DK114=DC114,DE114,IF(DK114=DG114,DI114,0))))))))))))</f>
        <v>9.9816199999999995</v>
      </c>
      <c r="DN114">
        <f t="shared" si="63"/>
        <v>0</v>
      </c>
      <c r="DO114">
        <f t="shared" si="64"/>
        <v>0.213038888888889</v>
      </c>
      <c r="DP114">
        <f>IF(DO114=BO114,BP114,IF(DO114=BS114,BT114,IF(DO114=BW114,BX114,IF(DO114=CA114,CB114,IF(DO114=CE114,CF114,IF(DO114=CI114,CJ114,IF(DO114=CM114,CN114,IF(DO114=CQ114,CR114,IF(DO114=CU114,CV114,IF(DO114=CY114,CZ114,IF(DO114=DC114,DD114,IF(DO114=DG114,DH114,IF(DO114=DK114,DL114,0)))))))))))))</f>
        <v>9</v>
      </c>
      <c r="DQ114">
        <f>IF(DO114=BO114,BQ114,IF(DO114=BS114,BU114,IF(DO114=BW114,BY114,IF(DO114=CA114,CC114,IF(DO114=CE114,CG114,IF(DO114=CI114,CK114,IF(DO114=CM114,CO114,IF(DO114=CQ114,CS114,IF(DO114=CU114,CW114,IF(DO114=CY114,DA114,IF(DO114=DC114,DE114,IF(DO114=DG114,DI114,IF(DO114=DK114,DM114,0)))))))))))))</f>
        <v>9.9816199999999995</v>
      </c>
      <c r="DR114">
        <f t="shared" si="65"/>
        <v>0</v>
      </c>
      <c r="DS114">
        <f t="shared" si="66"/>
        <v>0.213038888888889</v>
      </c>
      <c r="DT114">
        <f>IF(DS114=BO114,BP114,IF(DS114=BS114,BT114,IF(DS114=BW114,BX114,IF(DS114=CA114,CB114,IF(DS114=CE114,CF114,IF(DS114=CI114,CJ114,IF(DS114=CM114,CN114,IF(DS114=CQ114,CR114,IF(DS114=CU114,CV114,IF(DS114=CY114,CZ114,IF(DS114=DC114,DD114,IF(DS114=DG114,DH114,IF(DS114=DK114,DL114,IF(DS114=DO114,DP114,0))))))))))))))</f>
        <v>9</v>
      </c>
      <c r="DU114">
        <f>IF(DS114=BO114,BQ114,IF(DS114=BS114,BU114,IF(DS114=BW114,BY114,IF(DS114=CA114,CC114,IF(DS114=CE114,CG114,IF(DS114=CI114,CK114,IF(DS114=CM114,CO114,IF(DS114=CQ114,CS114,IF(DS114=CU114,CW114,IF(DS114=CY114,DA114,IF(DS114=DC114,DE114,IF(DS114=DG114,DI114,IF(DS114=DK114,DM114,IF(DS114=DO114,DQ114,0))))))))))))))</f>
        <v>9.9816199999999995</v>
      </c>
      <c r="DV114">
        <f t="shared" si="67"/>
        <v>0</v>
      </c>
      <c r="DW114">
        <v>7500</v>
      </c>
      <c r="DX114">
        <v>4</v>
      </c>
      <c r="DY114">
        <v>0</v>
      </c>
      <c r="DZ114">
        <v>6</v>
      </c>
      <c r="EA114">
        <v>6</v>
      </c>
      <c r="EB114">
        <v>3.37129157926281</v>
      </c>
      <c r="EC114">
        <v>1.5</v>
      </c>
      <c r="ED114">
        <v>3.0777839999999999</v>
      </c>
      <c r="EE114">
        <v>0.213038888888889</v>
      </c>
      <c r="EF114">
        <v>9.9816199999999995</v>
      </c>
      <c r="EG114">
        <v>4.0807344438622799</v>
      </c>
      <c r="EH114">
        <v>9</v>
      </c>
      <c r="EI114">
        <v>0</v>
      </c>
      <c r="EJ114">
        <v>1.2976106000000001</v>
      </c>
      <c r="EK114">
        <v>1</v>
      </c>
      <c r="EL114">
        <v>0</v>
      </c>
      <c r="EM114">
        <v>27</v>
      </c>
      <c r="EN114">
        <v>1</v>
      </c>
      <c r="EO114">
        <v>4</v>
      </c>
      <c r="EP114">
        <v>2</v>
      </c>
      <c r="EQ114">
        <v>4</v>
      </c>
      <c r="ER114">
        <v>14.1987814663817</v>
      </c>
      <c r="ES114">
        <v>8.2318224372540403</v>
      </c>
      <c r="ET114">
        <v>11.309606437254001</v>
      </c>
      <c r="EU114">
        <v>6.04978525434821</v>
      </c>
      <c r="EV114">
        <v>7.3473958543482096</v>
      </c>
      <c r="EW114">
        <v>1.3733967</v>
      </c>
      <c r="EX114">
        <v>6.4759853446974196</v>
      </c>
      <c r="EY114">
        <v>7.8493820446974203</v>
      </c>
      <c r="EZ114">
        <v>1.2976106000000001</v>
      </c>
      <c r="FA114">
        <v>6.04978525434821</v>
      </c>
      <c r="FB114">
        <v>7.3473958543482096</v>
      </c>
      <c r="FC114">
        <v>2.3831912000000002</v>
      </c>
      <c r="FD114">
        <v>9.9009680807464697</v>
      </c>
      <c r="FE114">
        <v>12.284159280746501</v>
      </c>
      <c r="FF114">
        <v>1.2976106000000001</v>
      </c>
      <c r="FG114">
        <v>6.04978525434821</v>
      </c>
      <c r="FH114">
        <v>7.3473958543482096</v>
      </c>
    </row>
    <row r="115" spans="1:164" x14ac:dyDescent="0.2">
      <c r="A115">
        <v>114</v>
      </c>
      <c r="B115">
        <v>127</v>
      </c>
      <c r="C115">
        <v>193</v>
      </c>
      <c r="D115">
        <v>3</v>
      </c>
      <c r="E115">
        <v>12</v>
      </c>
      <c r="F115" t="s">
        <v>313</v>
      </c>
      <c r="G115" t="s">
        <v>317</v>
      </c>
      <c r="H115">
        <v>3</v>
      </c>
      <c r="I115">
        <v>5</v>
      </c>
      <c r="K115" t="s">
        <v>117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7</v>
      </c>
      <c r="AE115">
        <v>8</v>
      </c>
      <c r="AF115">
        <v>4</v>
      </c>
      <c r="AG115">
        <v>5</v>
      </c>
      <c r="AH115">
        <v>2</v>
      </c>
      <c r="AI115">
        <v>0.28987777777777801</v>
      </c>
      <c r="AJ115">
        <v>12.136799999999999</v>
      </c>
      <c r="AK115">
        <v>0.45840277777777799</v>
      </c>
      <c r="AL115">
        <v>23.175879999999999</v>
      </c>
      <c r="AM115">
        <v>0.35251388888888902</v>
      </c>
      <c r="AN115">
        <v>20.705739999999999</v>
      </c>
      <c r="AO115">
        <v>0.348655555555556</v>
      </c>
      <c r="AP115">
        <v>18.332239999999999</v>
      </c>
      <c r="AQ115">
        <v>0.37195555555555598</v>
      </c>
      <c r="AR115">
        <v>18.660139999999998</v>
      </c>
      <c r="AS115">
        <v>0.33714166666666701</v>
      </c>
      <c r="AT115">
        <v>15.160270000000001</v>
      </c>
      <c r="AU115">
        <v>0.22090833333333301</v>
      </c>
      <c r="AV115">
        <v>8.9964999999999993</v>
      </c>
      <c r="AW115">
        <v>0.23708888888888899</v>
      </c>
      <c r="AX115">
        <v>10.373049999999999</v>
      </c>
      <c r="AY115">
        <v>0.22804722222222201</v>
      </c>
      <c r="AZ115">
        <v>10.564590000000001</v>
      </c>
      <c r="BA115">
        <v>0.213038888888889</v>
      </c>
      <c r="BB115">
        <v>9.9816199999999995</v>
      </c>
      <c r="BC115">
        <v>0.29693611111111101</v>
      </c>
      <c r="BD115">
        <v>12.423389999999999</v>
      </c>
      <c r="BE115">
        <v>0.32260555555555598</v>
      </c>
      <c r="BF115">
        <v>17.779039999999998</v>
      </c>
      <c r="BG115">
        <v>0.38647777777777798</v>
      </c>
      <c r="BH115">
        <v>21.181889999999999</v>
      </c>
      <c r="BI115">
        <v>0.430305555555556</v>
      </c>
      <c r="BJ115">
        <v>23.155809999999999</v>
      </c>
      <c r="BK115">
        <v>0.49844444444444402</v>
      </c>
      <c r="BL115">
        <v>29.97146</v>
      </c>
      <c r="BM115">
        <v>0.53995000000000004</v>
      </c>
      <c r="BN115">
        <v>31.96414</v>
      </c>
      <c r="BO115">
        <f t="shared" si="34"/>
        <v>0.213038888888889</v>
      </c>
      <c r="BP115">
        <v>9</v>
      </c>
      <c r="BQ115">
        <v>9.9816199999999995</v>
      </c>
      <c r="BR115">
        <f t="shared" si="35"/>
        <v>0</v>
      </c>
      <c r="BS115">
        <f t="shared" si="36"/>
        <v>0.213038888888889</v>
      </c>
      <c r="BT115">
        <f t="shared" si="37"/>
        <v>9</v>
      </c>
      <c r="BU115">
        <f t="shared" si="38"/>
        <v>9.9816199999999995</v>
      </c>
      <c r="BV115">
        <f t="shared" si="39"/>
        <v>0</v>
      </c>
      <c r="BW115">
        <f t="shared" si="40"/>
        <v>0.213038888888889</v>
      </c>
      <c r="BX115">
        <f t="shared" si="41"/>
        <v>9</v>
      </c>
      <c r="BY115">
        <f t="shared" si="42"/>
        <v>9.9816199999999995</v>
      </c>
      <c r="BZ115">
        <f t="shared" si="43"/>
        <v>0</v>
      </c>
      <c r="CA115">
        <f t="shared" si="44"/>
        <v>0.213038888888889</v>
      </c>
      <c r="CB115">
        <f>IF(CA115=BO115,BP115,IF(CA115=BS115,BT115,IF(CA115=BW115,BX115,0)))</f>
        <v>9</v>
      </c>
      <c r="CC115">
        <f>IF(CA115=BO115,BQ115,IF(CA115=BS115,BU115,IF(CA115=BW115,BY115,0)))</f>
        <v>9.9816199999999995</v>
      </c>
      <c r="CD115">
        <f t="shared" si="45"/>
        <v>0</v>
      </c>
      <c r="CE115">
        <f t="shared" si="46"/>
        <v>0.213038888888889</v>
      </c>
      <c r="CF115">
        <f>IF(CE115=BO115,BP115,IF(CE115=BS115,BT115,IF(CE115=BW115,BX115,IF(CE115=CA115,CB115,0))))</f>
        <v>9</v>
      </c>
      <c r="CG115">
        <f>IF(CE115=BO115,BQ115,IF(CE115=BS115,BU115,IF(CE115=BW115,BY115,IF(CE115=CA115,CC115,0))))</f>
        <v>9.9816199999999995</v>
      </c>
      <c r="CH115">
        <f t="shared" si="47"/>
        <v>0</v>
      </c>
      <c r="CI115">
        <f t="shared" si="48"/>
        <v>0.213038888888889</v>
      </c>
      <c r="CJ115">
        <f>IF(CI115=BO115,BP115,IF(CI115=BS115,BT115,IF(CI115=BW115,BX115,IF(CI115=CA115,CB115,IF(CI115=CE115,CF115,0)))))</f>
        <v>9</v>
      </c>
      <c r="CK115">
        <f>IF(CI115=BO115,BQ115,IF(CI115=BS115,BU115,IF(CI115=BW115,BY115,IF(CI115=CA115,CC115,IF(CI115=CE115,CG115,0)))))</f>
        <v>9.9816199999999995</v>
      </c>
      <c r="CL115">
        <f t="shared" si="49"/>
        <v>0</v>
      </c>
      <c r="CM115">
        <f t="shared" si="50"/>
        <v>0.213038888888889</v>
      </c>
      <c r="CN115">
        <f>IF(CM115=BO115,BP115,IF(CM115=BS115,BT115,IF(CM115=BW115,BX115,IF(CM115=CA115,CB115,IF(CM115=CE115,CF115,IF(CM115=CI115,CJ115,0))))))</f>
        <v>9</v>
      </c>
      <c r="CO115">
        <f>IF(CM115=BO115,BQ115,IF(CM115=BS115,BU115,IF(CM115=BW115,BY115,IF(CM115=CA115,CC115,IF(CM115=CE115,CG115,IF(CM115=CI115,CK115,0))))))</f>
        <v>9.9816199999999995</v>
      </c>
      <c r="CP115">
        <f t="shared" si="51"/>
        <v>0</v>
      </c>
      <c r="CQ115">
        <f t="shared" si="52"/>
        <v>0.213038888888889</v>
      </c>
      <c r="CR115">
        <f>IF(CQ115=BO115,BP115,IF(CQ115=BS115,BT115,IF(CQ115=BW115,BX115,IF(CQ115=CA115,CB115,IF(CQ115=CE115,CF115,IF(CQ115=CI115,CJ115,IF(CQ115=CM115,CN115,0)))))))</f>
        <v>9</v>
      </c>
      <c r="CS115">
        <f>IF(CQ115=BO115,BQ115,IF(CQ115=BS115,BU115,IF(CQ115=BW115,BY115,IF(CQ115=CA115,CC115,IF(CQ115=CE115,CG115,IF(CQ115=CI115,CK115,IF(CQ115=CM115,CO115,0)))))))</f>
        <v>9.9816199999999995</v>
      </c>
      <c r="CT115">
        <f t="shared" si="53"/>
        <v>0</v>
      </c>
      <c r="CU115">
        <f t="shared" si="54"/>
        <v>0.22090833333333301</v>
      </c>
      <c r="CV115">
        <v>6</v>
      </c>
      <c r="CW115">
        <v>8.9964999999999993</v>
      </c>
      <c r="CX115">
        <f t="shared" si="55"/>
        <v>0</v>
      </c>
      <c r="CY115">
        <f t="shared" si="56"/>
        <v>0.213038888888889</v>
      </c>
      <c r="CZ115">
        <f>IF(CY115=BO115,BP115,IF(CY115=BS115,BT115,IF(CY115=BW115,BX115,IF(CY115=CA115,CB115,IF(CY115=CE115,CF115,IF(CY115=CI115,CJ115,IF(CY115=CM115,CN115,IF(CY115=CQ115,CR115,IF(CY115=CU115,CV115,0)))))))))</f>
        <v>9</v>
      </c>
      <c r="DA115">
        <f>IF(CY115=BO115,BQ115,IF(CY115=BS115,BU115,IF(CY115=BW115,BY115,IF(CY115=CA115,CC115,IF(CY115=CE115,CG115,IF(CY115=CI115,CK115,IF(CY115=CM115,CO115,IF(CY115=CQ115,CS115,IF(CY115=CU115,CW115,0)))))))))</f>
        <v>9.9816199999999995</v>
      </c>
      <c r="DB115">
        <f t="shared" si="57"/>
        <v>0</v>
      </c>
      <c r="DC115">
        <f t="shared" si="58"/>
        <v>0.213038888888889</v>
      </c>
      <c r="DD115">
        <f>IF(DC115=BO115,BP115,IF(DC115=BS115,BT115,IF(DC115=BW115,BX115,IF(DC115=CA115,CB115,IF(DC115=CE115,CF115,IF(DC115=CI115,CJ115,IF(DC115=CM115,CN115,IF(DC115=CQ115,CR115,IF(DC115=CU115,CV115,IF(DC115=CY115,CZ115,0))))))))))</f>
        <v>9</v>
      </c>
      <c r="DE115">
        <f>IF(DC115=BO115,BQ115,IF(DC115=BS115,BU115,IF(DC115=BW115,BY115,IF(DC115=CA115,CC115,IF(DC115=CE115,CG115,IF(DC115=CI115,CK115,IF(DC115=CM115,CO115,IF(DC115=CQ115,CS115,IF(DC115=CU115,CW115,IF(DC115=CY115,DA115,0))))))))))</f>
        <v>9.9816199999999995</v>
      </c>
      <c r="DF115">
        <f t="shared" si="59"/>
        <v>0</v>
      </c>
      <c r="DG115">
        <f t="shared" si="60"/>
        <v>0.213038888888889</v>
      </c>
      <c r="DH115">
        <f>IF(DG115=BO115,BP115,IF(DG115=BS115,BT115,IF(DG115=BW115,BX115,IF(DG115=CA115,CB115,IF(DG115=CE115,CF115,IF(DG115=CI115,CJ115,IF(DG115=CM115,CN115,IF(DG115=CQ115,CR115,IF(DG115=CU115,CV115,IF(DG115=CY115,CZ115,IF(DG115=DC115,DD115,0)))))))))))</f>
        <v>9</v>
      </c>
      <c r="DI115">
        <f>IF(DG115=BO115,BQ115,IF(DG115=BS115,BU115,IF(DG115=BW115,BY115,IF(DG115=CA115,CC115,IF(DG115=CE115,CG115,IF(DG115=CI115,CK115,IF(DG115=CM115,CO115,IF(DG115=CQ115,CS115,IF(DG115=CU115,CW115,IF(DG115=CY115,DA115,IF(DG115=DC115,DE115,0)))))))))))</f>
        <v>9.9816199999999995</v>
      </c>
      <c r="DJ115">
        <f t="shared" si="61"/>
        <v>0</v>
      </c>
      <c r="DK115">
        <f t="shared" si="62"/>
        <v>0.213038888888889</v>
      </c>
      <c r="DL115">
        <f>IF(DK115=BO115,BP115,IF(DK115=BS115,BT115,IF(DK115=BW115,BX115,IF(DK115=CA115,CB115,IF(DK115=CE115,CF115,IF(DK115=CI115,CJ115,IF(DK115=CM115,CN115,IF(DK115=CQ115,CR115,IF(DK115=CU115,CV115,IF(DK115=CY115,CZ115,IF(DK115=DC115,DD115,IF(DK115=DG115,DH115,0))))))))))))</f>
        <v>9</v>
      </c>
      <c r="DM115">
        <f>IF(DK115=BO115,BQ115,IF(DK115=BS115,BU115,IF(DK115=BW115,BY115,IF(DK115=CA115,CC115,IF(DK115=CE115,CG115,IF(DK115=CI115,CK115,IF(DK115=CM115,CO115,IF(DK115=CQ115,CS115,IF(DK115=CU115,CW115,IF(DK115=CY115,DA115,IF(DK115=DC115,DE115,IF(DK115=DG115,DI115,0))))))))))))</f>
        <v>9.9816199999999995</v>
      </c>
      <c r="DN115">
        <f t="shared" si="63"/>
        <v>0</v>
      </c>
      <c r="DO115">
        <f t="shared" si="64"/>
        <v>0.213038888888889</v>
      </c>
      <c r="DP115">
        <f>IF(DO115=BO115,BP115,IF(DO115=BS115,BT115,IF(DO115=BW115,BX115,IF(DO115=CA115,CB115,IF(DO115=CE115,CF115,IF(DO115=CI115,CJ115,IF(DO115=CM115,CN115,IF(DO115=CQ115,CR115,IF(DO115=CU115,CV115,IF(DO115=CY115,CZ115,IF(DO115=DC115,DD115,IF(DO115=DG115,DH115,IF(DO115=DK115,DL115,0)))))))))))))</f>
        <v>9</v>
      </c>
      <c r="DQ115">
        <f>IF(DO115=BO115,BQ115,IF(DO115=BS115,BU115,IF(DO115=BW115,BY115,IF(DO115=CA115,CC115,IF(DO115=CE115,CG115,IF(DO115=CI115,CK115,IF(DO115=CM115,CO115,IF(DO115=CQ115,CS115,IF(DO115=CU115,CW115,IF(DO115=CY115,DA115,IF(DO115=DC115,DE115,IF(DO115=DG115,DI115,IF(DO115=DK115,DM115,0)))))))))))))</f>
        <v>9.9816199999999995</v>
      </c>
      <c r="DR115">
        <f t="shared" si="65"/>
        <v>0</v>
      </c>
      <c r="DS115">
        <f t="shared" si="66"/>
        <v>0.213038888888889</v>
      </c>
      <c r="DT115">
        <f>IF(DS115=BO115,BP115,IF(DS115=BS115,BT115,IF(DS115=BW115,BX115,IF(DS115=CA115,CB115,IF(DS115=CE115,CF115,IF(DS115=CI115,CJ115,IF(DS115=CM115,CN115,IF(DS115=CQ115,CR115,IF(DS115=CU115,CV115,IF(DS115=CY115,CZ115,IF(DS115=DC115,DD115,IF(DS115=DG115,DH115,IF(DS115=DK115,DL115,IF(DS115=DO115,DP115,0))))))))))))))</f>
        <v>9</v>
      </c>
      <c r="DU115">
        <f>IF(DS115=BO115,BQ115,IF(DS115=BS115,BU115,IF(DS115=BW115,BY115,IF(DS115=CA115,CC115,IF(DS115=CE115,CG115,IF(DS115=CI115,CK115,IF(DS115=CM115,CO115,IF(DS115=CQ115,CS115,IF(DS115=CU115,CW115,IF(DS115=CY115,DA115,IF(DS115=DC115,DE115,IF(DS115=DG115,DI115,IF(DS115=DK115,DM115,IF(DS115=DO115,DQ115,0))))))))))))))</f>
        <v>9.9816199999999995</v>
      </c>
      <c r="DV115">
        <f t="shared" si="67"/>
        <v>0</v>
      </c>
      <c r="DW115">
        <v>31226.480769230799</v>
      </c>
      <c r="DX115">
        <v>4</v>
      </c>
      <c r="DY115">
        <v>0</v>
      </c>
      <c r="DZ115">
        <v>6</v>
      </c>
      <c r="EA115">
        <v>6</v>
      </c>
      <c r="EB115">
        <v>14.0364762223093</v>
      </c>
      <c r="EC115">
        <v>1.5</v>
      </c>
      <c r="ED115">
        <v>3.0777839999999999</v>
      </c>
      <c r="EE115">
        <v>0.213038888888889</v>
      </c>
      <c r="EF115">
        <v>9.9816199999999995</v>
      </c>
      <c r="EG115">
        <v>10.2639344916943</v>
      </c>
      <c r="EH115">
        <v>9</v>
      </c>
      <c r="EI115">
        <v>0</v>
      </c>
      <c r="EJ115">
        <v>1.2976106000000001</v>
      </c>
      <c r="EK115">
        <v>1</v>
      </c>
      <c r="EL115">
        <v>0</v>
      </c>
      <c r="EM115">
        <v>28</v>
      </c>
      <c r="EN115">
        <v>1</v>
      </c>
      <c r="EO115">
        <v>4</v>
      </c>
      <c r="EP115">
        <v>2</v>
      </c>
      <c r="EQ115">
        <v>4</v>
      </c>
      <c r="ER115">
        <v>14.1987814663817</v>
      </c>
      <c r="ES115">
        <v>8.2318224372540403</v>
      </c>
      <c r="ET115">
        <v>11.309606437254001</v>
      </c>
      <c r="EU115">
        <v>6.04978525434821</v>
      </c>
      <c r="EV115">
        <v>7.3473958543482096</v>
      </c>
      <c r="EW115">
        <v>1.3733967</v>
      </c>
      <c r="EX115">
        <v>6.4759853446974196</v>
      </c>
      <c r="EY115">
        <v>7.8493820446974203</v>
      </c>
      <c r="EZ115">
        <v>1.2976106000000001</v>
      </c>
      <c r="FA115">
        <v>6.04978525434821</v>
      </c>
      <c r="FB115">
        <v>7.3473958543482096</v>
      </c>
      <c r="FC115">
        <v>2.3831912000000002</v>
      </c>
      <c r="FD115">
        <v>9.9009680807464697</v>
      </c>
      <c r="FE115">
        <v>12.284159280746501</v>
      </c>
      <c r="FF115">
        <v>1.2976106000000001</v>
      </c>
      <c r="FG115">
        <v>6.04978525434821</v>
      </c>
      <c r="FH115">
        <v>7.3473958543482096</v>
      </c>
    </row>
    <row r="116" spans="1:164" x14ac:dyDescent="0.2">
      <c r="A116">
        <v>115</v>
      </c>
      <c r="B116">
        <v>128</v>
      </c>
      <c r="C116">
        <v>194</v>
      </c>
      <c r="D116">
        <v>3</v>
      </c>
      <c r="E116">
        <v>12</v>
      </c>
      <c r="F116" t="s">
        <v>313</v>
      </c>
      <c r="G116" t="s">
        <v>318</v>
      </c>
      <c r="H116">
        <v>3</v>
      </c>
      <c r="I116">
        <v>6</v>
      </c>
      <c r="K116" t="s">
        <v>117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7</v>
      </c>
      <c r="AE116">
        <v>8</v>
      </c>
      <c r="AF116">
        <v>4</v>
      </c>
      <c r="AG116">
        <v>7</v>
      </c>
      <c r="AH116">
        <v>3</v>
      </c>
      <c r="AI116">
        <v>0.28987777777777801</v>
      </c>
      <c r="AJ116">
        <v>12.136799999999999</v>
      </c>
      <c r="AK116">
        <v>0.45840277777777799</v>
      </c>
      <c r="AL116">
        <v>23.175879999999999</v>
      </c>
      <c r="AM116">
        <v>0.35251388888888902</v>
      </c>
      <c r="AN116">
        <v>20.705739999999999</v>
      </c>
      <c r="AO116">
        <v>0.348655555555556</v>
      </c>
      <c r="AP116">
        <v>18.332239999999999</v>
      </c>
      <c r="AQ116">
        <v>0.37195555555555598</v>
      </c>
      <c r="AR116">
        <v>18.660139999999998</v>
      </c>
      <c r="AS116">
        <v>0.33714166666666701</v>
      </c>
      <c r="AT116">
        <v>15.160270000000001</v>
      </c>
      <c r="AU116">
        <v>0.22090833333333301</v>
      </c>
      <c r="AV116">
        <v>8.9964999999999993</v>
      </c>
      <c r="AW116">
        <v>0.23708888888888899</v>
      </c>
      <c r="AX116">
        <v>10.373049999999999</v>
      </c>
      <c r="AY116">
        <v>0.22804722222222201</v>
      </c>
      <c r="AZ116">
        <v>10.564590000000001</v>
      </c>
      <c r="BA116">
        <v>0.213038888888889</v>
      </c>
      <c r="BB116">
        <v>9.9816199999999995</v>
      </c>
      <c r="BC116">
        <v>0.29693611111111101</v>
      </c>
      <c r="BD116">
        <v>12.423389999999999</v>
      </c>
      <c r="BE116">
        <v>0.32260555555555598</v>
      </c>
      <c r="BF116">
        <v>17.779039999999998</v>
      </c>
      <c r="BG116">
        <v>0.38647777777777798</v>
      </c>
      <c r="BH116">
        <v>21.181889999999999</v>
      </c>
      <c r="BI116">
        <v>0.430305555555556</v>
      </c>
      <c r="BJ116">
        <v>23.155809999999999</v>
      </c>
      <c r="BK116">
        <v>0.49844444444444402</v>
      </c>
      <c r="BL116">
        <v>29.97146</v>
      </c>
      <c r="BM116">
        <v>0.53995000000000004</v>
      </c>
      <c r="BN116">
        <v>31.96414</v>
      </c>
      <c r="BO116">
        <f t="shared" si="34"/>
        <v>0.213038888888889</v>
      </c>
      <c r="BP116">
        <v>9</v>
      </c>
      <c r="BQ116">
        <v>9.9816199999999995</v>
      </c>
      <c r="BR116">
        <f t="shared" si="35"/>
        <v>0</v>
      </c>
      <c r="BS116">
        <f t="shared" si="36"/>
        <v>0.213038888888889</v>
      </c>
      <c r="BT116">
        <f t="shared" si="37"/>
        <v>9</v>
      </c>
      <c r="BU116">
        <f t="shared" si="38"/>
        <v>9.9816199999999995</v>
      </c>
      <c r="BV116">
        <f t="shared" si="39"/>
        <v>0</v>
      </c>
      <c r="BW116">
        <f t="shared" si="40"/>
        <v>0.213038888888889</v>
      </c>
      <c r="BX116">
        <f t="shared" si="41"/>
        <v>9</v>
      </c>
      <c r="BY116">
        <f t="shared" si="42"/>
        <v>9.9816199999999995</v>
      </c>
      <c r="BZ116">
        <f t="shared" si="43"/>
        <v>0</v>
      </c>
      <c r="CA116">
        <f t="shared" si="44"/>
        <v>0.213038888888889</v>
      </c>
      <c r="CB116">
        <f>IF(CA116=BO116,BP116,IF(CA116=BS116,BT116,IF(CA116=BW116,BX116,0)))</f>
        <v>9</v>
      </c>
      <c r="CC116">
        <f>IF(CA116=BO116,BQ116,IF(CA116=BS116,BU116,IF(CA116=BW116,BY116,0)))</f>
        <v>9.9816199999999995</v>
      </c>
      <c r="CD116">
        <f t="shared" si="45"/>
        <v>0</v>
      </c>
      <c r="CE116">
        <f t="shared" si="46"/>
        <v>0.213038888888889</v>
      </c>
      <c r="CF116">
        <f>IF(CE116=BO116,BP116,IF(CE116=BS116,BT116,IF(CE116=BW116,BX116,IF(CE116=CA116,CB116,0))))</f>
        <v>9</v>
      </c>
      <c r="CG116">
        <f>IF(CE116=BO116,BQ116,IF(CE116=BS116,BU116,IF(CE116=BW116,BY116,IF(CE116=CA116,CC116,0))))</f>
        <v>9.9816199999999995</v>
      </c>
      <c r="CH116">
        <f t="shared" si="47"/>
        <v>0</v>
      </c>
      <c r="CI116">
        <f t="shared" si="48"/>
        <v>0.213038888888889</v>
      </c>
      <c r="CJ116">
        <f>IF(CI116=BO116,BP116,IF(CI116=BS116,BT116,IF(CI116=BW116,BX116,IF(CI116=CA116,CB116,IF(CI116=CE116,CF116,0)))))</f>
        <v>9</v>
      </c>
      <c r="CK116">
        <f>IF(CI116=BO116,BQ116,IF(CI116=BS116,BU116,IF(CI116=BW116,BY116,IF(CI116=CA116,CC116,IF(CI116=CE116,CG116,0)))))</f>
        <v>9.9816199999999995</v>
      </c>
      <c r="CL116">
        <f t="shared" si="49"/>
        <v>0</v>
      </c>
      <c r="CM116">
        <f t="shared" si="50"/>
        <v>0.213038888888889</v>
      </c>
      <c r="CN116">
        <f>IF(CM116=BO116,BP116,IF(CM116=BS116,BT116,IF(CM116=BW116,BX116,IF(CM116=CA116,CB116,IF(CM116=CE116,CF116,IF(CM116=CI116,CJ116,0))))))</f>
        <v>9</v>
      </c>
      <c r="CO116">
        <f>IF(CM116=BO116,BQ116,IF(CM116=BS116,BU116,IF(CM116=BW116,BY116,IF(CM116=CA116,CC116,IF(CM116=CE116,CG116,IF(CM116=CI116,CK116,0))))))</f>
        <v>9.9816199999999995</v>
      </c>
      <c r="CP116">
        <f t="shared" si="51"/>
        <v>0</v>
      </c>
      <c r="CQ116">
        <f t="shared" si="52"/>
        <v>0.213038888888889</v>
      </c>
      <c r="CR116">
        <f>IF(CQ116=BO116,BP116,IF(CQ116=BS116,BT116,IF(CQ116=BW116,BX116,IF(CQ116=CA116,CB116,IF(CQ116=CE116,CF116,IF(CQ116=CI116,CJ116,IF(CQ116=CM116,CN116,0)))))))</f>
        <v>9</v>
      </c>
      <c r="CS116">
        <f>IF(CQ116=BO116,BQ116,IF(CQ116=BS116,BU116,IF(CQ116=BW116,BY116,IF(CQ116=CA116,CC116,IF(CQ116=CE116,CG116,IF(CQ116=CI116,CK116,IF(CQ116=CM116,CO116,0)))))))</f>
        <v>9.9816199999999995</v>
      </c>
      <c r="CT116">
        <f t="shared" si="53"/>
        <v>0</v>
      </c>
      <c r="CU116">
        <f t="shared" si="54"/>
        <v>0.22090833333333301</v>
      </c>
      <c r="CV116">
        <v>6</v>
      </c>
      <c r="CW116">
        <v>8.9964999999999993</v>
      </c>
      <c r="CX116">
        <f t="shared" si="55"/>
        <v>0</v>
      </c>
      <c r="CY116">
        <f t="shared" si="56"/>
        <v>0.213038888888889</v>
      </c>
      <c r="CZ116">
        <f>IF(CY116=BO116,BP116,IF(CY116=BS116,BT116,IF(CY116=BW116,BX116,IF(CY116=CA116,CB116,IF(CY116=CE116,CF116,IF(CY116=CI116,CJ116,IF(CY116=CM116,CN116,IF(CY116=CQ116,CR116,IF(CY116=CU116,CV116,0)))))))))</f>
        <v>9</v>
      </c>
      <c r="DA116">
        <f>IF(CY116=BO116,BQ116,IF(CY116=BS116,BU116,IF(CY116=BW116,BY116,IF(CY116=CA116,CC116,IF(CY116=CE116,CG116,IF(CY116=CI116,CK116,IF(CY116=CM116,CO116,IF(CY116=CQ116,CS116,IF(CY116=CU116,CW116,0)))))))))</f>
        <v>9.9816199999999995</v>
      </c>
      <c r="DB116">
        <f t="shared" si="57"/>
        <v>0</v>
      </c>
      <c r="DC116">
        <f t="shared" si="58"/>
        <v>0.213038888888889</v>
      </c>
      <c r="DD116">
        <f>IF(DC116=BO116,BP116,IF(DC116=BS116,BT116,IF(DC116=BW116,BX116,IF(DC116=CA116,CB116,IF(DC116=CE116,CF116,IF(DC116=CI116,CJ116,IF(DC116=CM116,CN116,IF(DC116=CQ116,CR116,IF(DC116=CU116,CV116,IF(DC116=CY116,CZ116,0))))))))))</f>
        <v>9</v>
      </c>
      <c r="DE116">
        <f>IF(DC116=BO116,BQ116,IF(DC116=BS116,BU116,IF(DC116=BW116,BY116,IF(DC116=CA116,CC116,IF(DC116=CE116,CG116,IF(DC116=CI116,CK116,IF(DC116=CM116,CO116,IF(DC116=CQ116,CS116,IF(DC116=CU116,CW116,IF(DC116=CY116,DA116,0))))))))))</f>
        <v>9.9816199999999995</v>
      </c>
      <c r="DF116">
        <f t="shared" si="59"/>
        <v>0</v>
      </c>
      <c r="DG116">
        <f t="shared" si="60"/>
        <v>0.213038888888889</v>
      </c>
      <c r="DH116">
        <f>IF(DG116=BO116,BP116,IF(DG116=BS116,BT116,IF(DG116=BW116,BX116,IF(DG116=CA116,CB116,IF(DG116=CE116,CF116,IF(DG116=CI116,CJ116,IF(DG116=CM116,CN116,IF(DG116=CQ116,CR116,IF(DG116=CU116,CV116,IF(DG116=CY116,CZ116,IF(DG116=DC116,DD116,0)))))))))))</f>
        <v>9</v>
      </c>
      <c r="DI116">
        <f>IF(DG116=BO116,BQ116,IF(DG116=BS116,BU116,IF(DG116=BW116,BY116,IF(DG116=CA116,CC116,IF(DG116=CE116,CG116,IF(DG116=CI116,CK116,IF(DG116=CM116,CO116,IF(DG116=CQ116,CS116,IF(DG116=CU116,CW116,IF(DG116=CY116,DA116,IF(DG116=DC116,DE116,0)))))))))))</f>
        <v>9.9816199999999995</v>
      </c>
      <c r="DJ116">
        <f t="shared" si="61"/>
        <v>0</v>
      </c>
      <c r="DK116">
        <f t="shared" si="62"/>
        <v>0.213038888888889</v>
      </c>
      <c r="DL116">
        <f>IF(DK116=BO116,BP116,IF(DK116=BS116,BT116,IF(DK116=BW116,BX116,IF(DK116=CA116,CB116,IF(DK116=CE116,CF116,IF(DK116=CI116,CJ116,IF(DK116=CM116,CN116,IF(DK116=CQ116,CR116,IF(DK116=CU116,CV116,IF(DK116=CY116,CZ116,IF(DK116=DC116,DD116,IF(DK116=DG116,DH116,0))))))))))))</f>
        <v>9</v>
      </c>
      <c r="DM116">
        <f>IF(DK116=BO116,BQ116,IF(DK116=BS116,BU116,IF(DK116=BW116,BY116,IF(DK116=CA116,CC116,IF(DK116=CE116,CG116,IF(DK116=CI116,CK116,IF(DK116=CM116,CO116,IF(DK116=CQ116,CS116,IF(DK116=CU116,CW116,IF(DK116=CY116,DA116,IF(DK116=DC116,DE116,IF(DK116=DG116,DI116,0))))))))))))</f>
        <v>9.9816199999999995</v>
      </c>
      <c r="DN116">
        <f t="shared" si="63"/>
        <v>0</v>
      </c>
      <c r="DO116">
        <f t="shared" si="64"/>
        <v>0.213038888888889</v>
      </c>
      <c r="DP116">
        <f>IF(DO116=BO116,BP116,IF(DO116=BS116,BT116,IF(DO116=BW116,BX116,IF(DO116=CA116,CB116,IF(DO116=CE116,CF116,IF(DO116=CI116,CJ116,IF(DO116=CM116,CN116,IF(DO116=CQ116,CR116,IF(DO116=CU116,CV116,IF(DO116=CY116,CZ116,IF(DO116=DC116,DD116,IF(DO116=DG116,DH116,IF(DO116=DK116,DL116,0)))))))))))))</f>
        <v>9</v>
      </c>
      <c r="DQ116">
        <f>IF(DO116=BO116,BQ116,IF(DO116=BS116,BU116,IF(DO116=BW116,BY116,IF(DO116=CA116,CC116,IF(DO116=CE116,CG116,IF(DO116=CI116,CK116,IF(DO116=CM116,CO116,IF(DO116=CQ116,CS116,IF(DO116=CU116,CW116,IF(DO116=CY116,DA116,IF(DO116=DC116,DE116,IF(DO116=DG116,DI116,IF(DO116=DK116,DM116,0)))))))))))))</f>
        <v>9.9816199999999995</v>
      </c>
      <c r="DR116">
        <f t="shared" si="65"/>
        <v>0</v>
      </c>
      <c r="DS116">
        <f t="shared" si="66"/>
        <v>0.213038888888889</v>
      </c>
      <c r="DT116">
        <f>IF(DS116=BO116,BP116,IF(DS116=BS116,BT116,IF(DS116=BW116,BX116,IF(DS116=CA116,CB116,IF(DS116=CE116,CF116,IF(DS116=CI116,CJ116,IF(DS116=CM116,CN116,IF(DS116=CQ116,CR116,IF(DS116=CU116,CV116,IF(DS116=CY116,CZ116,IF(DS116=DC116,DD116,IF(DS116=DG116,DH116,IF(DS116=DK116,DL116,IF(DS116=DO116,DP116,0))))))))))))))</f>
        <v>9</v>
      </c>
      <c r="DU116">
        <f>IF(DS116=BO116,BQ116,IF(DS116=BS116,BU116,IF(DS116=BW116,BY116,IF(DS116=CA116,CC116,IF(DS116=CE116,CG116,IF(DS116=CI116,CK116,IF(DS116=CM116,CO116,IF(DS116=CQ116,CS116,IF(DS116=CU116,CW116,IF(DS116=CY116,DA116,IF(DS116=DC116,DE116,IF(DS116=DG116,DI116,IF(DS116=DK116,DM116,IF(DS116=DO116,DQ116,0))))))))))))))</f>
        <v>9.9816199999999995</v>
      </c>
      <c r="DV116">
        <f t="shared" si="67"/>
        <v>0</v>
      </c>
      <c r="DW116">
        <v>22500.5</v>
      </c>
      <c r="DX116">
        <v>4</v>
      </c>
      <c r="DY116">
        <v>0</v>
      </c>
      <c r="DZ116">
        <v>6</v>
      </c>
      <c r="EA116">
        <v>6</v>
      </c>
      <c r="EB116">
        <v>10.114099490560401</v>
      </c>
      <c r="EC116">
        <v>1.5</v>
      </c>
      <c r="ED116">
        <v>3.0777839999999999</v>
      </c>
      <c r="EE116">
        <v>0.213038888888889</v>
      </c>
      <c r="EF116">
        <v>9.9816199999999995</v>
      </c>
      <c r="EG116">
        <v>7.9899147904810004</v>
      </c>
      <c r="EH116">
        <v>9</v>
      </c>
      <c r="EI116">
        <v>0</v>
      </c>
      <c r="EJ116">
        <v>1.2976106000000001</v>
      </c>
      <c r="EK116">
        <v>1</v>
      </c>
      <c r="EL116">
        <v>0</v>
      </c>
      <c r="EM116">
        <v>28</v>
      </c>
      <c r="EN116">
        <v>1</v>
      </c>
      <c r="EO116">
        <v>4</v>
      </c>
      <c r="EP116">
        <v>3</v>
      </c>
      <c r="EQ116">
        <v>4</v>
      </c>
      <c r="ER116">
        <v>14.1987814663817</v>
      </c>
      <c r="ES116">
        <v>8.2318224372540403</v>
      </c>
      <c r="ET116">
        <v>11.309606437254001</v>
      </c>
      <c r="EU116">
        <v>6.04978525434821</v>
      </c>
      <c r="EV116">
        <v>7.3473958543482096</v>
      </c>
      <c r="EW116">
        <v>1.3733967</v>
      </c>
      <c r="EX116">
        <v>6.4759853446974196</v>
      </c>
      <c r="EY116">
        <v>7.8493820446974203</v>
      </c>
      <c r="EZ116">
        <v>1.2976106000000001</v>
      </c>
      <c r="FA116">
        <v>6.04978525434821</v>
      </c>
      <c r="FB116">
        <v>7.3473958543482096</v>
      </c>
      <c r="FC116">
        <v>2.3831912000000002</v>
      </c>
      <c r="FD116">
        <v>9.9009680807464697</v>
      </c>
      <c r="FE116">
        <v>12.284159280746501</v>
      </c>
      <c r="FF116">
        <v>1.2976106000000001</v>
      </c>
      <c r="FG116">
        <v>6.04978525434821</v>
      </c>
      <c r="FH116">
        <v>7.3473958543482096</v>
      </c>
    </row>
    <row r="117" spans="1:164" x14ac:dyDescent="0.2">
      <c r="A117">
        <v>116</v>
      </c>
      <c r="B117">
        <v>129</v>
      </c>
      <c r="C117">
        <v>195</v>
      </c>
      <c r="D117">
        <v>3</v>
      </c>
      <c r="E117">
        <v>12</v>
      </c>
      <c r="F117" t="s">
        <v>158</v>
      </c>
      <c r="G117" t="s">
        <v>319</v>
      </c>
      <c r="H117">
        <v>3</v>
      </c>
      <c r="I117">
        <v>5</v>
      </c>
      <c r="K117" t="s">
        <v>170</v>
      </c>
      <c r="L117">
        <v>0</v>
      </c>
      <c r="M117">
        <v>3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25</v>
      </c>
      <c r="AE117">
        <v>30</v>
      </c>
      <c r="AF117">
        <v>15</v>
      </c>
      <c r="AG117">
        <v>30</v>
      </c>
      <c r="AH117">
        <v>5</v>
      </c>
      <c r="AI117">
        <v>0.40377222222222198</v>
      </c>
      <c r="AJ117">
        <v>21.68085</v>
      </c>
      <c r="AK117">
        <v>0.37228611111111098</v>
      </c>
      <c r="AL117">
        <v>11.58466</v>
      </c>
      <c r="AM117">
        <v>0.26991111111111099</v>
      </c>
      <c r="AN117">
        <v>10.12307</v>
      </c>
      <c r="AO117">
        <v>0.255202777777778</v>
      </c>
      <c r="AP117">
        <v>8.6622500000000002</v>
      </c>
      <c r="AQ117">
        <v>0.31812777777777801</v>
      </c>
      <c r="AR117">
        <v>10.73414</v>
      </c>
      <c r="AS117">
        <v>0.31245000000000001</v>
      </c>
      <c r="AT117">
        <v>10.14893</v>
      </c>
      <c r="AU117">
        <v>0.30712499999999998</v>
      </c>
      <c r="AV117">
        <v>12.55533</v>
      </c>
      <c r="AW117">
        <v>0.32870277777777801</v>
      </c>
      <c r="AX117">
        <v>16.930879999999998</v>
      </c>
      <c r="AY117">
        <v>0.33868888888888898</v>
      </c>
      <c r="AZ117">
        <v>18.169609999999999</v>
      </c>
      <c r="BA117">
        <v>0.35203888888888901</v>
      </c>
      <c r="BB117">
        <v>19.490320000000001</v>
      </c>
      <c r="BC117">
        <v>0.41286666666666699</v>
      </c>
      <c r="BD117">
        <v>20.815020000000001</v>
      </c>
      <c r="BE117">
        <v>0.42388611111111102</v>
      </c>
      <c r="BF117">
        <v>27.191980000000001</v>
      </c>
      <c r="BG117">
        <v>0.48776111111111098</v>
      </c>
      <c r="BH117">
        <v>30.594830000000002</v>
      </c>
      <c r="BI117">
        <v>0.53158611111111098</v>
      </c>
      <c r="BJ117">
        <v>32.568750000000001</v>
      </c>
      <c r="BK117">
        <v>0.59972777777777797</v>
      </c>
      <c r="BL117">
        <v>39.384390000000003</v>
      </c>
      <c r="BM117">
        <v>0.64123055555555597</v>
      </c>
      <c r="BN117">
        <v>41.377070000000003</v>
      </c>
      <c r="BO117">
        <f t="shared" si="34"/>
        <v>0.255202777777778</v>
      </c>
      <c r="BP117">
        <v>3</v>
      </c>
      <c r="BQ117">
        <v>8.6622500000000002</v>
      </c>
      <c r="BR117">
        <f t="shared" si="35"/>
        <v>0</v>
      </c>
      <c r="BS117">
        <f t="shared" si="36"/>
        <v>0.255202777777778</v>
      </c>
      <c r="BT117">
        <f t="shared" si="37"/>
        <v>3</v>
      </c>
      <c r="BU117">
        <f t="shared" si="38"/>
        <v>8.6622500000000002</v>
      </c>
      <c r="BV117">
        <f t="shared" si="39"/>
        <v>0</v>
      </c>
      <c r="BW117">
        <f t="shared" si="40"/>
        <v>0.26991111111111099</v>
      </c>
      <c r="BX117">
        <v>2</v>
      </c>
      <c r="BY117">
        <v>10.12307</v>
      </c>
      <c r="BZ117">
        <f t="shared" si="43"/>
        <v>0</v>
      </c>
      <c r="CA117">
        <f t="shared" si="44"/>
        <v>0.255202777777778</v>
      </c>
      <c r="CB117">
        <f>IF(CA117=BO117,BP117,IF(CA117=BS117,BT117,IF(CA117=BW117,BX117,0)))</f>
        <v>3</v>
      </c>
      <c r="CC117">
        <f>IF(CA117=BO117,BQ117,IF(CA117=BS117,BU117,IF(CA117=BW117,BY117,0)))</f>
        <v>8.6622500000000002</v>
      </c>
      <c r="CD117">
        <f t="shared" si="45"/>
        <v>0</v>
      </c>
      <c r="CE117">
        <f t="shared" si="46"/>
        <v>0.255202777777778</v>
      </c>
      <c r="CF117">
        <f>IF(CE117=BO117,BP117,IF(CE117=BS117,BT117,IF(CE117=BW117,BX117,IF(CE117=CA117,CB117,0))))</f>
        <v>3</v>
      </c>
      <c r="CG117">
        <f>IF(CE117=BO117,BQ117,IF(CE117=BS117,BU117,IF(CE117=BW117,BY117,IF(CE117=CA117,CC117,0))))</f>
        <v>8.6622500000000002</v>
      </c>
      <c r="CH117">
        <f t="shared" si="47"/>
        <v>0</v>
      </c>
      <c r="CI117">
        <f t="shared" si="48"/>
        <v>0.255202777777778</v>
      </c>
      <c r="CJ117">
        <f>IF(CI117=BO117,BP117,IF(CI117=BS117,BT117,IF(CI117=BW117,BX117,IF(CI117=CA117,CB117,IF(CI117=CE117,CF117,0)))))</f>
        <v>3</v>
      </c>
      <c r="CK117">
        <f>IF(CI117=BO117,BQ117,IF(CI117=BS117,BU117,IF(CI117=BW117,BY117,IF(CI117=CA117,CC117,IF(CI117=CE117,CG117,0)))))</f>
        <v>8.6622500000000002</v>
      </c>
      <c r="CL117">
        <f t="shared" si="49"/>
        <v>0</v>
      </c>
      <c r="CM117">
        <f t="shared" si="50"/>
        <v>0.255202777777778</v>
      </c>
      <c r="CN117">
        <f>IF(CM117=BO117,BP117,IF(CM117=BS117,BT117,IF(CM117=BW117,BX117,IF(CM117=CA117,CB117,IF(CM117=CE117,CF117,IF(CM117=CI117,CJ117,0))))))</f>
        <v>3</v>
      </c>
      <c r="CO117">
        <f>IF(CM117=BO117,BQ117,IF(CM117=BS117,BU117,IF(CM117=BW117,BY117,IF(CM117=CA117,CC117,IF(CM117=CE117,CG117,IF(CM117=CI117,CK117,0))))))</f>
        <v>8.6622500000000002</v>
      </c>
      <c r="CP117">
        <f t="shared" si="51"/>
        <v>0</v>
      </c>
      <c r="CQ117">
        <f t="shared" si="52"/>
        <v>0.255202777777778</v>
      </c>
      <c r="CR117">
        <f>IF(CQ117=BO117,BP117,IF(CQ117=BS117,BT117,IF(CQ117=BW117,BX117,IF(CQ117=CA117,CB117,IF(CQ117=CE117,CF117,IF(CQ117=CI117,CJ117,IF(CQ117=CM117,CN117,0)))))))</f>
        <v>3</v>
      </c>
      <c r="CS117">
        <f>IF(CQ117=BO117,BQ117,IF(CQ117=BS117,BU117,IF(CQ117=BW117,BY117,IF(CQ117=CA117,CC117,IF(CQ117=CE117,CG117,IF(CQ117=CI117,CK117,IF(CQ117=CM117,CO117,0)))))))</f>
        <v>8.6622500000000002</v>
      </c>
      <c r="CT117">
        <f t="shared" si="53"/>
        <v>0</v>
      </c>
      <c r="CU117">
        <f t="shared" si="54"/>
        <v>0.255202777777778</v>
      </c>
      <c r="CV117">
        <f>IF(CU117=BO117,BP117,IF(CU117=BS117,BT117,IF(CU117=BW117,BX117,IF(CU117=CA117,CB117,IF(CU117=CE117,CF117,IF(CU117=CI117,CJ117,IF(CU117=CM117,CN117,IF(CU117=CQ117,CR117,0))))))))</f>
        <v>3</v>
      </c>
      <c r="CW117">
        <f>IF(CU117=BO117,BQ117,IF(CU117=BS117,BU117,IF(CU117=BW117,BY117,IF(CU117=CA117,CC117,IF(CU117=CE117,CG117,IF(CU117=CI117,CK117,IF(CU117=CM117,CO117,IF(CU117=CQ117,CS117,0))))))))</f>
        <v>8.6622500000000002</v>
      </c>
      <c r="CX117">
        <f t="shared" si="55"/>
        <v>0</v>
      </c>
      <c r="CY117">
        <f t="shared" si="56"/>
        <v>0.255202777777778</v>
      </c>
      <c r="CZ117">
        <f>IF(CY117=BO117,BP117,IF(CY117=BS117,BT117,IF(CY117=BW117,BX117,IF(CY117=CA117,CB117,IF(CY117=CE117,CF117,IF(CY117=CI117,CJ117,IF(CY117=CM117,CN117,IF(CY117=CQ117,CR117,IF(CY117=CU117,CV117,0)))))))))</f>
        <v>3</v>
      </c>
      <c r="DA117">
        <f>IF(CY117=BO117,BQ117,IF(CY117=BS117,BU117,IF(CY117=BW117,BY117,IF(CY117=CA117,CC117,IF(CY117=CE117,CG117,IF(CY117=CI117,CK117,IF(CY117=CM117,CO117,IF(CY117=CQ117,CS117,IF(CY117=CU117,CW117,0)))))))))</f>
        <v>8.6622500000000002</v>
      </c>
      <c r="DB117">
        <f t="shared" si="57"/>
        <v>0</v>
      </c>
      <c r="DC117">
        <f t="shared" si="58"/>
        <v>0.255202777777778</v>
      </c>
      <c r="DD117">
        <f>IF(DC117=BO117,BP117,IF(DC117=BS117,BT117,IF(DC117=BW117,BX117,IF(DC117=CA117,CB117,IF(DC117=CE117,CF117,IF(DC117=CI117,CJ117,IF(DC117=CM117,CN117,IF(DC117=CQ117,CR117,IF(DC117=CU117,CV117,IF(DC117=CY117,CZ117,0))))))))))</f>
        <v>3</v>
      </c>
      <c r="DE117">
        <f>IF(DC117=BO117,BQ117,IF(DC117=BS117,BU117,IF(DC117=BW117,BY117,IF(DC117=CA117,CC117,IF(DC117=CE117,CG117,IF(DC117=CI117,CK117,IF(DC117=CM117,CO117,IF(DC117=CQ117,CS117,IF(DC117=CU117,CW117,IF(DC117=CY117,DA117,0))))))))))</f>
        <v>8.6622500000000002</v>
      </c>
      <c r="DF117">
        <f t="shared" si="59"/>
        <v>0</v>
      </c>
      <c r="DG117">
        <f t="shared" si="60"/>
        <v>0.255202777777778</v>
      </c>
      <c r="DH117">
        <f>IF(DG117=BO117,BP117,IF(DG117=BS117,BT117,IF(DG117=BW117,BX117,IF(DG117=CA117,CB117,IF(DG117=CE117,CF117,IF(DG117=CI117,CJ117,IF(DG117=CM117,CN117,IF(DG117=CQ117,CR117,IF(DG117=CU117,CV117,IF(DG117=CY117,CZ117,IF(DG117=DC117,DD117,0)))))))))))</f>
        <v>3</v>
      </c>
      <c r="DI117">
        <f>IF(DG117=BO117,BQ117,IF(DG117=BS117,BU117,IF(DG117=BW117,BY117,IF(DG117=CA117,CC117,IF(DG117=CE117,CG117,IF(DG117=CI117,CK117,IF(DG117=CM117,CO117,IF(DG117=CQ117,CS117,IF(DG117=CU117,CW117,IF(DG117=CY117,DA117,IF(DG117=DC117,DE117,0)))))))))))</f>
        <v>8.6622500000000002</v>
      </c>
      <c r="DJ117">
        <f t="shared" si="61"/>
        <v>0</v>
      </c>
      <c r="DK117">
        <f t="shared" si="62"/>
        <v>0.255202777777778</v>
      </c>
      <c r="DL117">
        <f>IF(DK117=BO117,BP117,IF(DK117=BS117,BT117,IF(DK117=BW117,BX117,IF(DK117=CA117,CB117,IF(DK117=CE117,CF117,IF(DK117=CI117,CJ117,IF(DK117=CM117,CN117,IF(DK117=CQ117,CR117,IF(DK117=CU117,CV117,IF(DK117=CY117,CZ117,IF(DK117=DC117,DD117,IF(DK117=DG117,DH117,0))))))))))))</f>
        <v>3</v>
      </c>
      <c r="DM117">
        <f>IF(DK117=BO117,BQ117,IF(DK117=BS117,BU117,IF(DK117=BW117,BY117,IF(DK117=CA117,CC117,IF(DK117=CE117,CG117,IF(DK117=CI117,CK117,IF(DK117=CM117,CO117,IF(DK117=CQ117,CS117,IF(DK117=CU117,CW117,IF(DK117=CY117,DA117,IF(DK117=DC117,DE117,IF(DK117=DG117,DI117,0))))))))))))</f>
        <v>8.6622500000000002</v>
      </c>
      <c r="DN117">
        <f t="shared" si="63"/>
        <v>0</v>
      </c>
      <c r="DO117">
        <f t="shared" si="64"/>
        <v>0.255202777777778</v>
      </c>
      <c r="DP117">
        <f>IF(DO117=BO117,BP117,IF(DO117=BS117,BT117,IF(DO117=BW117,BX117,IF(DO117=CA117,CB117,IF(DO117=CE117,CF117,IF(DO117=CI117,CJ117,IF(DO117=CM117,CN117,IF(DO117=CQ117,CR117,IF(DO117=CU117,CV117,IF(DO117=CY117,CZ117,IF(DO117=DC117,DD117,IF(DO117=DG117,DH117,IF(DO117=DK117,DL117,0)))))))))))))</f>
        <v>3</v>
      </c>
      <c r="DQ117">
        <f>IF(DO117=BO117,BQ117,IF(DO117=BS117,BU117,IF(DO117=BW117,BY117,IF(DO117=CA117,CC117,IF(DO117=CE117,CG117,IF(DO117=CI117,CK117,IF(DO117=CM117,CO117,IF(DO117=CQ117,CS117,IF(DO117=CU117,CW117,IF(DO117=CY117,DA117,IF(DO117=DC117,DE117,IF(DO117=DG117,DI117,IF(DO117=DK117,DM117,0)))))))))))))</f>
        <v>8.6622500000000002</v>
      </c>
      <c r="DR117">
        <f t="shared" si="65"/>
        <v>0</v>
      </c>
      <c r="DS117">
        <f t="shared" si="66"/>
        <v>0.255202777777778</v>
      </c>
      <c r="DT117">
        <f>IF(DS117=BO117,BP117,IF(DS117=BS117,BT117,IF(DS117=BW117,BX117,IF(DS117=CA117,CB117,IF(DS117=CE117,CF117,IF(DS117=CI117,CJ117,IF(DS117=CM117,CN117,IF(DS117=CQ117,CR117,IF(DS117=CU117,CV117,IF(DS117=CY117,CZ117,IF(DS117=DC117,DD117,IF(DS117=DG117,DH117,IF(DS117=DK117,DL117,IF(DS117=DO117,DP117,0))))))))))))))</f>
        <v>3</v>
      </c>
      <c r="DU117">
        <f>IF(DS117=BO117,BQ117,IF(DS117=BS117,BU117,IF(DS117=BW117,BY117,IF(DS117=CA117,CC117,IF(DS117=CE117,CG117,IF(DS117=CI117,CK117,IF(DS117=CM117,CO117,IF(DS117=CQ117,CS117,IF(DS117=CU117,CW117,IF(DS117=CY117,DA117,IF(DS117=DC117,DE117,IF(DS117=DG117,DI117,IF(DS117=DK117,DM117,IF(DS117=DO117,DQ117,0))))))))))))))</f>
        <v>8.6622500000000002</v>
      </c>
      <c r="DV117">
        <f t="shared" si="67"/>
        <v>0</v>
      </c>
      <c r="DW117">
        <v>52500.5</v>
      </c>
      <c r="DX117">
        <v>3</v>
      </c>
      <c r="DY117">
        <v>0</v>
      </c>
      <c r="DZ117">
        <v>6</v>
      </c>
      <c r="EA117">
        <v>6</v>
      </c>
      <c r="EB117">
        <v>23.599265807611602</v>
      </c>
      <c r="EC117">
        <v>2</v>
      </c>
      <c r="ED117">
        <v>5.7580140000000002</v>
      </c>
      <c r="EE117">
        <v>0.255202777777778</v>
      </c>
      <c r="EF117">
        <v>8.6622500000000002</v>
      </c>
      <c r="EG117">
        <v>22.548980673873299</v>
      </c>
      <c r="EH117">
        <v>3</v>
      </c>
      <c r="EI117">
        <v>0</v>
      </c>
      <c r="EJ117">
        <v>1.50145666666667</v>
      </c>
      <c r="EK117">
        <v>1</v>
      </c>
      <c r="EL117">
        <v>0</v>
      </c>
      <c r="EM117">
        <v>45</v>
      </c>
      <c r="EN117">
        <v>1</v>
      </c>
      <c r="EO117">
        <v>2</v>
      </c>
      <c r="EP117">
        <v>5</v>
      </c>
      <c r="EQ117">
        <v>15</v>
      </c>
      <c r="ER117">
        <v>14.1987814663817</v>
      </c>
      <c r="ES117">
        <v>11.4661470910573</v>
      </c>
      <c r="ET117">
        <v>17.224161091057301</v>
      </c>
      <c r="EU117">
        <v>7.2471369425604699</v>
      </c>
      <c r="EV117">
        <v>8.7485936092271395</v>
      </c>
      <c r="EW117">
        <v>3.1493990666666698</v>
      </c>
      <c r="EX117">
        <v>9.6179390368499202</v>
      </c>
      <c r="EY117">
        <v>12.7673381035166</v>
      </c>
      <c r="EZ117">
        <v>1.50145666666667</v>
      </c>
      <c r="FA117">
        <v>7.2471369425604699</v>
      </c>
      <c r="FB117">
        <v>8.7485936092271395</v>
      </c>
      <c r="FC117">
        <v>1.50145666666667</v>
      </c>
      <c r="FD117">
        <v>7.2471369425604699</v>
      </c>
      <c r="FE117">
        <v>8.7485936092271395</v>
      </c>
      <c r="FF117">
        <v>1.7546654666666699</v>
      </c>
      <c r="FG117">
        <v>7.66481776402986</v>
      </c>
      <c r="FH117">
        <v>9.4194832306965193</v>
      </c>
    </row>
    <row r="118" spans="1:164" x14ac:dyDescent="0.2">
      <c r="A118">
        <v>117</v>
      </c>
      <c r="B118">
        <v>130</v>
      </c>
      <c r="C118">
        <v>196</v>
      </c>
      <c r="D118">
        <v>1</v>
      </c>
      <c r="E118">
        <v>11</v>
      </c>
      <c r="F118" t="s">
        <v>146</v>
      </c>
      <c r="G118" t="s">
        <v>320</v>
      </c>
      <c r="H118">
        <v>3</v>
      </c>
      <c r="I118">
        <v>4</v>
      </c>
      <c r="K118" t="s">
        <v>321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2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3</v>
      </c>
      <c r="AC118">
        <v>0</v>
      </c>
      <c r="AD118">
        <v>2</v>
      </c>
      <c r="AE118">
        <v>8</v>
      </c>
      <c r="AF118">
        <v>4</v>
      </c>
      <c r="AG118">
        <v>5</v>
      </c>
      <c r="AH118">
        <v>8</v>
      </c>
      <c r="AI118">
        <v>0.410919444444444</v>
      </c>
      <c r="AJ118">
        <v>22.958010000000002</v>
      </c>
      <c r="AK118">
        <v>0.38179444444444399</v>
      </c>
      <c r="AL118">
        <v>12.22508</v>
      </c>
      <c r="AM118">
        <v>0.284944444444444</v>
      </c>
      <c r="AN118">
        <v>11.42693</v>
      </c>
      <c r="AO118">
        <v>0.27023333333333299</v>
      </c>
      <c r="AP118">
        <v>9.9661100000000005</v>
      </c>
      <c r="AQ118">
        <v>0.333141666666667</v>
      </c>
      <c r="AR118">
        <v>12.791169999999999</v>
      </c>
      <c r="AS118">
        <v>0.3196</v>
      </c>
      <c r="AT118">
        <v>11.42609</v>
      </c>
      <c r="AU118">
        <v>0.31427500000000003</v>
      </c>
      <c r="AV118">
        <v>13.83249</v>
      </c>
      <c r="AW118">
        <v>0.33584999999999998</v>
      </c>
      <c r="AX118">
        <v>18.20804</v>
      </c>
      <c r="AY118">
        <v>0.34583611111111101</v>
      </c>
      <c r="AZ118">
        <v>19.446770000000001</v>
      </c>
      <c r="BA118">
        <v>0.359188888888889</v>
      </c>
      <c r="BB118">
        <v>20.767479999999999</v>
      </c>
      <c r="BC118">
        <v>0.42001666666666698</v>
      </c>
      <c r="BD118">
        <v>22.092179999999999</v>
      </c>
      <c r="BE118">
        <v>0.43103611111111101</v>
      </c>
      <c r="BF118">
        <v>28.469139999999999</v>
      </c>
      <c r="BG118">
        <v>0.49490833333333301</v>
      </c>
      <c r="BH118">
        <v>31.87199</v>
      </c>
      <c r="BI118">
        <v>0.53873611111111097</v>
      </c>
      <c r="BJ118">
        <v>33.845910000000003</v>
      </c>
      <c r="BK118">
        <v>0.60687500000000005</v>
      </c>
      <c r="BL118">
        <v>40.661549999999998</v>
      </c>
      <c r="BM118">
        <v>0.64838055555555596</v>
      </c>
      <c r="BN118">
        <v>42.654229999999998</v>
      </c>
      <c r="BO118">
        <f t="shared" si="34"/>
        <v>0.27023333333333299</v>
      </c>
      <c r="BP118">
        <v>3</v>
      </c>
      <c r="BQ118">
        <v>9.9661100000000005</v>
      </c>
      <c r="BR118">
        <f t="shared" si="35"/>
        <v>0</v>
      </c>
      <c r="BS118">
        <f t="shared" si="36"/>
        <v>0.27023333333333299</v>
      </c>
      <c r="BT118">
        <f t="shared" si="37"/>
        <v>3</v>
      </c>
      <c r="BU118">
        <f t="shared" si="38"/>
        <v>9.9661100000000005</v>
      </c>
      <c r="BV118">
        <f t="shared" si="39"/>
        <v>0</v>
      </c>
      <c r="BW118">
        <f t="shared" si="40"/>
        <v>0.284944444444444</v>
      </c>
      <c r="BY118">
        <v>11.42693</v>
      </c>
      <c r="BZ118">
        <f t="shared" si="43"/>
        <v>0</v>
      </c>
      <c r="CA118">
        <f t="shared" si="44"/>
        <v>0.27023333333333299</v>
      </c>
      <c r="CB118">
        <f>IF(CA118=BO118,BP118,IF(CA118=BS118,BT118,IF(CA118=BW118,BX118,0)))</f>
        <v>3</v>
      </c>
      <c r="CC118">
        <f>IF(CA118=BO118,BQ118,IF(CA118=BS118,BU118,IF(CA118=BW118,BY118,0)))</f>
        <v>9.9661100000000005</v>
      </c>
      <c r="CD118">
        <f t="shared" si="45"/>
        <v>0</v>
      </c>
      <c r="CE118">
        <f t="shared" si="46"/>
        <v>0.27023333333333299</v>
      </c>
      <c r="CF118">
        <f>IF(CE118=BO118,BP118,IF(CE118=BS118,BT118,IF(CE118=BW118,BX118,IF(CE118=CA118,CB118,0))))</f>
        <v>3</v>
      </c>
      <c r="CG118">
        <f>IF(CE118=BO118,BQ118,IF(CE118=BS118,BU118,IF(CE118=BW118,BY118,IF(CE118=CA118,CC118,0))))</f>
        <v>9.9661100000000005</v>
      </c>
      <c r="CH118">
        <f t="shared" si="47"/>
        <v>0</v>
      </c>
      <c r="CI118">
        <f t="shared" si="48"/>
        <v>0.27023333333333299</v>
      </c>
      <c r="CJ118">
        <f>IF(CI118=BO118,BP118,IF(CI118=BS118,BT118,IF(CI118=BW118,BX118,IF(CI118=CA118,CB118,IF(CI118=CE118,CF118,0)))))</f>
        <v>3</v>
      </c>
      <c r="CK118">
        <f>IF(CI118=BO118,BQ118,IF(CI118=BS118,BU118,IF(CI118=BW118,BY118,IF(CI118=CA118,CC118,IF(CI118=CE118,CG118,0)))))</f>
        <v>9.9661100000000005</v>
      </c>
      <c r="CL118">
        <f t="shared" si="49"/>
        <v>0</v>
      </c>
      <c r="CM118">
        <f t="shared" si="50"/>
        <v>0.27023333333333299</v>
      </c>
      <c r="CN118">
        <f>IF(CM118=BO118,BP118,IF(CM118=BS118,BT118,IF(CM118=BW118,BX118,IF(CM118=CA118,CB118,IF(CM118=CE118,CF118,IF(CM118=CI118,CJ118,0))))))</f>
        <v>3</v>
      </c>
      <c r="CO118">
        <f>IF(CM118=BO118,BQ118,IF(CM118=BS118,BU118,IF(CM118=BW118,BY118,IF(CM118=CA118,CC118,IF(CM118=CE118,CG118,IF(CM118=CI118,CK118,0))))))</f>
        <v>9.9661100000000005</v>
      </c>
      <c r="CP118">
        <f t="shared" si="51"/>
        <v>0</v>
      </c>
      <c r="CQ118">
        <f t="shared" si="52"/>
        <v>0.27023333333333299</v>
      </c>
      <c r="CR118">
        <f>IF(CQ118=BO118,BP118,IF(CQ118=BS118,BT118,IF(CQ118=BW118,BX118,IF(CQ118=CA118,CB118,IF(CQ118=CE118,CF118,IF(CQ118=CI118,CJ118,IF(CQ118=CM118,CN118,0)))))))</f>
        <v>3</v>
      </c>
      <c r="CS118">
        <f>IF(CQ118=BO118,BQ118,IF(CQ118=BS118,BU118,IF(CQ118=BW118,BY118,IF(CQ118=CA118,CC118,IF(CQ118=CE118,CG118,IF(CQ118=CI118,CK118,IF(CQ118=CM118,CO118,0)))))))</f>
        <v>9.9661100000000005</v>
      </c>
      <c r="CT118">
        <f t="shared" si="53"/>
        <v>0</v>
      </c>
      <c r="CU118">
        <f t="shared" si="54"/>
        <v>0.27023333333333299</v>
      </c>
      <c r="CV118">
        <f>IF(CU118=BO118,BP118,IF(CU118=BS118,BT118,IF(CU118=BW118,BX118,IF(CU118=CA118,CB118,IF(CU118=CE118,CF118,IF(CU118=CI118,CJ118,IF(CU118=CM118,CN118,IF(CU118=CQ118,CR118,0))))))))</f>
        <v>3</v>
      </c>
      <c r="CW118">
        <f>IF(CU118=BO118,BQ118,IF(CU118=BS118,BU118,IF(CU118=BW118,BY118,IF(CU118=CA118,CC118,IF(CU118=CE118,CG118,IF(CU118=CI118,CK118,IF(CU118=CM118,CO118,IF(CU118=CQ118,CS118,0))))))))</f>
        <v>9.9661100000000005</v>
      </c>
      <c r="CX118">
        <f t="shared" si="55"/>
        <v>0</v>
      </c>
      <c r="CY118">
        <f t="shared" si="56"/>
        <v>0.27023333333333299</v>
      </c>
      <c r="CZ118">
        <f>IF(CY118=BO118,BP118,IF(CY118=BS118,BT118,IF(CY118=BW118,BX118,IF(CY118=CA118,CB118,IF(CY118=CE118,CF118,IF(CY118=CI118,CJ118,IF(CY118=CM118,CN118,IF(CY118=CQ118,CR118,IF(CY118=CU118,CV118,0)))))))))</f>
        <v>3</v>
      </c>
      <c r="DA118">
        <f>IF(CY118=BO118,BQ118,IF(CY118=BS118,BU118,IF(CY118=BW118,BY118,IF(CY118=CA118,CC118,IF(CY118=CE118,CG118,IF(CY118=CI118,CK118,IF(CY118=CM118,CO118,IF(CY118=CQ118,CS118,IF(CY118=CU118,CW118,0)))))))))</f>
        <v>9.9661100000000005</v>
      </c>
      <c r="DB118">
        <f t="shared" si="57"/>
        <v>0</v>
      </c>
      <c r="DC118">
        <f t="shared" si="58"/>
        <v>0.27023333333333299</v>
      </c>
      <c r="DD118">
        <f>IF(DC118=BO118,BP118,IF(DC118=BS118,BT118,IF(DC118=BW118,BX118,IF(DC118=CA118,CB118,IF(DC118=CE118,CF118,IF(DC118=CI118,CJ118,IF(DC118=CM118,CN118,IF(DC118=CQ118,CR118,IF(DC118=CU118,CV118,IF(DC118=CY118,CZ118,0))))))))))</f>
        <v>3</v>
      </c>
      <c r="DE118">
        <f>IF(DC118=BO118,BQ118,IF(DC118=BS118,BU118,IF(DC118=BW118,BY118,IF(DC118=CA118,CC118,IF(DC118=CE118,CG118,IF(DC118=CI118,CK118,IF(DC118=CM118,CO118,IF(DC118=CQ118,CS118,IF(DC118=CU118,CW118,IF(DC118=CY118,DA118,0))))))))))</f>
        <v>9.9661100000000005</v>
      </c>
      <c r="DF118">
        <f t="shared" si="59"/>
        <v>0</v>
      </c>
      <c r="DG118">
        <f t="shared" si="60"/>
        <v>0.27023333333333299</v>
      </c>
      <c r="DH118">
        <f>IF(DG118=BO118,BP118,IF(DG118=BS118,BT118,IF(DG118=BW118,BX118,IF(DG118=CA118,CB118,IF(DG118=CE118,CF118,IF(DG118=CI118,CJ118,IF(DG118=CM118,CN118,IF(DG118=CQ118,CR118,IF(DG118=CU118,CV118,IF(DG118=CY118,CZ118,IF(DG118=DC118,DD118,0)))))))))))</f>
        <v>3</v>
      </c>
      <c r="DI118">
        <f>IF(DG118=BO118,BQ118,IF(DG118=BS118,BU118,IF(DG118=BW118,BY118,IF(DG118=CA118,CC118,IF(DG118=CE118,CG118,IF(DG118=CI118,CK118,IF(DG118=CM118,CO118,IF(DG118=CQ118,CS118,IF(DG118=CU118,CW118,IF(DG118=CY118,DA118,IF(DG118=DC118,DE118,0)))))))))))</f>
        <v>9.9661100000000005</v>
      </c>
      <c r="DJ118">
        <f t="shared" si="61"/>
        <v>0</v>
      </c>
      <c r="DK118">
        <f t="shared" si="62"/>
        <v>0.27023333333333299</v>
      </c>
      <c r="DL118">
        <f>IF(DK118=BO118,BP118,IF(DK118=BS118,BT118,IF(DK118=BW118,BX118,IF(DK118=CA118,CB118,IF(DK118=CE118,CF118,IF(DK118=CI118,CJ118,IF(DK118=CM118,CN118,IF(DK118=CQ118,CR118,IF(DK118=CU118,CV118,IF(DK118=CY118,CZ118,IF(DK118=DC118,DD118,IF(DK118=DG118,DH118,0))))))))))))</f>
        <v>3</v>
      </c>
      <c r="DM118">
        <f>IF(DK118=BO118,BQ118,IF(DK118=BS118,BU118,IF(DK118=BW118,BY118,IF(DK118=CA118,CC118,IF(DK118=CE118,CG118,IF(DK118=CI118,CK118,IF(DK118=CM118,CO118,IF(DK118=CQ118,CS118,IF(DK118=CU118,CW118,IF(DK118=CY118,DA118,IF(DK118=DC118,DE118,IF(DK118=DG118,DI118,0))))))))))))</f>
        <v>9.9661100000000005</v>
      </c>
      <c r="DN118">
        <f t="shared" si="63"/>
        <v>0</v>
      </c>
      <c r="DO118">
        <f t="shared" si="64"/>
        <v>0.27023333333333299</v>
      </c>
      <c r="DP118">
        <f>IF(DO118=BO118,BP118,IF(DO118=BS118,BT118,IF(DO118=BW118,BX118,IF(DO118=CA118,CB118,IF(DO118=CE118,CF118,IF(DO118=CI118,CJ118,IF(DO118=CM118,CN118,IF(DO118=CQ118,CR118,IF(DO118=CU118,CV118,IF(DO118=CY118,CZ118,IF(DO118=DC118,DD118,IF(DO118=DG118,DH118,IF(DO118=DK118,DL118,0)))))))))))))</f>
        <v>3</v>
      </c>
      <c r="DQ118">
        <f>IF(DO118=BO118,BQ118,IF(DO118=BS118,BU118,IF(DO118=BW118,BY118,IF(DO118=CA118,CC118,IF(DO118=CE118,CG118,IF(DO118=CI118,CK118,IF(DO118=CM118,CO118,IF(DO118=CQ118,CS118,IF(DO118=CU118,CW118,IF(DO118=CY118,DA118,IF(DO118=DC118,DE118,IF(DO118=DG118,DI118,IF(DO118=DK118,DM118,0)))))))))))))</f>
        <v>9.9661100000000005</v>
      </c>
      <c r="DR118">
        <f t="shared" si="65"/>
        <v>0</v>
      </c>
      <c r="DS118">
        <f t="shared" si="66"/>
        <v>0.27023333333333299</v>
      </c>
      <c r="DT118">
        <f>IF(DS118=BO118,BP118,IF(DS118=BS118,BT118,IF(DS118=BW118,BX118,IF(DS118=CA118,CB118,IF(DS118=CE118,CF118,IF(DS118=CI118,CJ118,IF(DS118=CM118,CN118,IF(DS118=CQ118,CR118,IF(DS118=CU118,CV118,IF(DS118=CY118,CZ118,IF(DS118=DC118,DD118,IF(DS118=DG118,DH118,IF(DS118=DK118,DL118,IF(DS118=DO118,DP118,0))))))))))))))</f>
        <v>3</v>
      </c>
      <c r="DU118">
        <f>IF(DS118=BO118,BQ118,IF(DS118=BS118,BU118,IF(DS118=BW118,BY118,IF(DS118=CA118,CC118,IF(DS118=CE118,CG118,IF(DS118=CI118,CK118,IF(DS118=CM118,CO118,IF(DS118=CQ118,CS118,IF(DS118=CU118,CW118,IF(DS118=CY118,DA118,IF(DS118=DC118,DE118,IF(DS118=DG118,DI118,IF(DS118=DK118,DM118,IF(DS118=DO118,DQ118,0))))))))))))))</f>
        <v>9.9661100000000005</v>
      </c>
      <c r="DV118">
        <f t="shared" si="67"/>
        <v>0</v>
      </c>
      <c r="DW118">
        <v>22500.5</v>
      </c>
      <c r="DX118">
        <v>3</v>
      </c>
      <c r="DY118">
        <v>25</v>
      </c>
      <c r="EA118">
        <v>4</v>
      </c>
      <c r="EB118">
        <v>10.114099490560401</v>
      </c>
      <c r="EC118">
        <v>1.3333333333333299</v>
      </c>
      <c r="ED118">
        <v>5.3127217333333299</v>
      </c>
      <c r="EE118">
        <v>0.27023333333333299</v>
      </c>
      <c r="EF118">
        <v>9.9661100000000005</v>
      </c>
      <c r="EG118">
        <v>11.224879967338101</v>
      </c>
      <c r="EH118">
        <v>3</v>
      </c>
      <c r="EI118">
        <v>0</v>
      </c>
      <c r="EJ118">
        <v>1.72745906666667</v>
      </c>
      <c r="EK118">
        <v>1</v>
      </c>
      <c r="EL118">
        <v>0</v>
      </c>
      <c r="EM118">
        <v>30</v>
      </c>
      <c r="EN118">
        <v>0</v>
      </c>
      <c r="EO118">
        <v>2</v>
      </c>
      <c r="EP118">
        <v>8</v>
      </c>
      <c r="EQ118">
        <v>4</v>
      </c>
      <c r="ER118">
        <v>14.1987814663817</v>
      </c>
      <c r="ES118">
        <v>11.6691107839073</v>
      </c>
      <c r="ET118">
        <v>16.981832517240601</v>
      </c>
      <c r="EU118">
        <v>7.6739680898637399</v>
      </c>
      <c r="EV118">
        <v>9.4014271565304099</v>
      </c>
      <c r="EW118">
        <v>3.37077346666667</v>
      </c>
      <c r="EX118">
        <v>9.8209027296999096</v>
      </c>
      <c r="EY118">
        <v>13.1916761963666</v>
      </c>
      <c r="EZ118">
        <v>1.72745906666667</v>
      </c>
      <c r="FA118">
        <v>7.6739680898637399</v>
      </c>
      <c r="FB118">
        <v>9.4014271565304099</v>
      </c>
      <c r="FC118">
        <v>1.72745906666667</v>
      </c>
      <c r="FD118">
        <v>7.6739680898637399</v>
      </c>
      <c r="FE118">
        <v>9.4014271565304099</v>
      </c>
      <c r="FF118">
        <v>1.9806678666666699</v>
      </c>
      <c r="FG118">
        <v>8.0917277934523906</v>
      </c>
      <c r="FH118">
        <v>10.072395660119099</v>
      </c>
    </row>
    <row r="119" spans="1:164" x14ac:dyDescent="0.2">
      <c r="A119">
        <v>118</v>
      </c>
      <c r="B119">
        <v>131</v>
      </c>
      <c r="C119">
        <v>197</v>
      </c>
      <c r="D119">
        <v>3</v>
      </c>
      <c r="E119">
        <v>12</v>
      </c>
      <c r="F119" t="s">
        <v>187</v>
      </c>
      <c r="G119" t="s">
        <v>322</v>
      </c>
      <c r="H119">
        <v>3</v>
      </c>
      <c r="I119">
        <v>4</v>
      </c>
      <c r="K119" t="s">
        <v>323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3</v>
      </c>
      <c r="AC119">
        <v>3</v>
      </c>
      <c r="AD119">
        <v>15</v>
      </c>
      <c r="AE119">
        <v>22</v>
      </c>
      <c r="AF119">
        <v>11</v>
      </c>
      <c r="AG119">
        <v>15</v>
      </c>
      <c r="AH119">
        <v>5</v>
      </c>
      <c r="AI119">
        <v>1.45715833333333</v>
      </c>
      <c r="AJ119">
        <v>105.72369999999999</v>
      </c>
      <c r="AK119">
        <v>1.7344972222222199</v>
      </c>
      <c r="AL119">
        <v>126.37085999999999</v>
      </c>
      <c r="AM119">
        <v>1.6286083333333301</v>
      </c>
      <c r="AN119">
        <v>123.90071</v>
      </c>
      <c r="AO119">
        <v>1.6247499999999999</v>
      </c>
      <c r="AP119">
        <v>121.52722</v>
      </c>
      <c r="AQ119">
        <v>1.64805</v>
      </c>
      <c r="AR119">
        <v>121.85512</v>
      </c>
      <c r="AS119">
        <v>1.61323611111111</v>
      </c>
      <c r="AT119">
        <v>118.35525</v>
      </c>
      <c r="AU119">
        <v>1.51258055555556</v>
      </c>
      <c r="AV119">
        <v>112.81971</v>
      </c>
      <c r="AW119">
        <v>1.4878555555555599</v>
      </c>
      <c r="AX119">
        <v>110.79353999999999</v>
      </c>
      <c r="AY119">
        <v>1.4773444444444399</v>
      </c>
      <c r="AZ119">
        <v>109.23712</v>
      </c>
      <c r="BA119">
        <v>1.4623361111111099</v>
      </c>
      <c r="BB119">
        <v>108.65415</v>
      </c>
      <c r="BC119">
        <v>1.46879166666667</v>
      </c>
      <c r="BD119">
        <v>106.19941</v>
      </c>
      <c r="BE119">
        <v>1.3664333333333301</v>
      </c>
      <c r="BF119">
        <v>99.713949999999997</v>
      </c>
      <c r="BG119">
        <v>1.38608611111111</v>
      </c>
      <c r="BH119">
        <v>99.349440000000001</v>
      </c>
      <c r="BI119">
        <v>1.3917527777777801</v>
      </c>
      <c r="BJ119">
        <v>96.52619</v>
      </c>
      <c r="BK119">
        <v>1.3748111111111101</v>
      </c>
      <c r="BL119">
        <v>95.728930000000005</v>
      </c>
      <c r="BM119">
        <v>1.3973833333333301</v>
      </c>
      <c r="BN119">
        <v>95.316159999999996</v>
      </c>
      <c r="BO119">
        <f t="shared" si="34"/>
        <v>1.3664333333333301</v>
      </c>
      <c r="BP119">
        <v>14</v>
      </c>
      <c r="BQ119">
        <v>99.713949999999997</v>
      </c>
      <c r="BR119">
        <f t="shared" si="35"/>
        <v>0</v>
      </c>
      <c r="BS119">
        <f t="shared" si="36"/>
        <v>1.3664333333333301</v>
      </c>
      <c r="BT119">
        <f t="shared" si="37"/>
        <v>14</v>
      </c>
      <c r="BU119">
        <f t="shared" si="38"/>
        <v>99.713949999999997</v>
      </c>
      <c r="BV119">
        <f t="shared" si="39"/>
        <v>0</v>
      </c>
      <c r="BW119">
        <f t="shared" si="40"/>
        <v>1.3664333333333301</v>
      </c>
      <c r="BX119">
        <f t="shared" si="41"/>
        <v>14</v>
      </c>
      <c r="BY119">
        <f t="shared" si="42"/>
        <v>99.713949999999997</v>
      </c>
      <c r="BZ119">
        <f t="shared" si="43"/>
        <v>0</v>
      </c>
      <c r="CA119">
        <f t="shared" si="44"/>
        <v>1.3664333333333301</v>
      </c>
      <c r="CB119">
        <f>IF(CA119=BO119,BP119,IF(CA119=BS119,BT119,IF(CA119=BW119,BX119,0)))</f>
        <v>14</v>
      </c>
      <c r="CC119">
        <f>IF(CA119=BO119,BQ119,IF(CA119=BS119,BU119,IF(CA119=BW119,BY119,0)))</f>
        <v>99.713949999999997</v>
      </c>
      <c r="CD119">
        <f t="shared" si="45"/>
        <v>0</v>
      </c>
      <c r="CE119">
        <f t="shared" si="46"/>
        <v>1.3664333333333301</v>
      </c>
      <c r="CF119">
        <f>IF(CE119=BO119,BP119,IF(CE119=BS119,BT119,IF(CE119=BW119,BX119,IF(CE119=CA119,CB119,0))))</f>
        <v>14</v>
      </c>
      <c r="CG119">
        <f>IF(CE119=BO119,BQ119,IF(CE119=BS119,BU119,IF(CE119=BW119,BY119,IF(CE119=CA119,CC119,0))))</f>
        <v>99.713949999999997</v>
      </c>
      <c r="CH119">
        <f t="shared" si="47"/>
        <v>0</v>
      </c>
      <c r="CI119">
        <f t="shared" si="48"/>
        <v>1.3664333333333301</v>
      </c>
      <c r="CJ119">
        <f>IF(CI119=BO119,BP119,IF(CI119=BS119,BT119,IF(CI119=BW119,BX119,IF(CI119=CA119,CB119,IF(CI119=CE119,CF119,0)))))</f>
        <v>14</v>
      </c>
      <c r="CK119">
        <f>IF(CI119=BO119,BQ119,IF(CI119=BS119,BU119,IF(CI119=BW119,BY119,IF(CI119=CA119,CC119,IF(CI119=CE119,CG119,0)))))</f>
        <v>99.713949999999997</v>
      </c>
      <c r="CL119">
        <f t="shared" si="49"/>
        <v>0</v>
      </c>
      <c r="CM119">
        <f t="shared" si="50"/>
        <v>1.3664333333333301</v>
      </c>
      <c r="CN119">
        <f>IF(CM119=BO119,BP119,IF(CM119=BS119,BT119,IF(CM119=BW119,BX119,IF(CM119=CA119,CB119,IF(CM119=CE119,CF119,IF(CM119=CI119,CJ119,0))))))</f>
        <v>14</v>
      </c>
      <c r="CO119">
        <f>IF(CM119=BO119,BQ119,IF(CM119=BS119,BU119,IF(CM119=BW119,BY119,IF(CM119=CA119,CC119,IF(CM119=CE119,CG119,IF(CM119=CI119,CK119,0))))))</f>
        <v>99.713949999999997</v>
      </c>
      <c r="CP119">
        <f t="shared" si="51"/>
        <v>0</v>
      </c>
      <c r="CQ119">
        <f t="shared" si="52"/>
        <v>1.3664333333333301</v>
      </c>
      <c r="CR119">
        <f>IF(CQ119=BO119,BP119,IF(CQ119=BS119,BT119,IF(CQ119=BW119,BX119,IF(CQ119=CA119,CB119,IF(CQ119=CE119,CF119,IF(CQ119=CI119,CJ119,IF(CQ119=CM119,CN119,0)))))))</f>
        <v>14</v>
      </c>
      <c r="CS119">
        <f>IF(CQ119=BO119,BQ119,IF(CQ119=BS119,BU119,IF(CQ119=BW119,BY119,IF(CQ119=CA119,CC119,IF(CQ119=CE119,CG119,IF(CQ119=CI119,CK119,IF(CQ119=CM119,CO119,0)))))))</f>
        <v>99.713949999999997</v>
      </c>
      <c r="CT119">
        <f t="shared" si="53"/>
        <v>0</v>
      </c>
      <c r="CU119">
        <f t="shared" si="54"/>
        <v>1.3664333333333301</v>
      </c>
      <c r="CV119">
        <f>IF(CU119=BO119,BP119,IF(CU119=BS119,BT119,IF(CU119=BW119,BX119,IF(CU119=CA119,CB119,IF(CU119=CE119,CF119,IF(CU119=CI119,CJ119,IF(CU119=CM119,CN119,IF(CU119=CQ119,CR119,0))))))))</f>
        <v>14</v>
      </c>
      <c r="CW119">
        <f>IF(CU119=BO119,BQ119,IF(CU119=BS119,BU119,IF(CU119=BW119,BY119,IF(CU119=CA119,CC119,IF(CU119=CE119,CG119,IF(CU119=CI119,CK119,IF(CU119=CM119,CO119,IF(CU119=CQ119,CS119,0))))))))</f>
        <v>99.713949999999997</v>
      </c>
      <c r="CX119">
        <f t="shared" si="55"/>
        <v>0</v>
      </c>
      <c r="CY119">
        <f t="shared" si="56"/>
        <v>1.3664333333333301</v>
      </c>
      <c r="CZ119">
        <f>IF(CY119=BO119,BP119,IF(CY119=BS119,BT119,IF(CY119=BW119,BX119,IF(CY119=CA119,CB119,IF(CY119=CE119,CF119,IF(CY119=CI119,CJ119,IF(CY119=CM119,CN119,IF(CY119=CQ119,CR119,IF(CY119=CU119,CV119,0)))))))))</f>
        <v>14</v>
      </c>
      <c r="DA119">
        <f>IF(CY119=BO119,BQ119,IF(CY119=BS119,BU119,IF(CY119=BW119,BY119,IF(CY119=CA119,CC119,IF(CY119=CE119,CG119,IF(CY119=CI119,CK119,IF(CY119=CM119,CO119,IF(CY119=CQ119,CS119,IF(CY119=CU119,CW119,0)))))))))</f>
        <v>99.713949999999997</v>
      </c>
      <c r="DB119">
        <f t="shared" si="57"/>
        <v>0</v>
      </c>
      <c r="DC119">
        <f t="shared" si="58"/>
        <v>1.3748111111111101</v>
      </c>
      <c r="DD119">
        <v>17</v>
      </c>
      <c r="DE119">
        <v>95.728930000000005</v>
      </c>
      <c r="DF119">
        <f t="shared" si="59"/>
        <v>0</v>
      </c>
      <c r="DG119">
        <f t="shared" si="60"/>
        <v>1.3664333333333301</v>
      </c>
      <c r="DH119">
        <f>IF(DG119=BO119,BP119,IF(DG119=BS119,BT119,IF(DG119=BW119,BX119,IF(DG119=CA119,CB119,IF(DG119=CE119,CF119,IF(DG119=CI119,CJ119,IF(DG119=CM119,CN119,IF(DG119=CQ119,CR119,IF(DG119=CU119,CV119,IF(DG119=CY119,CZ119,IF(DG119=DC119,DD119,0)))))))))))</f>
        <v>14</v>
      </c>
      <c r="DI119">
        <f>IF(DG119=BO119,BQ119,IF(DG119=BS119,BU119,IF(DG119=BW119,BY119,IF(DG119=CA119,CC119,IF(DG119=CE119,CG119,IF(DG119=CI119,CK119,IF(DG119=CM119,CO119,IF(DG119=CQ119,CS119,IF(DG119=CU119,CW119,IF(DG119=CY119,DA119,IF(DG119=DC119,DE119,0)))))))))))</f>
        <v>99.713949999999997</v>
      </c>
      <c r="DJ119">
        <f t="shared" si="61"/>
        <v>0</v>
      </c>
      <c r="DK119">
        <f t="shared" si="62"/>
        <v>1.3664333333333301</v>
      </c>
      <c r="DL119">
        <f>IF(DK119=BO119,BP119,IF(DK119=BS119,BT119,IF(DK119=BW119,BX119,IF(DK119=CA119,CB119,IF(DK119=CE119,CF119,IF(DK119=CI119,CJ119,IF(DK119=CM119,CN119,IF(DK119=CQ119,CR119,IF(DK119=CU119,CV119,IF(DK119=CY119,CZ119,IF(DK119=DC119,DD119,IF(DK119=DG119,DH119,0))))))))))))</f>
        <v>14</v>
      </c>
      <c r="DM119">
        <f>IF(DK119=BO119,BQ119,IF(DK119=BS119,BU119,IF(DK119=BW119,BY119,IF(DK119=CA119,CC119,IF(DK119=CE119,CG119,IF(DK119=CI119,CK119,IF(DK119=CM119,CO119,IF(DK119=CQ119,CS119,IF(DK119=CU119,CW119,IF(DK119=CY119,DA119,IF(DK119=DC119,DE119,IF(DK119=DG119,DI119,0))))))))))))</f>
        <v>99.713949999999997</v>
      </c>
      <c r="DN119">
        <f t="shared" si="63"/>
        <v>0</v>
      </c>
      <c r="DO119">
        <f t="shared" si="64"/>
        <v>1.3664333333333301</v>
      </c>
      <c r="DP119">
        <f>IF(DO119=BO119,BP119,IF(DO119=BS119,BT119,IF(DO119=BW119,BX119,IF(DO119=CA119,CB119,IF(DO119=CE119,CF119,IF(DO119=CI119,CJ119,IF(DO119=CM119,CN119,IF(DO119=CQ119,CR119,IF(DO119=CU119,CV119,IF(DO119=CY119,CZ119,IF(DO119=DC119,DD119,IF(DO119=DG119,DH119,IF(DO119=DK119,DL119,0)))))))))))))</f>
        <v>14</v>
      </c>
      <c r="DQ119">
        <f>IF(DO119=BO119,BQ119,IF(DO119=BS119,BU119,IF(DO119=BW119,BY119,IF(DO119=CA119,CC119,IF(DO119=CE119,CG119,IF(DO119=CI119,CK119,IF(DO119=CM119,CO119,IF(DO119=CQ119,CS119,IF(DO119=CU119,CW119,IF(DO119=CY119,DA119,IF(DO119=DC119,DE119,IF(DO119=DG119,DI119,IF(DO119=DK119,DM119,0)))))))))))))</f>
        <v>99.713949999999997</v>
      </c>
      <c r="DR119">
        <f t="shared" si="65"/>
        <v>0</v>
      </c>
      <c r="DS119">
        <f t="shared" si="66"/>
        <v>1.3664333333333301</v>
      </c>
      <c r="DT119">
        <f>IF(DS119=BO119,BP119,IF(DS119=BS119,BT119,IF(DS119=BW119,BX119,IF(DS119=CA119,CB119,IF(DS119=CE119,CF119,IF(DS119=CI119,CJ119,IF(DS119=CM119,CN119,IF(DS119=CQ119,CR119,IF(DS119=CU119,CV119,IF(DS119=CY119,CZ119,IF(DS119=DC119,DD119,IF(DS119=DG119,DH119,IF(DS119=DK119,DL119,IF(DS119=DO119,DP119,0))))))))))))))</f>
        <v>14</v>
      </c>
      <c r="DU119">
        <f>IF(DS119=BO119,BQ119,IF(DS119=BS119,BU119,IF(DS119=BW119,BY119,IF(DS119=CA119,CC119,IF(DS119=CE119,CG119,IF(DS119=CI119,CK119,IF(DS119=CM119,CO119,IF(DS119=CQ119,CS119,IF(DS119=CU119,CW119,IF(DS119=CY119,DA119,IF(DS119=DC119,DE119,IF(DS119=DG119,DI119,IF(DS119=DK119,DM119,IF(DS119=DO119,DQ119,0))))))))))))))</f>
        <v>99.713949999999997</v>
      </c>
      <c r="DV119">
        <f t="shared" si="67"/>
        <v>0</v>
      </c>
      <c r="DW119">
        <v>31226.480769230799</v>
      </c>
      <c r="DX119">
        <v>3</v>
      </c>
      <c r="DY119">
        <v>0</v>
      </c>
      <c r="DZ119">
        <v>6</v>
      </c>
      <c r="EA119">
        <v>6</v>
      </c>
      <c r="EB119">
        <v>14.0364762223093</v>
      </c>
      <c r="EC119">
        <v>2</v>
      </c>
      <c r="ED119">
        <v>20.325441333333298</v>
      </c>
      <c r="EE119">
        <v>1.3664333333333301</v>
      </c>
      <c r="EF119">
        <v>99.713949999999997</v>
      </c>
      <c r="EG119">
        <v>50.179952710451303</v>
      </c>
      <c r="EH119">
        <v>14</v>
      </c>
      <c r="EI119">
        <v>0</v>
      </c>
      <c r="EJ119">
        <v>17.283751333333299</v>
      </c>
      <c r="EK119">
        <v>1</v>
      </c>
      <c r="EL119">
        <v>0</v>
      </c>
      <c r="EM119">
        <v>45</v>
      </c>
      <c r="EN119">
        <v>0</v>
      </c>
      <c r="EO119">
        <v>4</v>
      </c>
      <c r="EP119">
        <v>5</v>
      </c>
      <c r="EQ119">
        <v>11</v>
      </c>
      <c r="ER119">
        <v>14.1987814663817</v>
      </c>
      <c r="ES119">
        <v>41.3797454738338</v>
      </c>
      <c r="ET119">
        <v>61.705186807167102</v>
      </c>
      <c r="EU119">
        <v>38.8033765767589</v>
      </c>
      <c r="EV119">
        <v>56.0871279100922</v>
      </c>
      <c r="EW119">
        <v>18.934434133333301</v>
      </c>
      <c r="EX119">
        <v>41.952981834479303</v>
      </c>
      <c r="EY119">
        <v>60.887415967812601</v>
      </c>
      <c r="EZ119">
        <v>17.283751333333299</v>
      </c>
      <c r="FA119">
        <v>38.8033765767589</v>
      </c>
      <c r="FB119">
        <v>56.0871279100922</v>
      </c>
      <c r="FC119">
        <v>21.064718133333301</v>
      </c>
      <c r="FD119">
        <v>46.138940375007301</v>
      </c>
      <c r="FE119">
        <v>67.203658508340595</v>
      </c>
      <c r="FF119">
        <v>17.283751333333299</v>
      </c>
      <c r="FG119">
        <v>38.8033765767589</v>
      </c>
      <c r="FH119">
        <v>56.0871279100922</v>
      </c>
    </row>
    <row r="120" spans="1:164" x14ac:dyDescent="0.2">
      <c r="A120">
        <v>119</v>
      </c>
      <c r="B120">
        <v>132</v>
      </c>
      <c r="C120">
        <v>202</v>
      </c>
      <c r="D120">
        <v>2</v>
      </c>
      <c r="E120">
        <v>13</v>
      </c>
      <c r="F120" t="s">
        <v>324</v>
      </c>
      <c r="G120" t="s">
        <v>325</v>
      </c>
      <c r="H120">
        <v>3</v>
      </c>
      <c r="I120">
        <v>4</v>
      </c>
      <c r="K120" t="s">
        <v>326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3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3</v>
      </c>
      <c r="AE120">
        <v>8</v>
      </c>
      <c r="AF120">
        <v>4</v>
      </c>
      <c r="AG120">
        <v>7</v>
      </c>
      <c r="AH120">
        <v>6</v>
      </c>
      <c r="AI120">
        <v>0.37236666666666701</v>
      </c>
      <c r="AJ120">
        <v>21.1557</v>
      </c>
      <c r="AK120">
        <v>0.64970555555555598</v>
      </c>
      <c r="AL120">
        <v>41.802860000000003</v>
      </c>
      <c r="AM120">
        <v>0.54381666666666695</v>
      </c>
      <c r="AN120">
        <v>39.332709999999999</v>
      </c>
      <c r="AO120">
        <v>0.53995833333333298</v>
      </c>
      <c r="AP120">
        <v>36.959220000000002</v>
      </c>
      <c r="AQ120">
        <v>0.56325833333333297</v>
      </c>
      <c r="AR120">
        <v>37.287109999999998</v>
      </c>
      <c r="AS120">
        <v>0.52844444444444405</v>
      </c>
      <c r="AT120">
        <v>33.78725</v>
      </c>
      <c r="AU120">
        <v>0.427788888888889</v>
      </c>
      <c r="AV120">
        <v>28.251709999999999</v>
      </c>
      <c r="AW120">
        <v>0.403063888888889</v>
      </c>
      <c r="AX120">
        <v>26.225539999999999</v>
      </c>
      <c r="AY120">
        <v>0.39255277777777797</v>
      </c>
      <c r="AZ120">
        <v>24.669119999999999</v>
      </c>
      <c r="BA120">
        <v>0.37754444444444402</v>
      </c>
      <c r="BB120">
        <v>24.08614</v>
      </c>
      <c r="BC120">
        <v>0.38400000000000001</v>
      </c>
      <c r="BD120">
        <v>21.631409999999999</v>
      </c>
      <c r="BE120">
        <v>0.28164166666666701</v>
      </c>
      <c r="BF120">
        <v>15.14594</v>
      </c>
      <c r="BG120">
        <v>0.30129444444444398</v>
      </c>
      <c r="BH120">
        <v>14.78144</v>
      </c>
      <c r="BI120">
        <v>0.30696111111111102</v>
      </c>
      <c r="BJ120">
        <v>11.95819</v>
      </c>
      <c r="BK120">
        <v>0.290019444444444</v>
      </c>
      <c r="BL120">
        <v>11.16093</v>
      </c>
      <c r="BM120">
        <v>0.30583611111111098</v>
      </c>
      <c r="BN120">
        <v>9.8147300000000008</v>
      </c>
      <c r="BO120">
        <f t="shared" si="34"/>
        <v>0.28164166666666701</v>
      </c>
      <c r="BP120">
        <v>14</v>
      </c>
      <c r="BQ120">
        <v>15.14594</v>
      </c>
      <c r="BR120">
        <f t="shared" si="35"/>
        <v>0</v>
      </c>
      <c r="BS120">
        <f t="shared" si="36"/>
        <v>0.28164166666666701</v>
      </c>
      <c r="BT120">
        <f t="shared" si="37"/>
        <v>14</v>
      </c>
      <c r="BU120">
        <f t="shared" si="38"/>
        <v>15.14594</v>
      </c>
      <c r="BV120">
        <f t="shared" si="39"/>
        <v>0</v>
      </c>
      <c r="BW120">
        <f t="shared" si="40"/>
        <v>0.28164166666666701</v>
      </c>
      <c r="BX120">
        <f t="shared" si="41"/>
        <v>14</v>
      </c>
      <c r="BY120">
        <f t="shared" si="42"/>
        <v>15.14594</v>
      </c>
      <c r="BZ120">
        <f t="shared" si="43"/>
        <v>0</v>
      </c>
      <c r="CA120">
        <f t="shared" si="44"/>
        <v>0.28164166666666701</v>
      </c>
      <c r="CB120">
        <f>IF(CA120=BO120,BP120,IF(CA120=BS120,BT120,IF(CA120=BW120,BX120,0)))</f>
        <v>14</v>
      </c>
      <c r="CC120">
        <f>IF(CA120=BO120,BQ120,IF(CA120=BS120,BU120,IF(CA120=BW120,BY120,0)))</f>
        <v>15.14594</v>
      </c>
      <c r="CD120">
        <f t="shared" si="45"/>
        <v>0</v>
      </c>
      <c r="CE120">
        <f t="shared" si="46"/>
        <v>0.28164166666666701</v>
      </c>
      <c r="CF120">
        <f>IF(CE120=BO120,BP120,IF(CE120=BS120,BT120,IF(CE120=BW120,BX120,IF(CE120=CA120,CB120,0))))</f>
        <v>14</v>
      </c>
      <c r="CG120">
        <f>IF(CE120=BO120,BQ120,IF(CE120=BS120,BU120,IF(CE120=BW120,BY120,IF(CE120=CA120,CC120,0))))</f>
        <v>15.14594</v>
      </c>
      <c r="CH120">
        <f t="shared" si="47"/>
        <v>0</v>
      </c>
      <c r="CI120">
        <f t="shared" si="48"/>
        <v>0.28164166666666701</v>
      </c>
      <c r="CJ120">
        <f>IF(CI120=BO120,BP120,IF(CI120=BS120,BT120,IF(CI120=BW120,BX120,IF(CI120=CA120,CB120,IF(CI120=CE120,CF120,0)))))</f>
        <v>14</v>
      </c>
      <c r="CK120">
        <f>IF(CI120=BO120,BQ120,IF(CI120=BS120,BU120,IF(CI120=BW120,BY120,IF(CI120=CA120,CC120,IF(CI120=CE120,CG120,0)))))</f>
        <v>15.14594</v>
      </c>
      <c r="CL120">
        <f t="shared" si="49"/>
        <v>0</v>
      </c>
      <c r="CM120">
        <f t="shared" si="50"/>
        <v>0.28164166666666701</v>
      </c>
      <c r="CN120">
        <f>IF(CM120=BO120,BP120,IF(CM120=BS120,BT120,IF(CM120=BW120,BX120,IF(CM120=CA120,CB120,IF(CM120=CE120,CF120,IF(CM120=CI120,CJ120,0))))))</f>
        <v>14</v>
      </c>
      <c r="CO120">
        <f>IF(CM120=BO120,BQ120,IF(CM120=BS120,BU120,IF(CM120=BW120,BY120,IF(CM120=CA120,CC120,IF(CM120=CE120,CG120,IF(CM120=CI120,CK120,0))))))</f>
        <v>15.14594</v>
      </c>
      <c r="CP120">
        <f t="shared" si="51"/>
        <v>0</v>
      </c>
      <c r="CQ120">
        <f t="shared" si="52"/>
        <v>0.28164166666666701</v>
      </c>
      <c r="CR120">
        <f>IF(CQ120=BO120,BP120,IF(CQ120=BS120,BT120,IF(CQ120=BW120,BX120,IF(CQ120=CA120,CB120,IF(CQ120=CE120,CF120,IF(CQ120=CI120,CJ120,IF(CQ120=CM120,CN120,0)))))))</f>
        <v>14</v>
      </c>
      <c r="CS120">
        <f>IF(CQ120=BO120,BQ120,IF(CQ120=BS120,BU120,IF(CQ120=BW120,BY120,IF(CQ120=CA120,CC120,IF(CQ120=CE120,CG120,IF(CQ120=CI120,CK120,IF(CQ120=CM120,CO120,0)))))))</f>
        <v>15.14594</v>
      </c>
      <c r="CT120">
        <f t="shared" si="53"/>
        <v>0</v>
      </c>
      <c r="CU120">
        <f t="shared" si="54"/>
        <v>0.28164166666666701</v>
      </c>
      <c r="CV120">
        <f>IF(CU120=BO120,BP120,IF(CU120=BS120,BT120,IF(CU120=BW120,BX120,IF(CU120=CA120,CB120,IF(CU120=CE120,CF120,IF(CU120=CI120,CJ120,IF(CU120=CM120,CN120,IF(CU120=CQ120,CR120,0))))))))</f>
        <v>14</v>
      </c>
      <c r="CW120">
        <f>IF(CU120=BO120,BQ120,IF(CU120=BS120,BU120,IF(CU120=BW120,BY120,IF(CU120=CA120,CC120,IF(CU120=CE120,CG120,IF(CU120=CI120,CK120,IF(CU120=CM120,CO120,IF(CU120=CQ120,CS120,0))))))))</f>
        <v>15.14594</v>
      </c>
      <c r="CX120">
        <f t="shared" si="55"/>
        <v>0</v>
      </c>
      <c r="CY120">
        <f t="shared" si="56"/>
        <v>0.28164166666666701</v>
      </c>
      <c r="CZ120">
        <f>IF(CY120=BO120,BP120,IF(CY120=BS120,BT120,IF(CY120=BW120,BX120,IF(CY120=CA120,CB120,IF(CY120=CE120,CF120,IF(CY120=CI120,CJ120,IF(CY120=CM120,CN120,IF(CY120=CQ120,CR120,IF(CY120=CU120,CV120,0)))))))))</f>
        <v>14</v>
      </c>
      <c r="DA120">
        <f>IF(CY120=BO120,BQ120,IF(CY120=BS120,BU120,IF(CY120=BW120,BY120,IF(CY120=CA120,CC120,IF(CY120=CE120,CG120,IF(CY120=CI120,CK120,IF(CY120=CM120,CO120,IF(CY120=CQ120,CS120,IF(CY120=CU120,CW120,0)))))))))</f>
        <v>15.14594</v>
      </c>
      <c r="DB120">
        <f t="shared" si="57"/>
        <v>0</v>
      </c>
      <c r="DC120">
        <f t="shared" si="58"/>
        <v>0.290019444444444</v>
      </c>
      <c r="DD120">
        <v>17</v>
      </c>
      <c r="DE120">
        <v>11.16093</v>
      </c>
      <c r="DF120">
        <f t="shared" si="59"/>
        <v>0</v>
      </c>
      <c r="DG120">
        <f t="shared" si="60"/>
        <v>0.28164166666666701</v>
      </c>
      <c r="DH120">
        <f>IF(DG120=BO120,BP120,IF(DG120=BS120,BT120,IF(DG120=BW120,BX120,IF(DG120=CA120,CB120,IF(DG120=CE120,CF120,IF(DG120=CI120,CJ120,IF(DG120=CM120,CN120,IF(DG120=CQ120,CR120,IF(DG120=CU120,CV120,IF(DG120=CY120,CZ120,IF(DG120=DC120,DD120,0)))))))))))</f>
        <v>14</v>
      </c>
      <c r="DI120">
        <f>IF(DG120=BO120,BQ120,IF(DG120=BS120,BU120,IF(DG120=BW120,BY120,IF(DG120=CA120,CC120,IF(DG120=CE120,CG120,IF(DG120=CI120,CK120,IF(DG120=CM120,CO120,IF(DG120=CQ120,CS120,IF(DG120=CU120,CW120,IF(DG120=CY120,DA120,IF(DG120=DC120,DE120,0)))))))))))</f>
        <v>15.14594</v>
      </c>
      <c r="DJ120">
        <f t="shared" si="61"/>
        <v>0</v>
      </c>
      <c r="DK120">
        <f t="shared" si="62"/>
        <v>0.28164166666666701</v>
      </c>
      <c r="DL120">
        <f>IF(DK120=BO120,BP120,IF(DK120=BS120,BT120,IF(DK120=BW120,BX120,IF(DK120=CA120,CB120,IF(DK120=CE120,CF120,IF(DK120=CI120,CJ120,IF(DK120=CM120,CN120,IF(DK120=CQ120,CR120,IF(DK120=CU120,CV120,IF(DK120=CY120,CZ120,IF(DK120=DC120,DD120,IF(DK120=DG120,DH120,0))))))))))))</f>
        <v>14</v>
      </c>
      <c r="DM120">
        <f>IF(DK120=BO120,BQ120,IF(DK120=BS120,BU120,IF(DK120=BW120,BY120,IF(DK120=CA120,CC120,IF(DK120=CE120,CG120,IF(DK120=CI120,CK120,IF(DK120=CM120,CO120,IF(DK120=CQ120,CS120,IF(DK120=CU120,CW120,IF(DK120=CY120,DA120,IF(DK120=DC120,DE120,IF(DK120=DG120,DI120,0))))))))))))</f>
        <v>15.14594</v>
      </c>
      <c r="DN120">
        <f t="shared" si="63"/>
        <v>0</v>
      </c>
      <c r="DO120">
        <f t="shared" si="64"/>
        <v>0.28164166666666701</v>
      </c>
      <c r="DP120">
        <f>IF(DO120=BO120,BP120,IF(DO120=BS120,BT120,IF(DO120=BW120,BX120,IF(DO120=CA120,CB120,IF(DO120=CE120,CF120,IF(DO120=CI120,CJ120,IF(DO120=CM120,CN120,IF(DO120=CQ120,CR120,IF(DO120=CU120,CV120,IF(DO120=CY120,CZ120,IF(DO120=DC120,DD120,IF(DO120=DG120,DH120,IF(DO120=DK120,DL120,0)))))))))))))</f>
        <v>14</v>
      </c>
      <c r="DQ120">
        <f>IF(DO120=BO120,BQ120,IF(DO120=BS120,BU120,IF(DO120=BW120,BY120,IF(DO120=CA120,CC120,IF(DO120=CE120,CG120,IF(DO120=CI120,CK120,IF(DO120=CM120,CO120,IF(DO120=CQ120,CS120,IF(DO120=CU120,CW120,IF(DO120=CY120,DA120,IF(DO120=DC120,DE120,IF(DO120=DG120,DI120,IF(DO120=DK120,DM120,0)))))))))))))</f>
        <v>15.14594</v>
      </c>
      <c r="DR120">
        <f t="shared" si="65"/>
        <v>0</v>
      </c>
      <c r="DS120">
        <f t="shared" si="66"/>
        <v>0.28164166666666701</v>
      </c>
      <c r="DT120">
        <f>IF(DS120=BO120,BP120,IF(DS120=BS120,BT120,IF(DS120=BW120,BX120,IF(DS120=CA120,CB120,IF(DS120=CE120,CF120,IF(DS120=CI120,CJ120,IF(DS120=CM120,CN120,IF(DS120=CQ120,CR120,IF(DS120=CU120,CV120,IF(DS120=CY120,CZ120,IF(DS120=DC120,DD120,IF(DS120=DG120,DH120,IF(DS120=DK120,DL120,IF(DS120=DO120,DP120,0))))))))))))))</f>
        <v>14</v>
      </c>
      <c r="DU120">
        <f>IF(DS120=BO120,BQ120,IF(DS120=BS120,BU120,IF(DS120=BW120,BY120,IF(DS120=CA120,CC120,IF(DS120=CE120,CG120,IF(DS120=CI120,CK120,IF(DS120=CM120,CO120,IF(DS120=CQ120,CS120,IF(DS120=CU120,CW120,IF(DS120=CY120,DA120,IF(DS120=DC120,DE120,IF(DS120=DG120,DI120,IF(DS120=DK120,DM120,IF(DS120=DO120,DQ120,0))))))))))))))</f>
        <v>15.14594</v>
      </c>
      <c r="DV120">
        <f t="shared" si="67"/>
        <v>0</v>
      </c>
      <c r="DW120">
        <v>22500.5</v>
      </c>
      <c r="DX120">
        <v>3</v>
      </c>
      <c r="DY120">
        <v>35</v>
      </c>
      <c r="DZ120">
        <v>3</v>
      </c>
      <c r="EA120">
        <v>3</v>
      </c>
      <c r="EB120">
        <v>10.114099490560401</v>
      </c>
      <c r="EC120">
        <v>1</v>
      </c>
      <c r="ED120">
        <v>4.6669879999999999</v>
      </c>
      <c r="EE120">
        <v>0.28164166666666701</v>
      </c>
      <c r="EF120">
        <v>15.14594</v>
      </c>
      <c r="EG120">
        <v>9.9877042386202906</v>
      </c>
      <c r="EH120">
        <v>14</v>
      </c>
      <c r="EI120">
        <v>0</v>
      </c>
      <c r="EJ120">
        <v>2.6252962666666702</v>
      </c>
      <c r="EK120">
        <v>1</v>
      </c>
      <c r="EL120">
        <v>2</v>
      </c>
      <c r="EM120">
        <v>35</v>
      </c>
      <c r="EN120">
        <v>1</v>
      </c>
      <c r="EO120">
        <v>3</v>
      </c>
      <c r="EP120">
        <v>6</v>
      </c>
      <c r="EQ120">
        <v>4</v>
      </c>
      <c r="ER120">
        <v>14.1987814663817</v>
      </c>
      <c r="ES120">
        <v>10.574305850729999</v>
      </c>
      <c r="ET120">
        <v>15.241293850730001</v>
      </c>
      <c r="EU120">
        <v>7.9979369536550404</v>
      </c>
      <c r="EV120">
        <v>10.623233220321699</v>
      </c>
      <c r="EW120">
        <v>4.2759808000000001</v>
      </c>
      <c r="EX120">
        <v>11.1475422113755</v>
      </c>
      <c r="EY120">
        <v>15.423523011375501</v>
      </c>
      <c r="EZ120">
        <v>2.6252962666666702</v>
      </c>
      <c r="FA120">
        <v>7.9979369536550404</v>
      </c>
      <c r="FB120">
        <v>10.623233220321699</v>
      </c>
      <c r="FC120">
        <v>6.4062647999999998</v>
      </c>
      <c r="FD120">
        <v>15.3335007519033</v>
      </c>
      <c r="FE120">
        <v>21.7397655519033</v>
      </c>
      <c r="FF120">
        <v>2.6252962666666702</v>
      </c>
      <c r="FG120">
        <v>7.9979369536550404</v>
      </c>
      <c r="FH120">
        <v>10.623233220321699</v>
      </c>
    </row>
    <row r="121" spans="1:164" x14ac:dyDescent="0.2">
      <c r="A121">
        <v>120</v>
      </c>
      <c r="B121">
        <v>133</v>
      </c>
      <c r="C121">
        <v>204</v>
      </c>
      <c r="D121">
        <v>3</v>
      </c>
      <c r="E121">
        <v>12</v>
      </c>
      <c r="F121" t="s">
        <v>98</v>
      </c>
      <c r="G121" t="s">
        <v>327</v>
      </c>
      <c r="H121">
        <v>3</v>
      </c>
      <c r="I121">
        <v>3</v>
      </c>
      <c r="K121" t="s">
        <v>328</v>
      </c>
      <c r="L121">
        <v>1</v>
      </c>
      <c r="M121">
        <v>0</v>
      </c>
      <c r="N121">
        <v>0</v>
      </c>
      <c r="O121">
        <v>3</v>
      </c>
      <c r="P121">
        <v>0</v>
      </c>
      <c r="Q121">
        <v>2</v>
      </c>
      <c r="R121">
        <v>1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2</v>
      </c>
      <c r="AD121">
        <v>0</v>
      </c>
      <c r="AE121">
        <v>10</v>
      </c>
      <c r="AF121">
        <v>5</v>
      </c>
      <c r="AG121">
        <v>7</v>
      </c>
      <c r="AH121">
        <v>5</v>
      </c>
      <c r="AI121">
        <v>1.1490083333333301</v>
      </c>
      <c r="AJ121">
        <v>95.978210000000004</v>
      </c>
      <c r="AK121">
        <v>1.0126222222222201</v>
      </c>
      <c r="AL121">
        <v>75.939920000000001</v>
      </c>
      <c r="AM121">
        <v>0.93283611111111098</v>
      </c>
      <c r="AN121">
        <v>76.592060000000004</v>
      </c>
      <c r="AO121">
        <v>0.984019444444444</v>
      </c>
      <c r="AP121">
        <v>79.20617</v>
      </c>
      <c r="AQ121">
        <v>1.02335277777778</v>
      </c>
      <c r="AR121">
        <v>81.226659999999995</v>
      </c>
      <c r="AS121">
        <v>1.06792777777778</v>
      </c>
      <c r="AT121">
        <v>84.567340000000002</v>
      </c>
      <c r="AU121">
        <v>1.0643833333333299</v>
      </c>
      <c r="AV121">
        <v>88.302199999999999</v>
      </c>
      <c r="AW121">
        <v>1.0739388888888901</v>
      </c>
      <c r="AX121">
        <v>91.22824</v>
      </c>
      <c r="AY121">
        <v>1.083925</v>
      </c>
      <c r="AZ121">
        <v>92.466980000000007</v>
      </c>
      <c r="BA121">
        <v>1.097275</v>
      </c>
      <c r="BB121">
        <v>93.787689999999998</v>
      </c>
      <c r="BC121">
        <v>1.1581027777777799</v>
      </c>
      <c r="BD121">
        <v>95.112380000000002</v>
      </c>
      <c r="BE121">
        <v>1.169125</v>
      </c>
      <c r="BF121">
        <v>101.48934</v>
      </c>
      <c r="BG121">
        <v>1.2329972222222201</v>
      </c>
      <c r="BH121">
        <v>104.8922</v>
      </c>
      <c r="BI121">
        <v>1.2768250000000001</v>
      </c>
      <c r="BJ121">
        <v>106.86611000000001</v>
      </c>
      <c r="BK121">
        <v>1.34496388888889</v>
      </c>
      <c r="BL121">
        <v>113.68176</v>
      </c>
      <c r="BM121">
        <v>1.3864666666666701</v>
      </c>
      <c r="BN121">
        <v>115.67444</v>
      </c>
      <c r="BO121">
        <f t="shared" si="34"/>
        <v>0.93283611111111098</v>
      </c>
      <c r="BP121">
        <v>2</v>
      </c>
      <c r="BQ121">
        <v>76.592060000000004</v>
      </c>
      <c r="BR121">
        <f t="shared" si="35"/>
        <v>0</v>
      </c>
      <c r="BS121">
        <f t="shared" si="36"/>
        <v>0.984019444444444</v>
      </c>
      <c r="BT121">
        <v>3</v>
      </c>
      <c r="BU121">
        <v>79.20617</v>
      </c>
      <c r="BV121">
        <f t="shared" si="39"/>
        <v>0</v>
      </c>
      <c r="BW121">
        <f t="shared" si="40"/>
        <v>0.93283611111111098</v>
      </c>
      <c r="BX121">
        <f t="shared" si="41"/>
        <v>2</v>
      </c>
      <c r="BY121">
        <f t="shared" si="42"/>
        <v>76.592060000000004</v>
      </c>
      <c r="BZ121">
        <f t="shared" si="43"/>
        <v>0</v>
      </c>
      <c r="CA121">
        <f t="shared" si="44"/>
        <v>0.93283611111111098</v>
      </c>
      <c r="CB121">
        <f>IF(CA121=BO121,BP121,IF(CA121=BS121,BT121,IF(CA121=BW121,BX121,0)))</f>
        <v>2</v>
      </c>
      <c r="CC121">
        <f>IF(CA121=BO121,BQ121,IF(CA121=BS121,BU121,IF(CA121=BW121,BY121,0)))</f>
        <v>76.592060000000004</v>
      </c>
      <c r="CD121">
        <f t="shared" si="45"/>
        <v>0</v>
      </c>
      <c r="CE121">
        <f t="shared" si="46"/>
        <v>0.93283611111111098</v>
      </c>
      <c r="CF121">
        <f>IF(CE121=BO121,BP121,IF(CE121=BS121,BT121,IF(CE121=BW121,BX121,IF(CE121=CA121,CB121,0))))</f>
        <v>2</v>
      </c>
      <c r="CG121">
        <f>IF(CE121=BO121,BQ121,IF(CE121=BS121,BU121,IF(CE121=BW121,BY121,IF(CE121=CA121,CC121,0))))</f>
        <v>76.592060000000004</v>
      </c>
      <c r="CH121">
        <f t="shared" si="47"/>
        <v>0</v>
      </c>
      <c r="CI121">
        <f t="shared" si="48"/>
        <v>0.93283611111111098</v>
      </c>
      <c r="CJ121">
        <f>IF(CI121=BO121,BP121,IF(CI121=BS121,BT121,IF(CI121=BW121,BX121,IF(CI121=CA121,CB121,IF(CI121=CE121,CF121,0)))))</f>
        <v>2</v>
      </c>
      <c r="CK121">
        <f>IF(CI121=BO121,BQ121,IF(CI121=BS121,BU121,IF(CI121=BW121,BY121,IF(CI121=CA121,CC121,IF(CI121=CE121,CG121,0)))))</f>
        <v>76.592060000000004</v>
      </c>
      <c r="CL121">
        <f t="shared" si="49"/>
        <v>0</v>
      </c>
      <c r="CM121">
        <f t="shared" si="50"/>
        <v>0.93283611111111098</v>
      </c>
      <c r="CN121">
        <f>IF(CM121=BO121,BP121,IF(CM121=BS121,BT121,IF(CM121=BW121,BX121,IF(CM121=CA121,CB121,IF(CM121=CE121,CF121,IF(CM121=CI121,CJ121,0))))))</f>
        <v>2</v>
      </c>
      <c r="CO121">
        <f>IF(CM121=BO121,BQ121,IF(CM121=BS121,BU121,IF(CM121=BW121,BY121,IF(CM121=CA121,CC121,IF(CM121=CE121,CG121,IF(CM121=CI121,CK121,0))))))</f>
        <v>76.592060000000004</v>
      </c>
      <c r="CP121">
        <f t="shared" si="51"/>
        <v>0</v>
      </c>
      <c r="CQ121">
        <f t="shared" si="52"/>
        <v>0.93283611111111098</v>
      </c>
      <c r="CR121">
        <f>IF(CQ121=BO121,BP121,IF(CQ121=BS121,BT121,IF(CQ121=BW121,BX121,IF(CQ121=CA121,CB121,IF(CQ121=CE121,CF121,IF(CQ121=CI121,CJ121,IF(CQ121=CM121,CN121,0)))))))</f>
        <v>2</v>
      </c>
      <c r="CS121">
        <f>IF(CQ121=BO121,BQ121,IF(CQ121=BS121,BU121,IF(CQ121=BW121,BY121,IF(CQ121=CA121,CC121,IF(CQ121=CE121,CG121,IF(CQ121=CI121,CK121,IF(CQ121=CM121,CO121,0)))))))</f>
        <v>76.592060000000004</v>
      </c>
      <c r="CT121">
        <f t="shared" si="53"/>
        <v>0</v>
      </c>
      <c r="CU121">
        <f t="shared" si="54"/>
        <v>0.93283611111111098</v>
      </c>
      <c r="CV121">
        <f>IF(CU121=BO121,BP121,IF(CU121=BS121,BT121,IF(CU121=BW121,BX121,IF(CU121=CA121,CB121,IF(CU121=CE121,CF121,IF(CU121=CI121,CJ121,IF(CU121=CM121,CN121,IF(CU121=CQ121,CR121,0))))))))</f>
        <v>2</v>
      </c>
      <c r="CW121">
        <f>IF(CU121=BO121,BQ121,IF(CU121=BS121,BU121,IF(CU121=BW121,BY121,IF(CU121=CA121,CC121,IF(CU121=CE121,CG121,IF(CU121=CI121,CK121,IF(CU121=CM121,CO121,IF(CU121=CQ121,CS121,0))))))))</f>
        <v>76.592060000000004</v>
      </c>
      <c r="CX121">
        <f t="shared" si="55"/>
        <v>0</v>
      </c>
      <c r="CY121">
        <f t="shared" si="56"/>
        <v>0.93283611111111098</v>
      </c>
      <c r="CZ121">
        <f>IF(CY121=BO121,BP121,IF(CY121=BS121,BT121,IF(CY121=BW121,BX121,IF(CY121=CA121,CB121,IF(CY121=CE121,CF121,IF(CY121=CI121,CJ121,IF(CY121=CM121,CN121,IF(CY121=CQ121,CR121,IF(CY121=CU121,CV121,0)))))))))</f>
        <v>2</v>
      </c>
      <c r="DA121">
        <f>IF(CY121=BO121,BQ121,IF(CY121=BS121,BU121,IF(CY121=BW121,BY121,IF(CY121=CA121,CC121,IF(CY121=CE121,CG121,IF(CY121=CI121,CK121,IF(CY121=CM121,CO121,IF(CY121=CQ121,CS121,IF(CY121=CU121,CW121,0)))))))))</f>
        <v>76.592060000000004</v>
      </c>
      <c r="DB121">
        <f t="shared" si="57"/>
        <v>0</v>
      </c>
      <c r="DC121">
        <f t="shared" si="58"/>
        <v>0.93283611111111098</v>
      </c>
      <c r="DD121">
        <f>IF(DC121=BO121,BP121,IF(DC121=BS121,BT121,IF(DC121=BW121,BX121,IF(DC121=CA121,CB121,IF(DC121=CE121,CF121,IF(DC121=CI121,CJ121,IF(DC121=CM121,CN121,IF(DC121=CQ121,CR121,IF(DC121=CU121,CV121,IF(DC121=CY121,CZ121,0))))))))))</f>
        <v>2</v>
      </c>
      <c r="DE121">
        <f>IF(DC121=BO121,BQ121,IF(DC121=BS121,BU121,IF(DC121=BW121,BY121,IF(DC121=CA121,CC121,IF(DC121=CE121,CG121,IF(DC121=CI121,CK121,IF(DC121=CM121,CO121,IF(DC121=CQ121,CS121,IF(DC121=CU121,CW121,IF(DC121=CY121,DA121,0))))))))))</f>
        <v>76.592060000000004</v>
      </c>
      <c r="DF121">
        <f t="shared" si="59"/>
        <v>0</v>
      </c>
      <c r="DG121">
        <f t="shared" si="60"/>
        <v>0.93283611111111098</v>
      </c>
      <c r="DH121">
        <f>IF(DG121=BO121,BP121,IF(DG121=BS121,BT121,IF(DG121=BW121,BX121,IF(DG121=CA121,CB121,IF(DG121=CE121,CF121,IF(DG121=CI121,CJ121,IF(DG121=CM121,CN121,IF(DG121=CQ121,CR121,IF(DG121=CU121,CV121,IF(DG121=CY121,CZ121,IF(DG121=DC121,DD121,0)))))))))))</f>
        <v>2</v>
      </c>
      <c r="DI121">
        <f>IF(DG121=BO121,BQ121,IF(DG121=BS121,BU121,IF(DG121=BW121,BY121,IF(DG121=CA121,CC121,IF(DG121=CE121,CG121,IF(DG121=CI121,CK121,IF(DG121=CM121,CO121,IF(DG121=CQ121,CS121,IF(DG121=CU121,CW121,IF(DG121=CY121,DA121,IF(DG121=DC121,DE121,0)))))))))))</f>
        <v>76.592060000000004</v>
      </c>
      <c r="DJ121">
        <f t="shared" si="61"/>
        <v>0</v>
      </c>
      <c r="DK121">
        <f t="shared" si="62"/>
        <v>0.93283611111111098</v>
      </c>
      <c r="DL121">
        <f>IF(DK121=BO121,BP121,IF(DK121=BS121,BT121,IF(DK121=BW121,BX121,IF(DK121=CA121,CB121,IF(DK121=CE121,CF121,IF(DK121=CI121,CJ121,IF(DK121=CM121,CN121,IF(DK121=CQ121,CR121,IF(DK121=CU121,CV121,IF(DK121=CY121,CZ121,IF(DK121=DC121,DD121,IF(DK121=DG121,DH121,0))))))))))))</f>
        <v>2</v>
      </c>
      <c r="DM121">
        <f>IF(DK121=BO121,BQ121,IF(DK121=BS121,BU121,IF(DK121=BW121,BY121,IF(DK121=CA121,CC121,IF(DK121=CE121,CG121,IF(DK121=CI121,CK121,IF(DK121=CM121,CO121,IF(DK121=CQ121,CS121,IF(DK121=CU121,CW121,IF(DK121=CY121,DA121,IF(DK121=DC121,DE121,IF(DK121=DG121,DI121,0))))))))))))</f>
        <v>76.592060000000004</v>
      </c>
      <c r="DN121">
        <f t="shared" si="63"/>
        <v>0</v>
      </c>
      <c r="DO121">
        <f t="shared" si="64"/>
        <v>0.93283611111111098</v>
      </c>
      <c r="DP121">
        <f>IF(DO121=BO121,BP121,IF(DO121=BS121,BT121,IF(DO121=BW121,BX121,IF(DO121=CA121,CB121,IF(DO121=CE121,CF121,IF(DO121=CI121,CJ121,IF(DO121=CM121,CN121,IF(DO121=CQ121,CR121,IF(DO121=CU121,CV121,IF(DO121=CY121,CZ121,IF(DO121=DC121,DD121,IF(DO121=DG121,DH121,IF(DO121=DK121,DL121,0)))))))))))))</f>
        <v>2</v>
      </c>
      <c r="DQ121">
        <f>IF(DO121=BO121,BQ121,IF(DO121=BS121,BU121,IF(DO121=BW121,BY121,IF(DO121=CA121,CC121,IF(DO121=CE121,CG121,IF(DO121=CI121,CK121,IF(DO121=CM121,CO121,IF(DO121=CQ121,CS121,IF(DO121=CU121,CW121,IF(DO121=CY121,DA121,IF(DO121=DC121,DE121,IF(DO121=DG121,DI121,IF(DO121=DK121,DM121,0)))))))))))))</f>
        <v>76.592060000000004</v>
      </c>
      <c r="DR121">
        <f t="shared" si="65"/>
        <v>0</v>
      </c>
      <c r="DS121">
        <f t="shared" si="66"/>
        <v>0.93283611111111098</v>
      </c>
      <c r="DT121">
        <f>IF(DS121=BO121,BP121,IF(DS121=BS121,BT121,IF(DS121=BW121,BX121,IF(DS121=CA121,CB121,IF(DS121=CE121,CF121,IF(DS121=CI121,CJ121,IF(DS121=CM121,CN121,IF(DS121=CQ121,CR121,IF(DS121=CU121,CV121,IF(DS121=CY121,CZ121,IF(DS121=DC121,DD121,IF(DS121=DG121,DH121,IF(DS121=DK121,DL121,IF(DS121=DO121,DP121,0))))))))))))))</f>
        <v>2</v>
      </c>
      <c r="DU121">
        <f>IF(DS121=BO121,BQ121,IF(DS121=BS121,BU121,IF(DS121=BW121,BY121,IF(DS121=CA121,CC121,IF(DS121=CE121,CG121,IF(DS121=CI121,CK121,IF(DS121=CM121,CO121,IF(DS121=CQ121,CS121,IF(DS121=CU121,CW121,IF(DS121=CY121,DA121,IF(DS121=DC121,DE121,IF(DS121=DG121,DI121,IF(DS121=DK121,DM121,IF(DS121=DO121,DQ121,0))))))))))))))</f>
        <v>76.592060000000004</v>
      </c>
      <c r="DV121">
        <f t="shared" si="67"/>
        <v>0</v>
      </c>
      <c r="DW121">
        <v>22500.5</v>
      </c>
      <c r="DX121">
        <v>6</v>
      </c>
      <c r="DY121">
        <v>0</v>
      </c>
      <c r="EA121">
        <v>4</v>
      </c>
      <c r="EB121">
        <v>10.114099490560401</v>
      </c>
      <c r="EC121">
        <v>0.66666666666666696</v>
      </c>
      <c r="ED121">
        <v>8.9847781999999992</v>
      </c>
      <c r="EE121">
        <v>0.93283611111111098</v>
      </c>
      <c r="EF121">
        <v>76.592060000000004</v>
      </c>
      <c r="EG121">
        <v>27.2104255414168</v>
      </c>
      <c r="EH121">
        <v>2</v>
      </c>
      <c r="EI121">
        <v>0</v>
      </c>
      <c r="EJ121">
        <v>6.6379785333333299</v>
      </c>
      <c r="EK121">
        <v>1</v>
      </c>
      <c r="EL121">
        <v>0</v>
      </c>
      <c r="EM121">
        <v>49</v>
      </c>
      <c r="EN121">
        <v>0</v>
      </c>
      <c r="EO121">
        <v>3</v>
      </c>
      <c r="EP121">
        <v>5</v>
      </c>
      <c r="EQ121">
        <v>5</v>
      </c>
      <c r="ER121">
        <v>14.1987814663817</v>
      </c>
      <c r="ES121">
        <v>32.629036456102803</v>
      </c>
      <c r="ET121">
        <v>41.613814656102797</v>
      </c>
      <c r="EU121">
        <v>26.490272171232</v>
      </c>
      <c r="EV121">
        <v>33.128250704565303</v>
      </c>
      <c r="EW121">
        <v>8.0138049333333292</v>
      </c>
      <c r="EX121">
        <v>30.780828401895501</v>
      </c>
      <c r="EY121">
        <v>38.794633335228902</v>
      </c>
      <c r="EZ121">
        <v>6.6379785333333299</v>
      </c>
      <c r="FA121">
        <v>26.490272171232</v>
      </c>
      <c r="FB121">
        <v>33.128250704565303</v>
      </c>
      <c r="FC121">
        <v>6.86453473333333</v>
      </c>
      <c r="FD121">
        <v>27.9437541006739</v>
      </c>
      <c r="FE121">
        <v>34.8082888340073</v>
      </c>
      <c r="FF121">
        <v>6.6379785333333299</v>
      </c>
      <c r="FG121">
        <v>26.490272171232</v>
      </c>
      <c r="FH121">
        <v>33.128250704565303</v>
      </c>
    </row>
    <row r="122" spans="1:164" x14ac:dyDescent="0.2">
      <c r="A122">
        <v>121</v>
      </c>
      <c r="B122">
        <v>134</v>
      </c>
      <c r="C122">
        <v>220</v>
      </c>
      <c r="D122">
        <v>2</v>
      </c>
      <c r="E122">
        <v>13</v>
      </c>
      <c r="F122" t="s">
        <v>329</v>
      </c>
      <c r="G122" t="s">
        <v>122</v>
      </c>
      <c r="H122">
        <v>3</v>
      </c>
      <c r="I122">
        <v>7</v>
      </c>
      <c r="J122" t="s">
        <v>330</v>
      </c>
      <c r="K122" t="s">
        <v>331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2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2</v>
      </c>
      <c r="AC122">
        <v>4</v>
      </c>
      <c r="AD122">
        <v>4</v>
      </c>
      <c r="AE122">
        <v>12</v>
      </c>
      <c r="AF122">
        <v>6</v>
      </c>
      <c r="AG122">
        <v>7</v>
      </c>
      <c r="AH122">
        <v>7</v>
      </c>
      <c r="AI122">
        <v>0.65</v>
      </c>
      <c r="AJ122">
        <v>53.7</v>
      </c>
      <c r="AK122">
        <v>0.36666666666666697</v>
      </c>
      <c r="AL122">
        <v>31.1</v>
      </c>
      <c r="AM122">
        <v>0.38333333333333303</v>
      </c>
      <c r="AN122">
        <v>32.700000000000003</v>
      </c>
      <c r="AO122">
        <v>0.41666666666666702</v>
      </c>
      <c r="AP122">
        <v>35.4</v>
      </c>
      <c r="AQ122">
        <v>0.483333333333333</v>
      </c>
      <c r="AR122">
        <v>36.6</v>
      </c>
      <c r="AS122">
        <v>0.483333333333333</v>
      </c>
      <c r="AT122">
        <v>40.5</v>
      </c>
      <c r="AU122">
        <v>0.53333333333333299</v>
      </c>
      <c r="AV122">
        <v>44.4</v>
      </c>
      <c r="AW122">
        <v>0.53333333333333299</v>
      </c>
      <c r="AX122">
        <v>47.3</v>
      </c>
      <c r="AY122">
        <v>0.58333333333333304</v>
      </c>
      <c r="AZ122">
        <v>48.6</v>
      </c>
      <c r="BA122">
        <v>0.55000000000000004</v>
      </c>
      <c r="BB122">
        <v>49.9</v>
      </c>
      <c r="BC122">
        <v>0.63333333333333297</v>
      </c>
      <c r="BD122">
        <v>52.6</v>
      </c>
      <c r="BE122">
        <v>0.61666666666666703</v>
      </c>
      <c r="BF122">
        <v>57.6</v>
      </c>
      <c r="BG122">
        <v>0.66666666666666696</v>
      </c>
      <c r="BH122">
        <v>62.2</v>
      </c>
      <c r="BI122">
        <v>0.7</v>
      </c>
      <c r="BJ122">
        <v>64.2</v>
      </c>
      <c r="BK122">
        <v>0.73333333333333295</v>
      </c>
      <c r="BL122">
        <v>69.8</v>
      </c>
      <c r="BM122">
        <v>0.78333333333333299</v>
      </c>
      <c r="BN122">
        <v>71.8</v>
      </c>
      <c r="BO122">
        <f t="shared" si="34"/>
        <v>0.38333333333333303</v>
      </c>
      <c r="BP122">
        <v>2</v>
      </c>
      <c r="BQ122">
        <v>32.700000000000003</v>
      </c>
      <c r="BR122">
        <f t="shared" si="35"/>
        <v>0</v>
      </c>
      <c r="BS122">
        <f t="shared" si="36"/>
        <v>0.36666666666666697</v>
      </c>
      <c r="BT122">
        <v>1</v>
      </c>
      <c r="BU122">
        <v>31.1</v>
      </c>
      <c r="BV122">
        <f t="shared" si="39"/>
        <v>5</v>
      </c>
      <c r="BW122">
        <f t="shared" si="40"/>
        <v>0.36666666666666697</v>
      </c>
      <c r="BX122">
        <f t="shared" si="41"/>
        <v>1</v>
      </c>
      <c r="BY122">
        <f t="shared" si="42"/>
        <v>31.1</v>
      </c>
      <c r="BZ122">
        <f t="shared" si="43"/>
        <v>5</v>
      </c>
      <c r="CA122">
        <f t="shared" si="44"/>
        <v>0.36666666666666697</v>
      </c>
      <c r="CB122">
        <f>IF(CA122=BO122,BP122,IF(CA122=BS122,BT122,IF(CA122=BW122,BX122,0)))</f>
        <v>1</v>
      </c>
      <c r="CC122">
        <f>IF(CA122=BO122,BQ122,IF(CA122=BS122,BU122,IF(CA122=BW122,BY122,0)))</f>
        <v>31.1</v>
      </c>
      <c r="CD122">
        <f t="shared" si="45"/>
        <v>5</v>
      </c>
      <c r="CE122">
        <f t="shared" si="46"/>
        <v>0.36666666666666697</v>
      </c>
      <c r="CF122">
        <f>IF(CE122=BO122,BP122,IF(CE122=BS122,BT122,IF(CE122=BW122,BX122,IF(CE122=CA122,CB122,0))))</f>
        <v>1</v>
      </c>
      <c r="CG122">
        <f>IF(CE122=BO122,BQ122,IF(CE122=BS122,BU122,IF(CE122=BW122,BY122,IF(CE122=CA122,CC122,0))))</f>
        <v>31.1</v>
      </c>
      <c r="CH122">
        <f t="shared" si="47"/>
        <v>5</v>
      </c>
      <c r="CI122">
        <f t="shared" si="48"/>
        <v>0.36666666666666697</v>
      </c>
      <c r="CJ122">
        <f>IF(CI122=BO122,BP122,IF(CI122=BS122,BT122,IF(CI122=BW122,BX122,IF(CI122=CA122,CB122,IF(CI122=CE122,CF122,0)))))</f>
        <v>1</v>
      </c>
      <c r="CK122">
        <f>IF(CI122=BO122,BQ122,IF(CI122=BS122,BU122,IF(CI122=BW122,BY122,IF(CI122=CA122,CC122,IF(CI122=CE122,CG122,0)))))</f>
        <v>31.1</v>
      </c>
      <c r="CL122">
        <f t="shared" si="49"/>
        <v>5</v>
      </c>
      <c r="CM122">
        <f t="shared" si="50"/>
        <v>0.36666666666666697</v>
      </c>
      <c r="CN122">
        <f>IF(CM122=BO122,BP122,IF(CM122=BS122,BT122,IF(CM122=BW122,BX122,IF(CM122=CA122,CB122,IF(CM122=CE122,CF122,IF(CM122=CI122,CJ122,0))))))</f>
        <v>1</v>
      </c>
      <c r="CO122">
        <f>IF(CM122=BO122,BQ122,IF(CM122=BS122,BU122,IF(CM122=BW122,BY122,IF(CM122=CA122,CC122,IF(CM122=CE122,CG122,IF(CM122=CI122,CK122,0))))))</f>
        <v>31.1</v>
      </c>
      <c r="CP122">
        <f t="shared" si="51"/>
        <v>5</v>
      </c>
      <c r="CQ122">
        <f t="shared" si="52"/>
        <v>0.36666666666666697</v>
      </c>
      <c r="CR122">
        <f>IF(CQ122=BO122,BP122,IF(CQ122=BS122,BT122,IF(CQ122=BW122,BX122,IF(CQ122=CA122,CB122,IF(CQ122=CE122,CF122,IF(CQ122=CI122,CJ122,IF(CQ122=CM122,CN122,0)))))))</f>
        <v>1</v>
      </c>
      <c r="CS122">
        <f>IF(CQ122=BO122,BQ122,IF(CQ122=BS122,BU122,IF(CQ122=BW122,BY122,IF(CQ122=CA122,CC122,IF(CQ122=CE122,CG122,IF(CQ122=CI122,CK122,IF(CQ122=CM122,CO122,0)))))))</f>
        <v>31.1</v>
      </c>
      <c r="CT122">
        <f t="shared" si="53"/>
        <v>5</v>
      </c>
      <c r="CU122">
        <f t="shared" si="54"/>
        <v>0.36666666666666697</v>
      </c>
      <c r="CV122">
        <f>IF(CU122=BO122,BP122,IF(CU122=BS122,BT122,IF(CU122=BW122,BX122,IF(CU122=CA122,CB122,IF(CU122=CE122,CF122,IF(CU122=CI122,CJ122,IF(CU122=CM122,CN122,IF(CU122=CQ122,CR122,0))))))))</f>
        <v>1</v>
      </c>
      <c r="CW122">
        <f>IF(CU122=BO122,BQ122,IF(CU122=BS122,BU122,IF(CU122=BW122,BY122,IF(CU122=CA122,CC122,IF(CU122=CE122,CG122,IF(CU122=CI122,CK122,IF(CU122=CM122,CO122,IF(CU122=CQ122,CS122,0))))))))</f>
        <v>31.1</v>
      </c>
      <c r="CX122">
        <f t="shared" si="55"/>
        <v>5</v>
      </c>
      <c r="CY122">
        <f t="shared" si="56"/>
        <v>0.36666666666666697</v>
      </c>
      <c r="CZ122">
        <f>IF(CY122=BO122,BP122,IF(CY122=BS122,BT122,IF(CY122=BW122,BX122,IF(CY122=CA122,CB122,IF(CY122=CE122,CF122,IF(CY122=CI122,CJ122,IF(CY122=CM122,CN122,IF(CY122=CQ122,CR122,IF(CY122=CU122,CV122,0)))))))))</f>
        <v>1</v>
      </c>
      <c r="DA122">
        <f>IF(CY122=BO122,BQ122,IF(CY122=BS122,BU122,IF(CY122=BW122,BY122,IF(CY122=CA122,CC122,IF(CY122=CE122,CG122,IF(CY122=CI122,CK122,IF(CY122=CM122,CO122,IF(CY122=CQ122,CS122,IF(CY122=CU122,CW122,0)))))))))</f>
        <v>31.1</v>
      </c>
      <c r="DB122">
        <f t="shared" si="57"/>
        <v>5</v>
      </c>
      <c r="DC122">
        <f t="shared" si="58"/>
        <v>0.36666666666666697</v>
      </c>
      <c r="DD122">
        <f>IF(DC122=BO122,BP122,IF(DC122=BS122,BT122,IF(DC122=BW122,BX122,IF(DC122=CA122,CB122,IF(DC122=CE122,CF122,IF(DC122=CI122,CJ122,IF(DC122=CM122,CN122,IF(DC122=CQ122,CR122,IF(DC122=CU122,CV122,IF(DC122=CY122,CZ122,0))))))))))</f>
        <v>1</v>
      </c>
      <c r="DE122">
        <f>IF(DC122=BO122,BQ122,IF(DC122=BS122,BU122,IF(DC122=BW122,BY122,IF(DC122=CA122,CC122,IF(DC122=CE122,CG122,IF(DC122=CI122,CK122,IF(DC122=CM122,CO122,IF(DC122=CQ122,CS122,IF(DC122=CU122,CW122,IF(DC122=CY122,DA122,0))))))))))</f>
        <v>31.1</v>
      </c>
      <c r="DF122">
        <f t="shared" si="59"/>
        <v>5</v>
      </c>
      <c r="DG122">
        <f t="shared" si="60"/>
        <v>0.36666666666666697</v>
      </c>
      <c r="DH122">
        <f>IF(DG122=BO122,BP122,IF(DG122=BS122,BT122,IF(DG122=BW122,BX122,IF(DG122=CA122,CB122,IF(DG122=CE122,CF122,IF(DG122=CI122,CJ122,IF(DG122=CM122,CN122,IF(DG122=CQ122,CR122,IF(DG122=CU122,CV122,IF(DG122=CY122,CZ122,IF(DG122=DC122,DD122,0)))))))))))</f>
        <v>1</v>
      </c>
      <c r="DI122">
        <f>IF(DG122=BO122,BQ122,IF(DG122=BS122,BU122,IF(DG122=BW122,BY122,IF(DG122=CA122,CC122,IF(DG122=CE122,CG122,IF(DG122=CI122,CK122,IF(DG122=CM122,CO122,IF(DG122=CQ122,CS122,IF(DG122=CU122,CW122,IF(DG122=CY122,DA122,IF(DG122=DC122,DE122,0)))))))))))</f>
        <v>31.1</v>
      </c>
      <c r="DJ122">
        <f t="shared" si="61"/>
        <v>5</v>
      </c>
      <c r="DK122">
        <f t="shared" si="62"/>
        <v>0.36666666666666697</v>
      </c>
      <c r="DL122">
        <f>IF(DK122=BO122,BP122,IF(DK122=BS122,BT122,IF(DK122=BW122,BX122,IF(DK122=CA122,CB122,IF(DK122=CE122,CF122,IF(DK122=CI122,CJ122,IF(DK122=CM122,CN122,IF(DK122=CQ122,CR122,IF(DK122=CU122,CV122,IF(DK122=CY122,CZ122,IF(DK122=DC122,DD122,IF(DK122=DG122,DH122,0))))))))))))</f>
        <v>1</v>
      </c>
      <c r="DM122">
        <f>IF(DK122=BO122,BQ122,IF(DK122=BS122,BU122,IF(DK122=BW122,BY122,IF(DK122=CA122,CC122,IF(DK122=CE122,CG122,IF(DK122=CI122,CK122,IF(DK122=CM122,CO122,IF(DK122=CQ122,CS122,IF(DK122=CU122,CW122,IF(DK122=CY122,DA122,IF(DK122=DC122,DE122,IF(DK122=DG122,DI122,0))))))))))))</f>
        <v>31.1</v>
      </c>
      <c r="DN122">
        <f t="shared" si="63"/>
        <v>5</v>
      </c>
      <c r="DO122">
        <f t="shared" si="64"/>
        <v>0.36666666666666697</v>
      </c>
      <c r="DP122">
        <f>IF(DO122=BO122,BP122,IF(DO122=BS122,BT122,IF(DO122=BW122,BX122,IF(DO122=CA122,CB122,IF(DO122=CE122,CF122,IF(DO122=CI122,CJ122,IF(DO122=CM122,CN122,IF(DO122=CQ122,CR122,IF(DO122=CU122,CV122,IF(DO122=CY122,CZ122,IF(DO122=DC122,DD122,IF(DO122=DG122,DH122,IF(DO122=DK122,DL122,0)))))))))))))</f>
        <v>1</v>
      </c>
      <c r="DQ122">
        <f>IF(DO122=BO122,BQ122,IF(DO122=BS122,BU122,IF(DO122=BW122,BY122,IF(DO122=CA122,CC122,IF(DO122=CE122,CG122,IF(DO122=CI122,CK122,IF(DO122=CM122,CO122,IF(DO122=CQ122,CS122,IF(DO122=CU122,CW122,IF(DO122=CY122,DA122,IF(DO122=DC122,DE122,IF(DO122=DG122,DI122,IF(DO122=DK122,DM122,0)))))))))))))</f>
        <v>31.1</v>
      </c>
      <c r="DR122">
        <f t="shared" si="65"/>
        <v>5</v>
      </c>
      <c r="DS122">
        <f t="shared" si="66"/>
        <v>0.36666666666666697</v>
      </c>
      <c r="DT122">
        <f>IF(DS122=BO122,BP122,IF(DS122=BS122,BT122,IF(DS122=BW122,BX122,IF(DS122=CA122,CB122,IF(DS122=CE122,CF122,IF(DS122=CI122,CJ122,IF(DS122=CM122,CN122,IF(DS122=CQ122,CR122,IF(DS122=CU122,CV122,IF(DS122=CY122,CZ122,IF(DS122=DC122,DD122,IF(DS122=DG122,DH122,IF(DS122=DK122,DL122,IF(DS122=DO122,DP122,0))))))))))))))</f>
        <v>1</v>
      </c>
      <c r="DU122">
        <f>IF(DS122=BO122,BQ122,IF(DS122=BS122,BU122,IF(DS122=BW122,BY122,IF(DS122=CA122,CC122,IF(DS122=CE122,CG122,IF(DS122=CI122,CK122,IF(DS122=CM122,CO122,IF(DS122=CQ122,CS122,IF(DS122=CU122,CW122,IF(DS122=CY122,DA122,IF(DS122=DC122,DE122,IF(DS122=DG122,DI122,IF(DS122=DK122,DM122,IF(DS122=DO122,DQ122,0))))))))))))))</f>
        <v>31.1</v>
      </c>
      <c r="DV122">
        <f t="shared" si="67"/>
        <v>5</v>
      </c>
      <c r="DW122">
        <v>82500.5</v>
      </c>
      <c r="DX122">
        <v>2</v>
      </c>
      <c r="DY122">
        <v>30</v>
      </c>
      <c r="DZ122">
        <v>3</v>
      </c>
      <c r="EA122">
        <v>3</v>
      </c>
      <c r="EB122">
        <v>37.084432124662897</v>
      </c>
      <c r="EC122">
        <v>1.5</v>
      </c>
      <c r="ED122">
        <v>15.462</v>
      </c>
      <c r="EE122">
        <v>0.36666670000000001</v>
      </c>
      <c r="EF122">
        <v>31.1</v>
      </c>
      <c r="EG122">
        <v>55.251164096858702</v>
      </c>
      <c r="EH122">
        <v>1</v>
      </c>
      <c r="EI122">
        <v>1.25</v>
      </c>
      <c r="EJ122">
        <v>8.7110000000000003</v>
      </c>
      <c r="EK122">
        <v>1</v>
      </c>
      <c r="EL122">
        <v>1</v>
      </c>
      <c r="EM122">
        <v>31</v>
      </c>
      <c r="EN122">
        <v>0</v>
      </c>
      <c r="EO122">
        <v>4</v>
      </c>
      <c r="EP122">
        <v>7</v>
      </c>
      <c r="EQ122">
        <v>6</v>
      </c>
      <c r="ER122">
        <v>14.1987814663817</v>
      </c>
      <c r="ES122">
        <v>18.458415906296199</v>
      </c>
      <c r="ET122">
        <v>33.920415906296199</v>
      </c>
      <c r="EU122">
        <v>10.4124406885987</v>
      </c>
      <c r="EV122">
        <v>19.123440688598699</v>
      </c>
      <c r="EW122">
        <v>12.635999999999999</v>
      </c>
      <c r="EX122">
        <v>16.565245044112</v>
      </c>
      <c r="EY122">
        <v>29.2012450441119</v>
      </c>
      <c r="EZ122">
        <v>10.586</v>
      </c>
      <c r="FA122">
        <v>10.4124397420132</v>
      </c>
      <c r="FB122">
        <v>20.998439742013201</v>
      </c>
      <c r="FC122">
        <v>9.2040000000000006</v>
      </c>
      <c r="FD122">
        <v>11.832317888651399</v>
      </c>
      <c r="FE122">
        <v>21.0363178886514</v>
      </c>
      <c r="FF122">
        <v>10.586</v>
      </c>
      <c r="FG122">
        <v>10.4124397420132</v>
      </c>
      <c r="FH122">
        <v>20.998439742013201</v>
      </c>
    </row>
    <row r="123" spans="1:164" x14ac:dyDescent="0.2">
      <c r="A123">
        <v>122</v>
      </c>
      <c r="B123">
        <v>135</v>
      </c>
      <c r="C123">
        <v>221</v>
      </c>
      <c r="D123">
        <v>2</v>
      </c>
      <c r="E123">
        <v>13</v>
      </c>
      <c r="F123" t="s">
        <v>332</v>
      </c>
      <c r="G123" t="s">
        <v>122</v>
      </c>
      <c r="H123">
        <v>3</v>
      </c>
      <c r="I123">
        <v>4</v>
      </c>
      <c r="K123" t="s">
        <v>170</v>
      </c>
      <c r="L123">
        <v>0</v>
      </c>
      <c r="M123">
        <v>2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2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4</v>
      </c>
      <c r="AD123">
        <v>1</v>
      </c>
      <c r="AE123">
        <v>10</v>
      </c>
      <c r="AF123">
        <v>5</v>
      </c>
      <c r="AG123">
        <v>7</v>
      </c>
      <c r="AH123">
        <v>6</v>
      </c>
      <c r="AI123">
        <v>0.40377222222222198</v>
      </c>
      <c r="AJ123">
        <v>21.68085</v>
      </c>
      <c r="AK123">
        <v>0.37228611111111098</v>
      </c>
      <c r="AL123">
        <v>11.58466</v>
      </c>
      <c r="AM123">
        <v>0.26991111111111099</v>
      </c>
      <c r="AN123">
        <v>10.12307</v>
      </c>
      <c r="AO123">
        <v>0.255202777777778</v>
      </c>
      <c r="AP123">
        <v>8.6622500000000002</v>
      </c>
      <c r="AQ123">
        <v>0.31812777777777801</v>
      </c>
      <c r="AR123">
        <v>10.73414</v>
      </c>
      <c r="AS123">
        <v>0.31245000000000001</v>
      </c>
      <c r="AT123">
        <v>10.14893</v>
      </c>
      <c r="AU123">
        <v>0.30712499999999998</v>
      </c>
      <c r="AV123">
        <v>12.55533</v>
      </c>
      <c r="AW123">
        <v>0.32870277777777801</v>
      </c>
      <c r="AX123">
        <v>16.930879999999998</v>
      </c>
      <c r="AY123">
        <v>0.33868888888888898</v>
      </c>
      <c r="AZ123">
        <v>18.169609999999999</v>
      </c>
      <c r="BA123">
        <v>0.35203888888888901</v>
      </c>
      <c r="BB123">
        <v>19.490320000000001</v>
      </c>
      <c r="BC123">
        <v>0.41286666666666699</v>
      </c>
      <c r="BD123">
        <v>20.815020000000001</v>
      </c>
      <c r="BE123">
        <v>0.42388611111111102</v>
      </c>
      <c r="BF123">
        <v>27.191980000000001</v>
      </c>
      <c r="BG123">
        <v>0.48776111111111098</v>
      </c>
      <c r="BH123">
        <v>30.594830000000002</v>
      </c>
      <c r="BI123">
        <v>0.53158611111111098</v>
      </c>
      <c r="BJ123">
        <v>32.568750000000001</v>
      </c>
      <c r="BK123">
        <v>0.59972777777777797</v>
      </c>
      <c r="BL123">
        <v>39.384390000000003</v>
      </c>
      <c r="BM123">
        <v>0.64123055555555597</v>
      </c>
      <c r="BN123">
        <v>41.377070000000003</v>
      </c>
      <c r="BO123">
        <f t="shared" si="34"/>
        <v>0.255202777777778</v>
      </c>
      <c r="BP123">
        <v>3</v>
      </c>
      <c r="BQ123">
        <v>8.6622500000000002</v>
      </c>
      <c r="BR123">
        <f t="shared" si="35"/>
        <v>0</v>
      </c>
      <c r="BS123">
        <f t="shared" si="36"/>
        <v>0.255202777777778</v>
      </c>
      <c r="BT123">
        <f t="shared" si="37"/>
        <v>3</v>
      </c>
      <c r="BU123">
        <f t="shared" si="38"/>
        <v>8.6622500000000002</v>
      </c>
      <c r="BV123">
        <f t="shared" si="39"/>
        <v>0</v>
      </c>
      <c r="BW123">
        <f t="shared" si="40"/>
        <v>0.26991111111111099</v>
      </c>
      <c r="BX123">
        <v>2</v>
      </c>
      <c r="BY123">
        <v>10.12307</v>
      </c>
      <c r="BZ123">
        <f t="shared" si="43"/>
        <v>0</v>
      </c>
      <c r="CA123">
        <f t="shared" si="44"/>
        <v>0.255202777777778</v>
      </c>
      <c r="CB123">
        <f>IF(CA123=BO123,BP123,IF(CA123=BS123,BT123,IF(CA123=BW123,BX123,0)))</f>
        <v>3</v>
      </c>
      <c r="CC123">
        <f>IF(CA123=BO123,BQ123,IF(CA123=BS123,BU123,IF(CA123=BW123,BY123,0)))</f>
        <v>8.6622500000000002</v>
      </c>
      <c r="CD123">
        <f t="shared" si="45"/>
        <v>0</v>
      </c>
      <c r="CE123">
        <f t="shared" si="46"/>
        <v>0.255202777777778</v>
      </c>
      <c r="CF123">
        <f>IF(CE123=BO123,BP123,IF(CE123=BS123,BT123,IF(CE123=BW123,BX123,IF(CE123=CA123,CB123,0))))</f>
        <v>3</v>
      </c>
      <c r="CG123">
        <f>IF(CE123=BO123,BQ123,IF(CE123=BS123,BU123,IF(CE123=BW123,BY123,IF(CE123=CA123,CC123,0))))</f>
        <v>8.6622500000000002</v>
      </c>
      <c r="CH123">
        <f t="shared" si="47"/>
        <v>0</v>
      </c>
      <c r="CI123">
        <f t="shared" si="48"/>
        <v>0.255202777777778</v>
      </c>
      <c r="CJ123">
        <f>IF(CI123=BO123,BP123,IF(CI123=BS123,BT123,IF(CI123=BW123,BX123,IF(CI123=CA123,CB123,IF(CI123=CE123,CF123,0)))))</f>
        <v>3</v>
      </c>
      <c r="CK123">
        <f>IF(CI123=BO123,BQ123,IF(CI123=BS123,BU123,IF(CI123=BW123,BY123,IF(CI123=CA123,CC123,IF(CI123=CE123,CG123,0)))))</f>
        <v>8.6622500000000002</v>
      </c>
      <c r="CL123">
        <f t="shared" si="49"/>
        <v>0</v>
      </c>
      <c r="CM123">
        <f t="shared" si="50"/>
        <v>0.255202777777778</v>
      </c>
      <c r="CN123">
        <f>IF(CM123=BO123,BP123,IF(CM123=BS123,BT123,IF(CM123=BW123,BX123,IF(CM123=CA123,CB123,IF(CM123=CE123,CF123,IF(CM123=CI123,CJ123,0))))))</f>
        <v>3</v>
      </c>
      <c r="CO123">
        <f>IF(CM123=BO123,BQ123,IF(CM123=BS123,BU123,IF(CM123=BW123,BY123,IF(CM123=CA123,CC123,IF(CM123=CE123,CG123,IF(CM123=CI123,CK123,0))))))</f>
        <v>8.6622500000000002</v>
      </c>
      <c r="CP123">
        <f t="shared" si="51"/>
        <v>0</v>
      </c>
      <c r="CQ123">
        <f t="shared" si="52"/>
        <v>0.255202777777778</v>
      </c>
      <c r="CR123">
        <f>IF(CQ123=BO123,BP123,IF(CQ123=BS123,BT123,IF(CQ123=BW123,BX123,IF(CQ123=CA123,CB123,IF(CQ123=CE123,CF123,IF(CQ123=CI123,CJ123,IF(CQ123=CM123,CN123,0)))))))</f>
        <v>3</v>
      </c>
      <c r="CS123">
        <f>IF(CQ123=BO123,BQ123,IF(CQ123=BS123,BU123,IF(CQ123=BW123,BY123,IF(CQ123=CA123,CC123,IF(CQ123=CE123,CG123,IF(CQ123=CI123,CK123,IF(CQ123=CM123,CO123,0)))))))</f>
        <v>8.6622500000000002</v>
      </c>
      <c r="CT123">
        <f t="shared" si="53"/>
        <v>0</v>
      </c>
      <c r="CU123">
        <f t="shared" si="54"/>
        <v>0.255202777777778</v>
      </c>
      <c r="CV123">
        <f>IF(CU123=BO123,BP123,IF(CU123=BS123,BT123,IF(CU123=BW123,BX123,IF(CU123=CA123,CB123,IF(CU123=CE123,CF123,IF(CU123=CI123,CJ123,IF(CU123=CM123,CN123,IF(CU123=CQ123,CR123,0))))))))</f>
        <v>3</v>
      </c>
      <c r="CW123">
        <f>IF(CU123=BO123,BQ123,IF(CU123=BS123,BU123,IF(CU123=BW123,BY123,IF(CU123=CA123,CC123,IF(CU123=CE123,CG123,IF(CU123=CI123,CK123,IF(CU123=CM123,CO123,IF(CU123=CQ123,CS123,0))))))))</f>
        <v>8.6622500000000002</v>
      </c>
      <c r="CX123">
        <f t="shared" si="55"/>
        <v>0</v>
      </c>
      <c r="CY123">
        <f t="shared" si="56"/>
        <v>0.255202777777778</v>
      </c>
      <c r="CZ123">
        <f>IF(CY123=BO123,BP123,IF(CY123=BS123,BT123,IF(CY123=BW123,BX123,IF(CY123=CA123,CB123,IF(CY123=CE123,CF123,IF(CY123=CI123,CJ123,IF(CY123=CM123,CN123,IF(CY123=CQ123,CR123,IF(CY123=CU123,CV123,0)))))))))</f>
        <v>3</v>
      </c>
      <c r="DA123">
        <f>IF(CY123=BO123,BQ123,IF(CY123=BS123,BU123,IF(CY123=BW123,BY123,IF(CY123=CA123,CC123,IF(CY123=CE123,CG123,IF(CY123=CI123,CK123,IF(CY123=CM123,CO123,IF(CY123=CQ123,CS123,IF(CY123=CU123,CW123,0)))))))))</f>
        <v>8.6622500000000002</v>
      </c>
      <c r="DB123">
        <f t="shared" si="57"/>
        <v>0</v>
      </c>
      <c r="DC123">
        <f t="shared" si="58"/>
        <v>0.255202777777778</v>
      </c>
      <c r="DD123">
        <f>IF(DC123=BO123,BP123,IF(DC123=BS123,BT123,IF(DC123=BW123,BX123,IF(DC123=CA123,CB123,IF(DC123=CE123,CF123,IF(DC123=CI123,CJ123,IF(DC123=CM123,CN123,IF(DC123=CQ123,CR123,IF(DC123=CU123,CV123,IF(DC123=CY123,CZ123,0))))))))))</f>
        <v>3</v>
      </c>
      <c r="DE123">
        <f>IF(DC123=BO123,BQ123,IF(DC123=BS123,BU123,IF(DC123=BW123,BY123,IF(DC123=CA123,CC123,IF(DC123=CE123,CG123,IF(DC123=CI123,CK123,IF(DC123=CM123,CO123,IF(DC123=CQ123,CS123,IF(DC123=CU123,CW123,IF(DC123=CY123,DA123,0))))))))))</f>
        <v>8.6622500000000002</v>
      </c>
      <c r="DF123">
        <f t="shared" si="59"/>
        <v>0</v>
      </c>
      <c r="DG123">
        <f t="shared" si="60"/>
        <v>0.255202777777778</v>
      </c>
      <c r="DH123">
        <f>IF(DG123=BO123,BP123,IF(DG123=BS123,BT123,IF(DG123=BW123,BX123,IF(DG123=CA123,CB123,IF(DG123=CE123,CF123,IF(DG123=CI123,CJ123,IF(DG123=CM123,CN123,IF(DG123=CQ123,CR123,IF(DG123=CU123,CV123,IF(DG123=CY123,CZ123,IF(DG123=DC123,DD123,0)))))))))))</f>
        <v>3</v>
      </c>
      <c r="DI123">
        <f>IF(DG123=BO123,BQ123,IF(DG123=BS123,BU123,IF(DG123=BW123,BY123,IF(DG123=CA123,CC123,IF(DG123=CE123,CG123,IF(DG123=CI123,CK123,IF(DG123=CM123,CO123,IF(DG123=CQ123,CS123,IF(DG123=CU123,CW123,IF(DG123=CY123,DA123,IF(DG123=DC123,DE123,0)))))))))))</f>
        <v>8.6622500000000002</v>
      </c>
      <c r="DJ123">
        <f t="shared" si="61"/>
        <v>0</v>
      </c>
      <c r="DK123">
        <f t="shared" si="62"/>
        <v>0.255202777777778</v>
      </c>
      <c r="DL123">
        <f>IF(DK123=BO123,BP123,IF(DK123=BS123,BT123,IF(DK123=BW123,BX123,IF(DK123=CA123,CB123,IF(DK123=CE123,CF123,IF(DK123=CI123,CJ123,IF(DK123=CM123,CN123,IF(DK123=CQ123,CR123,IF(DK123=CU123,CV123,IF(DK123=CY123,CZ123,IF(DK123=DC123,DD123,IF(DK123=DG123,DH123,0))))))))))))</f>
        <v>3</v>
      </c>
      <c r="DM123">
        <f>IF(DK123=BO123,BQ123,IF(DK123=BS123,BU123,IF(DK123=BW123,BY123,IF(DK123=CA123,CC123,IF(DK123=CE123,CG123,IF(DK123=CI123,CK123,IF(DK123=CM123,CO123,IF(DK123=CQ123,CS123,IF(DK123=CU123,CW123,IF(DK123=CY123,DA123,IF(DK123=DC123,DE123,IF(DK123=DG123,DI123,0))))))))))))</f>
        <v>8.6622500000000002</v>
      </c>
      <c r="DN123">
        <f t="shared" si="63"/>
        <v>0</v>
      </c>
      <c r="DO123">
        <f t="shared" si="64"/>
        <v>0.255202777777778</v>
      </c>
      <c r="DP123">
        <f>IF(DO123=BO123,BP123,IF(DO123=BS123,BT123,IF(DO123=BW123,BX123,IF(DO123=CA123,CB123,IF(DO123=CE123,CF123,IF(DO123=CI123,CJ123,IF(DO123=CM123,CN123,IF(DO123=CQ123,CR123,IF(DO123=CU123,CV123,IF(DO123=CY123,CZ123,IF(DO123=DC123,DD123,IF(DO123=DG123,DH123,IF(DO123=DK123,DL123,0)))))))))))))</f>
        <v>3</v>
      </c>
      <c r="DQ123">
        <f>IF(DO123=BO123,BQ123,IF(DO123=BS123,BU123,IF(DO123=BW123,BY123,IF(DO123=CA123,CC123,IF(DO123=CE123,CG123,IF(DO123=CI123,CK123,IF(DO123=CM123,CO123,IF(DO123=CQ123,CS123,IF(DO123=CU123,CW123,IF(DO123=CY123,DA123,IF(DO123=DC123,DE123,IF(DO123=DG123,DI123,IF(DO123=DK123,DM123,0)))))))))))))</f>
        <v>8.6622500000000002</v>
      </c>
      <c r="DR123">
        <f t="shared" si="65"/>
        <v>0</v>
      </c>
      <c r="DS123">
        <f t="shared" si="66"/>
        <v>0.255202777777778</v>
      </c>
      <c r="DT123">
        <f>IF(DS123=BO123,BP123,IF(DS123=BS123,BT123,IF(DS123=BW123,BX123,IF(DS123=CA123,CB123,IF(DS123=CE123,CF123,IF(DS123=CI123,CJ123,IF(DS123=CM123,CN123,IF(DS123=CQ123,CR123,IF(DS123=CU123,CV123,IF(DS123=CY123,CZ123,IF(DS123=DC123,DD123,IF(DS123=DG123,DH123,IF(DS123=DK123,DL123,IF(DS123=DO123,DP123,0))))))))))))))</f>
        <v>3</v>
      </c>
      <c r="DU123">
        <f>IF(DS123=BO123,BQ123,IF(DS123=BS123,BU123,IF(DS123=BW123,BY123,IF(DS123=CA123,CC123,IF(DS123=CE123,CG123,IF(DS123=CI123,CK123,IF(DS123=CM123,CO123,IF(DS123=CQ123,CS123,IF(DS123=CU123,CW123,IF(DS123=CY123,DA123,IF(DS123=DC123,DE123,IF(DS123=DG123,DI123,IF(DS123=DK123,DM123,IF(DS123=DO123,DQ123,0))))))))))))))</f>
        <v>8.6622500000000002</v>
      </c>
      <c r="DV123">
        <f t="shared" si="67"/>
        <v>0</v>
      </c>
      <c r="DW123">
        <v>37501</v>
      </c>
      <c r="DX123">
        <v>2</v>
      </c>
      <c r="DY123">
        <v>30</v>
      </c>
      <c r="DZ123">
        <v>4</v>
      </c>
      <c r="EA123">
        <v>4</v>
      </c>
      <c r="EB123">
        <v>16.856907401857999</v>
      </c>
      <c r="EC123">
        <v>2</v>
      </c>
      <c r="ED123">
        <v>7.6370209999999998</v>
      </c>
      <c r="EE123">
        <v>0.255202777777778</v>
      </c>
      <c r="EF123">
        <v>8.6622500000000002</v>
      </c>
      <c r="EG123">
        <v>17.849988939837999</v>
      </c>
      <c r="EH123">
        <v>3</v>
      </c>
      <c r="EI123">
        <v>0</v>
      </c>
      <c r="EJ123">
        <v>2.2521849999999999</v>
      </c>
      <c r="EK123">
        <v>1</v>
      </c>
      <c r="EL123">
        <v>1</v>
      </c>
      <c r="EM123">
        <v>35</v>
      </c>
      <c r="EN123">
        <v>0</v>
      </c>
      <c r="EO123">
        <v>4</v>
      </c>
      <c r="EP123">
        <v>6</v>
      </c>
      <c r="EQ123">
        <v>5</v>
      </c>
      <c r="ER123">
        <v>14.1987814663817</v>
      </c>
      <c r="ES123">
        <v>11.4661470910573</v>
      </c>
      <c r="ET123">
        <v>19.103168091057299</v>
      </c>
      <c r="EU123">
        <v>7.2471369425604699</v>
      </c>
      <c r="EV123">
        <v>9.4993219425604707</v>
      </c>
      <c r="EW123">
        <v>4.7240985999999996</v>
      </c>
      <c r="EX123">
        <v>9.6179390368499202</v>
      </c>
      <c r="EY123">
        <v>14.3420376368499</v>
      </c>
      <c r="EZ123">
        <v>2.2521849999999999</v>
      </c>
      <c r="FA123">
        <v>7.2471369425604699</v>
      </c>
      <c r="FB123">
        <v>9.4993219425604707</v>
      </c>
      <c r="FC123">
        <v>2.2521849999999999</v>
      </c>
      <c r="FD123">
        <v>7.2471369425604699</v>
      </c>
      <c r="FE123">
        <v>9.4993219425604707</v>
      </c>
      <c r="FF123">
        <v>2.6319982</v>
      </c>
      <c r="FG123">
        <v>7.66481776402986</v>
      </c>
      <c r="FH123">
        <v>10.2968159640299</v>
      </c>
    </row>
    <row r="124" spans="1:164" x14ac:dyDescent="0.2">
      <c r="A124">
        <v>123</v>
      </c>
      <c r="B124">
        <v>136</v>
      </c>
      <c r="C124">
        <v>222</v>
      </c>
      <c r="D124">
        <v>2</v>
      </c>
      <c r="E124">
        <v>13</v>
      </c>
      <c r="F124" t="s">
        <v>104</v>
      </c>
      <c r="G124" t="s">
        <v>122</v>
      </c>
      <c r="H124">
        <v>3</v>
      </c>
      <c r="I124">
        <v>3</v>
      </c>
      <c r="K124" t="s">
        <v>117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2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3</v>
      </c>
      <c r="AD124">
        <v>2</v>
      </c>
      <c r="AE124">
        <v>8</v>
      </c>
      <c r="AF124">
        <v>4</v>
      </c>
      <c r="AG124">
        <v>7</v>
      </c>
      <c r="AH124">
        <v>5</v>
      </c>
      <c r="AI124">
        <v>0.28987777777777801</v>
      </c>
      <c r="AJ124">
        <v>12.136799999999999</v>
      </c>
      <c r="AK124">
        <v>0.45840277777777799</v>
      </c>
      <c r="AL124">
        <v>23.175879999999999</v>
      </c>
      <c r="AM124">
        <v>0.35251388888888902</v>
      </c>
      <c r="AN124">
        <v>20.705739999999999</v>
      </c>
      <c r="AO124">
        <v>0.348655555555556</v>
      </c>
      <c r="AP124">
        <v>18.332239999999999</v>
      </c>
      <c r="AQ124">
        <v>0.37195555555555598</v>
      </c>
      <c r="AR124">
        <v>18.660139999999998</v>
      </c>
      <c r="AS124">
        <v>0.33714166666666701</v>
      </c>
      <c r="AT124">
        <v>15.160270000000001</v>
      </c>
      <c r="AU124">
        <v>0.22090833333333301</v>
      </c>
      <c r="AV124">
        <v>8.9964999999999993</v>
      </c>
      <c r="AW124">
        <v>0.23708888888888899</v>
      </c>
      <c r="AX124">
        <v>10.373049999999999</v>
      </c>
      <c r="AY124">
        <v>0.22804722222222201</v>
      </c>
      <c r="AZ124">
        <v>10.564590000000001</v>
      </c>
      <c r="BA124">
        <v>0.213038888888889</v>
      </c>
      <c r="BB124">
        <v>9.9816199999999995</v>
      </c>
      <c r="BC124">
        <v>0.29693611111111101</v>
      </c>
      <c r="BD124">
        <v>12.423389999999999</v>
      </c>
      <c r="BE124">
        <v>0.32260555555555598</v>
      </c>
      <c r="BF124">
        <v>17.779039999999998</v>
      </c>
      <c r="BG124">
        <v>0.38647777777777798</v>
      </c>
      <c r="BH124">
        <v>21.181889999999999</v>
      </c>
      <c r="BI124">
        <v>0.430305555555556</v>
      </c>
      <c r="BJ124">
        <v>23.155809999999999</v>
      </c>
      <c r="BK124">
        <v>0.49844444444444402</v>
      </c>
      <c r="BL124">
        <v>29.97146</v>
      </c>
      <c r="BM124">
        <v>0.53995000000000004</v>
      </c>
      <c r="BN124">
        <v>31.96414</v>
      </c>
      <c r="BO124">
        <f t="shared" si="34"/>
        <v>0.213038888888889</v>
      </c>
      <c r="BP124">
        <v>9</v>
      </c>
      <c r="BQ124">
        <v>9.9816199999999995</v>
      </c>
      <c r="BR124">
        <f t="shared" si="35"/>
        <v>0</v>
      </c>
      <c r="BS124">
        <f t="shared" si="36"/>
        <v>0.213038888888889</v>
      </c>
      <c r="BT124">
        <f t="shared" si="37"/>
        <v>9</v>
      </c>
      <c r="BU124">
        <f t="shared" si="38"/>
        <v>9.9816199999999995</v>
      </c>
      <c r="BV124">
        <f t="shared" si="39"/>
        <v>0</v>
      </c>
      <c r="BW124">
        <f t="shared" si="40"/>
        <v>0.213038888888889</v>
      </c>
      <c r="BX124">
        <f t="shared" si="41"/>
        <v>9</v>
      </c>
      <c r="BY124">
        <f t="shared" si="42"/>
        <v>9.9816199999999995</v>
      </c>
      <c r="BZ124">
        <f t="shared" si="43"/>
        <v>0</v>
      </c>
      <c r="CA124">
        <f t="shared" si="44"/>
        <v>0.213038888888889</v>
      </c>
      <c r="CB124">
        <f>IF(CA124=BO124,BP124,IF(CA124=BS124,BT124,IF(CA124=BW124,BX124,0)))</f>
        <v>9</v>
      </c>
      <c r="CC124">
        <f>IF(CA124=BO124,BQ124,IF(CA124=BS124,BU124,IF(CA124=BW124,BY124,0)))</f>
        <v>9.9816199999999995</v>
      </c>
      <c r="CD124">
        <f t="shared" si="45"/>
        <v>0</v>
      </c>
      <c r="CE124">
        <f t="shared" si="46"/>
        <v>0.213038888888889</v>
      </c>
      <c r="CF124">
        <f>IF(CE124=BO124,BP124,IF(CE124=BS124,BT124,IF(CE124=BW124,BX124,IF(CE124=CA124,CB124,0))))</f>
        <v>9</v>
      </c>
      <c r="CG124">
        <f>IF(CE124=BO124,BQ124,IF(CE124=BS124,BU124,IF(CE124=BW124,BY124,IF(CE124=CA124,CC124,0))))</f>
        <v>9.9816199999999995</v>
      </c>
      <c r="CH124">
        <f t="shared" si="47"/>
        <v>0</v>
      </c>
      <c r="CI124">
        <f t="shared" si="48"/>
        <v>0.213038888888889</v>
      </c>
      <c r="CJ124">
        <f>IF(CI124=BO124,BP124,IF(CI124=BS124,BT124,IF(CI124=BW124,BX124,IF(CI124=CA124,CB124,IF(CI124=CE124,CF124,0)))))</f>
        <v>9</v>
      </c>
      <c r="CK124">
        <f>IF(CI124=BO124,BQ124,IF(CI124=BS124,BU124,IF(CI124=BW124,BY124,IF(CI124=CA124,CC124,IF(CI124=CE124,CG124,0)))))</f>
        <v>9.9816199999999995</v>
      </c>
      <c r="CL124">
        <f t="shared" si="49"/>
        <v>0</v>
      </c>
      <c r="CM124">
        <f t="shared" si="50"/>
        <v>0.213038888888889</v>
      </c>
      <c r="CN124">
        <f>IF(CM124=BO124,BP124,IF(CM124=BS124,BT124,IF(CM124=BW124,BX124,IF(CM124=CA124,CB124,IF(CM124=CE124,CF124,IF(CM124=CI124,CJ124,0))))))</f>
        <v>9</v>
      </c>
      <c r="CO124">
        <f>IF(CM124=BO124,BQ124,IF(CM124=BS124,BU124,IF(CM124=BW124,BY124,IF(CM124=CA124,CC124,IF(CM124=CE124,CG124,IF(CM124=CI124,CK124,0))))))</f>
        <v>9.9816199999999995</v>
      </c>
      <c r="CP124">
        <f t="shared" si="51"/>
        <v>0</v>
      </c>
      <c r="CQ124">
        <f t="shared" si="52"/>
        <v>0.213038888888889</v>
      </c>
      <c r="CR124">
        <f>IF(CQ124=BO124,BP124,IF(CQ124=BS124,BT124,IF(CQ124=BW124,BX124,IF(CQ124=CA124,CB124,IF(CQ124=CE124,CF124,IF(CQ124=CI124,CJ124,IF(CQ124=CM124,CN124,0)))))))</f>
        <v>9</v>
      </c>
      <c r="CS124">
        <f>IF(CQ124=BO124,BQ124,IF(CQ124=BS124,BU124,IF(CQ124=BW124,BY124,IF(CQ124=CA124,CC124,IF(CQ124=CE124,CG124,IF(CQ124=CI124,CK124,IF(CQ124=CM124,CO124,0)))))))</f>
        <v>9.9816199999999995</v>
      </c>
      <c r="CT124">
        <f t="shared" si="53"/>
        <v>0</v>
      </c>
      <c r="CU124">
        <f t="shared" si="54"/>
        <v>0.22090833333333301</v>
      </c>
      <c r="CV124">
        <v>6</v>
      </c>
      <c r="CW124">
        <v>8.9964999999999993</v>
      </c>
      <c r="CX124">
        <f t="shared" si="55"/>
        <v>0</v>
      </c>
      <c r="CY124">
        <f t="shared" si="56"/>
        <v>0.213038888888889</v>
      </c>
      <c r="CZ124">
        <f>IF(CY124=BO124,BP124,IF(CY124=BS124,BT124,IF(CY124=BW124,BX124,IF(CY124=CA124,CB124,IF(CY124=CE124,CF124,IF(CY124=CI124,CJ124,IF(CY124=CM124,CN124,IF(CY124=CQ124,CR124,IF(CY124=CU124,CV124,0)))))))))</f>
        <v>9</v>
      </c>
      <c r="DA124">
        <f>IF(CY124=BO124,BQ124,IF(CY124=BS124,BU124,IF(CY124=BW124,BY124,IF(CY124=CA124,CC124,IF(CY124=CE124,CG124,IF(CY124=CI124,CK124,IF(CY124=CM124,CO124,IF(CY124=CQ124,CS124,IF(CY124=CU124,CW124,0)))))))))</f>
        <v>9.9816199999999995</v>
      </c>
      <c r="DB124">
        <f t="shared" si="57"/>
        <v>0</v>
      </c>
      <c r="DC124">
        <f t="shared" si="58"/>
        <v>0.213038888888889</v>
      </c>
      <c r="DD124">
        <f>IF(DC124=BO124,BP124,IF(DC124=BS124,BT124,IF(DC124=BW124,BX124,IF(DC124=CA124,CB124,IF(DC124=CE124,CF124,IF(DC124=CI124,CJ124,IF(DC124=CM124,CN124,IF(DC124=CQ124,CR124,IF(DC124=CU124,CV124,IF(DC124=CY124,CZ124,0))))))))))</f>
        <v>9</v>
      </c>
      <c r="DE124">
        <f>IF(DC124=BO124,BQ124,IF(DC124=BS124,BU124,IF(DC124=BW124,BY124,IF(DC124=CA124,CC124,IF(DC124=CE124,CG124,IF(DC124=CI124,CK124,IF(DC124=CM124,CO124,IF(DC124=CQ124,CS124,IF(DC124=CU124,CW124,IF(DC124=CY124,DA124,0))))))))))</f>
        <v>9.9816199999999995</v>
      </c>
      <c r="DF124">
        <f t="shared" si="59"/>
        <v>0</v>
      </c>
      <c r="DG124">
        <f t="shared" si="60"/>
        <v>0.213038888888889</v>
      </c>
      <c r="DH124">
        <f>IF(DG124=BO124,BP124,IF(DG124=BS124,BT124,IF(DG124=BW124,BX124,IF(DG124=CA124,CB124,IF(DG124=CE124,CF124,IF(DG124=CI124,CJ124,IF(DG124=CM124,CN124,IF(DG124=CQ124,CR124,IF(DG124=CU124,CV124,IF(DG124=CY124,CZ124,IF(DG124=DC124,DD124,0)))))))))))</f>
        <v>9</v>
      </c>
      <c r="DI124">
        <f>IF(DG124=BO124,BQ124,IF(DG124=BS124,BU124,IF(DG124=BW124,BY124,IF(DG124=CA124,CC124,IF(DG124=CE124,CG124,IF(DG124=CI124,CK124,IF(DG124=CM124,CO124,IF(DG124=CQ124,CS124,IF(DG124=CU124,CW124,IF(DG124=CY124,DA124,IF(DG124=DC124,DE124,0)))))))))))</f>
        <v>9.9816199999999995</v>
      </c>
      <c r="DJ124">
        <f t="shared" si="61"/>
        <v>0</v>
      </c>
      <c r="DK124">
        <f t="shared" si="62"/>
        <v>0.213038888888889</v>
      </c>
      <c r="DL124">
        <f>IF(DK124=BO124,BP124,IF(DK124=BS124,BT124,IF(DK124=BW124,BX124,IF(DK124=CA124,CB124,IF(DK124=CE124,CF124,IF(DK124=CI124,CJ124,IF(DK124=CM124,CN124,IF(DK124=CQ124,CR124,IF(DK124=CU124,CV124,IF(DK124=CY124,CZ124,IF(DK124=DC124,DD124,IF(DK124=DG124,DH124,0))))))))))))</f>
        <v>9</v>
      </c>
      <c r="DM124">
        <f>IF(DK124=BO124,BQ124,IF(DK124=BS124,BU124,IF(DK124=BW124,BY124,IF(DK124=CA124,CC124,IF(DK124=CE124,CG124,IF(DK124=CI124,CK124,IF(DK124=CM124,CO124,IF(DK124=CQ124,CS124,IF(DK124=CU124,CW124,IF(DK124=CY124,DA124,IF(DK124=DC124,DE124,IF(DK124=DG124,DI124,0))))))))))))</f>
        <v>9.9816199999999995</v>
      </c>
      <c r="DN124">
        <f t="shared" si="63"/>
        <v>0</v>
      </c>
      <c r="DO124">
        <f t="shared" si="64"/>
        <v>0.213038888888889</v>
      </c>
      <c r="DP124">
        <f>IF(DO124=BO124,BP124,IF(DO124=BS124,BT124,IF(DO124=BW124,BX124,IF(DO124=CA124,CB124,IF(DO124=CE124,CF124,IF(DO124=CI124,CJ124,IF(DO124=CM124,CN124,IF(DO124=CQ124,CR124,IF(DO124=CU124,CV124,IF(DO124=CY124,CZ124,IF(DO124=DC124,DD124,IF(DO124=DG124,DH124,IF(DO124=DK124,DL124,0)))))))))))))</f>
        <v>9</v>
      </c>
      <c r="DQ124">
        <f>IF(DO124=BO124,BQ124,IF(DO124=BS124,BU124,IF(DO124=BW124,BY124,IF(DO124=CA124,CC124,IF(DO124=CE124,CG124,IF(DO124=CI124,CK124,IF(DO124=CM124,CO124,IF(DO124=CQ124,CS124,IF(DO124=CU124,CW124,IF(DO124=CY124,DA124,IF(DO124=DC124,DE124,IF(DO124=DG124,DI124,IF(DO124=DK124,DM124,0)))))))))))))</f>
        <v>9.9816199999999995</v>
      </c>
      <c r="DR124">
        <f t="shared" si="65"/>
        <v>0</v>
      </c>
      <c r="DS124">
        <f t="shared" si="66"/>
        <v>0.213038888888889</v>
      </c>
      <c r="DT124">
        <f>IF(DS124=BO124,BP124,IF(DS124=BS124,BT124,IF(DS124=BW124,BX124,IF(DS124=CA124,CB124,IF(DS124=CE124,CF124,IF(DS124=CI124,CJ124,IF(DS124=CM124,CN124,IF(DS124=CQ124,CR124,IF(DS124=CU124,CV124,IF(DS124=CY124,CZ124,IF(DS124=DC124,DD124,IF(DS124=DG124,DH124,IF(DS124=DK124,DL124,IF(DS124=DO124,DP124,0))))))))))))))</f>
        <v>9</v>
      </c>
      <c r="DU124">
        <f>IF(DS124=BO124,BQ124,IF(DS124=BS124,BU124,IF(DS124=BW124,BY124,IF(DS124=CA124,CC124,IF(DS124=CE124,CG124,IF(DS124=CI124,CK124,IF(DS124=CM124,CO124,IF(DS124=CQ124,CS124,IF(DS124=CU124,CW124,IF(DS124=CY124,DA124,IF(DS124=DC124,DE124,IF(DS124=DG124,DI124,IF(DS124=DK124,DM124,IF(DS124=DO124,DQ124,0))))))))))))))</f>
        <v>9.9816199999999995</v>
      </c>
      <c r="DV124">
        <f t="shared" si="67"/>
        <v>0</v>
      </c>
      <c r="DW124">
        <v>37501</v>
      </c>
      <c r="DX124">
        <v>3</v>
      </c>
      <c r="DY124">
        <v>30</v>
      </c>
      <c r="DZ124">
        <v>4</v>
      </c>
      <c r="EA124">
        <v>4</v>
      </c>
      <c r="EB124">
        <v>16.856907401857999</v>
      </c>
      <c r="EC124">
        <v>1.3333333333333299</v>
      </c>
      <c r="ED124">
        <v>3.4370453333333302</v>
      </c>
      <c r="EE124">
        <v>0.213038888888889</v>
      </c>
      <c r="EF124">
        <v>9.9816199999999995</v>
      </c>
      <c r="EG124">
        <v>11.941164944228699</v>
      </c>
      <c r="EH124">
        <v>9</v>
      </c>
      <c r="EI124">
        <v>0</v>
      </c>
      <c r="EJ124">
        <v>1.7301474666666701</v>
      </c>
      <c r="EK124">
        <v>1</v>
      </c>
      <c r="EL124">
        <v>1</v>
      </c>
      <c r="EM124">
        <v>32</v>
      </c>
      <c r="EN124">
        <v>0</v>
      </c>
      <c r="EO124">
        <v>3</v>
      </c>
      <c r="EP124">
        <v>5</v>
      </c>
      <c r="EQ124">
        <v>4</v>
      </c>
      <c r="ER124">
        <v>14.1987814663817</v>
      </c>
      <c r="ES124">
        <v>8.2318224372540403</v>
      </c>
      <c r="ET124">
        <v>11.668867770587401</v>
      </c>
      <c r="EU124">
        <v>6.04978525434821</v>
      </c>
      <c r="EV124">
        <v>7.7799327210148697</v>
      </c>
      <c r="EW124">
        <v>1.8311956</v>
      </c>
      <c r="EX124">
        <v>6.4759853446974196</v>
      </c>
      <c r="EY124">
        <v>8.3071809446974196</v>
      </c>
      <c r="EZ124">
        <v>1.7301474666666701</v>
      </c>
      <c r="FA124">
        <v>6.04978525434821</v>
      </c>
      <c r="FB124">
        <v>7.7799327210148697</v>
      </c>
      <c r="FC124">
        <v>3.1775882666666702</v>
      </c>
      <c r="FD124">
        <v>9.9009680807464697</v>
      </c>
      <c r="FE124">
        <v>13.0785563474131</v>
      </c>
      <c r="FF124">
        <v>1.7301474666666701</v>
      </c>
      <c r="FG124">
        <v>6.04978525434821</v>
      </c>
      <c r="FH124">
        <v>7.7799327210148697</v>
      </c>
    </row>
    <row r="125" spans="1:164" x14ac:dyDescent="0.2">
      <c r="A125">
        <v>124</v>
      </c>
      <c r="B125">
        <v>137</v>
      </c>
      <c r="C125">
        <v>223</v>
      </c>
      <c r="D125">
        <v>2</v>
      </c>
      <c r="E125">
        <v>13</v>
      </c>
      <c r="F125" t="s">
        <v>187</v>
      </c>
      <c r="G125" t="s">
        <v>304</v>
      </c>
      <c r="H125">
        <v>3</v>
      </c>
      <c r="I125">
        <v>7</v>
      </c>
      <c r="J125" t="s">
        <v>330</v>
      </c>
      <c r="K125" t="s">
        <v>333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1</v>
      </c>
      <c r="AE125">
        <v>4</v>
      </c>
      <c r="AF125">
        <v>2</v>
      </c>
      <c r="AG125">
        <v>5</v>
      </c>
      <c r="AH125">
        <v>5</v>
      </c>
      <c r="AI125">
        <v>0.134622222222222</v>
      </c>
      <c r="AJ125">
        <v>4.4019700000000004</v>
      </c>
      <c r="AK125">
        <v>0.37332500000000002</v>
      </c>
      <c r="AL125">
        <v>21.076830000000001</v>
      </c>
      <c r="AM125">
        <v>0.26743611111111099</v>
      </c>
      <c r="AN125">
        <v>18.606680000000001</v>
      </c>
      <c r="AO125">
        <v>0.26357777777777802</v>
      </c>
      <c r="AP125">
        <v>16.23319</v>
      </c>
      <c r="AQ125">
        <v>0.28687777777777801</v>
      </c>
      <c r="AR125">
        <v>16.56108</v>
      </c>
      <c r="AS125">
        <v>0.25206388888888898</v>
      </c>
      <c r="AT125">
        <v>13.06122</v>
      </c>
      <c r="AU125">
        <v>0.15140833333333301</v>
      </c>
      <c r="AV125">
        <v>7.5256800000000004</v>
      </c>
      <c r="AW125">
        <v>0.123422222222222</v>
      </c>
      <c r="AX125">
        <v>5.0620700000000003</v>
      </c>
      <c r="AY125">
        <v>7.2791666666666699E-2</v>
      </c>
      <c r="AZ125">
        <v>2.8297699999999999</v>
      </c>
      <c r="BA125">
        <v>5.7783333333333298E-2</v>
      </c>
      <c r="BB125">
        <v>2.2467899999999998</v>
      </c>
      <c r="BC125">
        <v>0.141680555555556</v>
      </c>
      <c r="BD125">
        <v>4.6885599999999998</v>
      </c>
      <c r="BE125">
        <v>0.16735</v>
      </c>
      <c r="BF125">
        <v>10.044219999999999</v>
      </c>
      <c r="BG125">
        <v>0.231222222222222</v>
      </c>
      <c r="BH125">
        <v>13.44707</v>
      </c>
      <c r="BI125">
        <v>0.27505000000000002</v>
      </c>
      <c r="BJ125">
        <v>15.42098</v>
      </c>
      <c r="BK125">
        <v>0.34318888888888899</v>
      </c>
      <c r="BL125">
        <v>22.236630000000002</v>
      </c>
      <c r="BM125">
        <v>0.38469444444444401</v>
      </c>
      <c r="BN125">
        <v>24.229310000000002</v>
      </c>
      <c r="BO125">
        <f t="shared" si="34"/>
        <v>5.7783333333333298E-2</v>
      </c>
      <c r="BP125">
        <v>9</v>
      </c>
      <c r="BQ125">
        <v>2.2467899999999998</v>
      </c>
      <c r="BR125">
        <f t="shared" si="35"/>
        <v>0</v>
      </c>
      <c r="BS125">
        <f t="shared" si="36"/>
        <v>5.7783333333333298E-2</v>
      </c>
      <c r="BT125">
        <f t="shared" si="37"/>
        <v>9</v>
      </c>
      <c r="BU125">
        <f t="shared" si="38"/>
        <v>2.2467899999999998</v>
      </c>
      <c r="BV125">
        <f t="shared" si="39"/>
        <v>0</v>
      </c>
      <c r="BW125">
        <f t="shared" si="40"/>
        <v>5.7783333333333298E-2</v>
      </c>
      <c r="BX125">
        <f t="shared" si="41"/>
        <v>9</v>
      </c>
      <c r="BY125">
        <f t="shared" si="42"/>
        <v>2.2467899999999998</v>
      </c>
      <c r="BZ125">
        <f t="shared" si="43"/>
        <v>0</v>
      </c>
      <c r="CA125">
        <f t="shared" si="44"/>
        <v>5.7783333333333298E-2</v>
      </c>
      <c r="CB125">
        <f>IF(CA125=BO125,BP125,IF(CA125=BS125,BT125,IF(CA125=BW125,BX125,0)))</f>
        <v>9</v>
      </c>
      <c r="CC125">
        <f>IF(CA125=BO125,BQ125,IF(CA125=BS125,BU125,IF(CA125=BW125,BY125,0)))</f>
        <v>2.2467899999999998</v>
      </c>
      <c r="CD125">
        <f t="shared" si="45"/>
        <v>0</v>
      </c>
      <c r="CE125">
        <f t="shared" si="46"/>
        <v>5.7783333333333298E-2</v>
      </c>
      <c r="CF125">
        <f>IF(CE125=BO125,BP125,IF(CE125=BS125,BT125,IF(CE125=BW125,BX125,IF(CE125=CA125,CB125,0))))</f>
        <v>9</v>
      </c>
      <c r="CG125">
        <f>IF(CE125=BO125,BQ125,IF(CE125=BS125,BU125,IF(CE125=BW125,BY125,IF(CE125=CA125,CC125,0))))</f>
        <v>2.2467899999999998</v>
      </c>
      <c r="CH125">
        <f t="shared" si="47"/>
        <v>0</v>
      </c>
      <c r="CI125">
        <f t="shared" si="48"/>
        <v>5.7783333333333298E-2</v>
      </c>
      <c r="CJ125">
        <f>IF(CI125=BO125,BP125,IF(CI125=BS125,BT125,IF(CI125=BW125,BX125,IF(CI125=CA125,CB125,IF(CI125=CE125,CF125,0)))))</f>
        <v>9</v>
      </c>
      <c r="CK125">
        <f>IF(CI125=BO125,BQ125,IF(CI125=BS125,BU125,IF(CI125=BW125,BY125,IF(CI125=CA125,CC125,IF(CI125=CE125,CG125,0)))))</f>
        <v>2.2467899999999998</v>
      </c>
      <c r="CL125">
        <f t="shared" si="49"/>
        <v>0</v>
      </c>
      <c r="CM125">
        <f t="shared" si="50"/>
        <v>5.7783333333333298E-2</v>
      </c>
      <c r="CN125">
        <f>IF(CM125=BO125,BP125,IF(CM125=BS125,BT125,IF(CM125=BW125,BX125,IF(CM125=CA125,CB125,IF(CM125=CE125,CF125,IF(CM125=CI125,CJ125,0))))))</f>
        <v>9</v>
      </c>
      <c r="CO125">
        <f>IF(CM125=BO125,BQ125,IF(CM125=BS125,BU125,IF(CM125=BW125,BY125,IF(CM125=CA125,CC125,IF(CM125=CE125,CG125,IF(CM125=CI125,CK125,0))))))</f>
        <v>2.2467899999999998</v>
      </c>
      <c r="CP125">
        <f t="shared" si="51"/>
        <v>0</v>
      </c>
      <c r="CQ125">
        <f t="shared" si="52"/>
        <v>5.7783333333333298E-2</v>
      </c>
      <c r="CR125">
        <f>IF(CQ125=BO125,BP125,IF(CQ125=BS125,BT125,IF(CQ125=BW125,BX125,IF(CQ125=CA125,CB125,IF(CQ125=CE125,CF125,IF(CQ125=CI125,CJ125,IF(CQ125=CM125,CN125,0)))))))</f>
        <v>9</v>
      </c>
      <c r="CS125">
        <f>IF(CQ125=BO125,BQ125,IF(CQ125=BS125,BU125,IF(CQ125=BW125,BY125,IF(CQ125=CA125,CC125,IF(CQ125=CE125,CG125,IF(CQ125=CI125,CK125,IF(CQ125=CM125,CO125,0)))))))</f>
        <v>2.2467899999999998</v>
      </c>
      <c r="CT125">
        <f t="shared" si="53"/>
        <v>0</v>
      </c>
      <c r="CU125">
        <f t="shared" si="54"/>
        <v>7.2791666666666699E-2</v>
      </c>
      <c r="CV125">
        <v>8</v>
      </c>
      <c r="CW125">
        <v>2.8297699999999999</v>
      </c>
      <c r="CX125">
        <f t="shared" si="55"/>
        <v>0</v>
      </c>
      <c r="CY125">
        <f t="shared" si="56"/>
        <v>5.7783333333333298E-2</v>
      </c>
      <c r="CZ125">
        <f>IF(CY125=BO125,BP125,IF(CY125=BS125,BT125,IF(CY125=BW125,BX125,IF(CY125=CA125,CB125,IF(CY125=CE125,CF125,IF(CY125=CI125,CJ125,IF(CY125=CM125,CN125,IF(CY125=CQ125,CR125,IF(CY125=CU125,CV125,0)))))))))</f>
        <v>9</v>
      </c>
      <c r="DA125">
        <f>IF(CY125=BO125,BQ125,IF(CY125=BS125,BU125,IF(CY125=BW125,BY125,IF(CY125=CA125,CC125,IF(CY125=CE125,CG125,IF(CY125=CI125,CK125,IF(CY125=CM125,CO125,IF(CY125=CQ125,CS125,IF(CY125=CU125,CW125,0)))))))))</f>
        <v>2.2467899999999998</v>
      </c>
      <c r="DB125">
        <f t="shared" si="57"/>
        <v>0</v>
      </c>
      <c r="DC125">
        <f t="shared" si="58"/>
        <v>5.7783333333333298E-2</v>
      </c>
      <c r="DD125">
        <f>IF(DC125=BO125,BP125,IF(DC125=BS125,BT125,IF(DC125=BW125,BX125,IF(DC125=CA125,CB125,IF(DC125=CE125,CF125,IF(DC125=CI125,CJ125,IF(DC125=CM125,CN125,IF(DC125=CQ125,CR125,IF(DC125=CU125,CV125,IF(DC125=CY125,CZ125,0))))))))))</f>
        <v>9</v>
      </c>
      <c r="DE125">
        <f>IF(DC125=BO125,BQ125,IF(DC125=BS125,BU125,IF(DC125=BW125,BY125,IF(DC125=CA125,CC125,IF(DC125=CE125,CG125,IF(DC125=CI125,CK125,IF(DC125=CM125,CO125,IF(DC125=CQ125,CS125,IF(DC125=CU125,CW125,IF(DC125=CY125,DA125,0))))))))))</f>
        <v>2.2467899999999998</v>
      </c>
      <c r="DF125">
        <f t="shared" si="59"/>
        <v>0</v>
      </c>
      <c r="DG125">
        <f t="shared" si="60"/>
        <v>5.7783333333333298E-2</v>
      </c>
      <c r="DH125">
        <f>IF(DG125=BO125,BP125,IF(DG125=BS125,BT125,IF(DG125=BW125,BX125,IF(DG125=CA125,CB125,IF(DG125=CE125,CF125,IF(DG125=CI125,CJ125,IF(DG125=CM125,CN125,IF(DG125=CQ125,CR125,IF(DG125=CU125,CV125,IF(DG125=CY125,CZ125,IF(DG125=DC125,DD125,0)))))))))))</f>
        <v>9</v>
      </c>
      <c r="DI125">
        <f>IF(DG125=BO125,BQ125,IF(DG125=BS125,BU125,IF(DG125=BW125,BY125,IF(DG125=CA125,CC125,IF(DG125=CE125,CG125,IF(DG125=CI125,CK125,IF(DG125=CM125,CO125,IF(DG125=CQ125,CS125,IF(DG125=CU125,CW125,IF(DG125=CY125,DA125,IF(DG125=DC125,DE125,0)))))))))))</f>
        <v>2.2467899999999998</v>
      </c>
      <c r="DJ125">
        <f t="shared" si="61"/>
        <v>0</v>
      </c>
      <c r="DK125">
        <f t="shared" si="62"/>
        <v>5.7783333333333298E-2</v>
      </c>
      <c r="DL125">
        <f>IF(DK125=BO125,BP125,IF(DK125=BS125,BT125,IF(DK125=BW125,BX125,IF(DK125=CA125,CB125,IF(DK125=CE125,CF125,IF(DK125=CI125,CJ125,IF(DK125=CM125,CN125,IF(DK125=CQ125,CR125,IF(DK125=CU125,CV125,IF(DK125=CY125,CZ125,IF(DK125=DC125,DD125,IF(DK125=DG125,DH125,0))))))))))))</f>
        <v>9</v>
      </c>
      <c r="DM125">
        <f>IF(DK125=BO125,BQ125,IF(DK125=BS125,BU125,IF(DK125=BW125,BY125,IF(DK125=CA125,CC125,IF(DK125=CE125,CG125,IF(DK125=CI125,CK125,IF(DK125=CM125,CO125,IF(DK125=CQ125,CS125,IF(DK125=CU125,CW125,IF(DK125=CY125,DA125,IF(DK125=DC125,DE125,IF(DK125=DG125,DI125,0))))))))))))</f>
        <v>2.2467899999999998</v>
      </c>
      <c r="DN125">
        <f t="shared" si="63"/>
        <v>0</v>
      </c>
      <c r="DO125">
        <f t="shared" si="64"/>
        <v>5.7783333333333298E-2</v>
      </c>
      <c r="DP125">
        <f>IF(DO125=BO125,BP125,IF(DO125=BS125,BT125,IF(DO125=BW125,BX125,IF(DO125=CA125,CB125,IF(DO125=CE125,CF125,IF(DO125=CI125,CJ125,IF(DO125=CM125,CN125,IF(DO125=CQ125,CR125,IF(DO125=CU125,CV125,IF(DO125=CY125,CZ125,IF(DO125=DC125,DD125,IF(DO125=DG125,DH125,IF(DO125=DK125,DL125,0)))))))))))))</f>
        <v>9</v>
      </c>
      <c r="DQ125">
        <f>IF(DO125=BO125,BQ125,IF(DO125=BS125,BU125,IF(DO125=BW125,BY125,IF(DO125=CA125,CC125,IF(DO125=CE125,CG125,IF(DO125=CI125,CK125,IF(DO125=CM125,CO125,IF(DO125=CQ125,CS125,IF(DO125=CU125,CW125,IF(DO125=CY125,DA125,IF(DO125=DC125,DE125,IF(DO125=DG125,DI125,IF(DO125=DK125,DM125,0)))))))))))))</f>
        <v>2.2467899999999998</v>
      </c>
      <c r="DR125">
        <f t="shared" si="65"/>
        <v>0</v>
      </c>
      <c r="DS125">
        <f t="shared" si="66"/>
        <v>5.7783333333333298E-2</v>
      </c>
      <c r="DT125">
        <f>IF(DS125=BO125,BP125,IF(DS125=BS125,BT125,IF(DS125=BW125,BX125,IF(DS125=CA125,CB125,IF(DS125=CE125,CF125,IF(DS125=CI125,CJ125,IF(DS125=CM125,CN125,IF(DS125=CQ125,CR125,IF(DS125=CU125,CV125,IF(DS125=CY125,CZ125,IF(DS125=DC125,DD125,IF(DS125=DG125,DH125,IF(DS125=DK125,DL125,IF(DS125=DO125,DP125,0))))))))))))))</f>
        <v>9</v>
      </c>
      <c r="DU125">
        <f>IF(DS125=BO125,BQ125,IF(DS125=BS125,BU125,IF(DS125=BW125,BY125,IF(DS125=CA125,CC125,IF(DS125=CE125,CG125,IF(DS125=CI125,CK125,IF(DS125=CM125,CO125,IF(DS125=CQ125,CS125,IF(DS125=CU125,CW125,IF(DS125=CY125,DA125,IF(DS125=DC125,DE125,IF(DS125=DG125,DI125,IF(DS125=DK125,DM125,IF(DS125=DO125,DQ125,0))))))))))))))</f>
        <v>2.2467899999999998</v>
      </c>
      <c r="DV125">
        <f t="shared" si="67"/>
        <v>0</v>
      </c>
      <c r="DW125">
        <v>31226.480769230799</v>
      </c>
      <c r="DX125">
        <v>2</v>
      </c>
      <c r="DY125">
        <v>30</v>
      </c>
      <c r="DZ125">
        <v>4</v>
      </c>
      <c r="EA125">
        <v>4</v>
      </c>
      <c r="EB125">
        <v>14.0364762223093</v>
      </c>
      <c r="EC125">
        <v>2</v>
      </c>
      <c r="ED125">
        <v>3.1445121999999999</v>
      </c>
      <c r="EE125">
        <v>5.7783333333333298E-2</v>
      </c>
      <c r="EF125">
        <v>2.2467899999999998</v>
      </c>
      <c r="EG125">
        <v>6.2334906695414398</v>
      </c>
      <c r="EH125">
        <v>9</v>
      </c>
      <c r="EI125">
        <v>0</v>
      </c>
      <c r="EJ125">
        <v>0.58416539999999995</v>
      </c>
      <c r="EK125">
        <v>1</v>
      </c>
      <c r="EL125">
        <v>0</v>
      </c>
      <c r="EM125">
        <v>52</v>
      </c>
      <c r="EN125">
        <v>0</v>
      </c>
      <c r="EO125">
        <v>3</v>
      </c>
      <c r="EP125">
        <v>5</v>
      </c>
      <c r="EQ125">
        <v>2</v>
      </c>
      <c r="ER125">
        <v>14.1987814663817</v>
      </c>
      <c r="ES125">
        <v>3.822943027704</v>
      </c>
      <c r="ET125">
        <v>6.9674552277039998</v>
      </c>
      <c r="EU125">
        <v>1.6409058447981799</v>
      </c>
      <c r="EV125">
        <v>2.22507124479817</v>
      </c>
      <c r="EW125">
        <v>0.73574019999999996</v>
      </c>
      <c r="EX125">
        <v>2.0671059351474002</v>
      </c>
      <c r="EY125">
        <v>2.8028461351474001</v>
      </c>
      <c r="EZ125">
        <v>0.58416539999999995</v>
      </c>
      <c r="FA125">
        <v>1.6409058447981799</v>
      </c>
      <c r="FB125">
        <v>2.22507124479817</v>
      </c>
      <c r="FC125">
        <v>4.2206294</v>
      </c>
      <c r="FD125">
        <v>7.4849665321223702</v>
      </c>
      <c r="FE125">
        <v>11.705595932122399</v>
      </c>
      <c r="FF125">
        <v>0.58416539999999995</v>
      </c>
      <c r="FG125">
        <v>1.6409058447981799</v>
      </c>
      <c r="FH125">
        <v>2.22507124479817</v>
      </c>
    </row>
    <row r="126" spans="1:164" x14ac:dyDescent="0.2">
      <c r="A126">
        <v>125</v>
      </c>
      <c r="B126">
        <v>138</v>
      </c>
      <c r="C126">
        <v>226</v>
      </c>
      <c r="D126">
        <v>2</v>
      </c>
      <c r="E126">
        <v>13</v>
      </c>
      <c r="F126" t="s">
        <v>334</v>
      </c>
      <c r="G126" t="s">
        <v>122</v>
      </c>
      <c r="H126">
        <v>3</v>
      </c>
      <c r="I126">
        <v>7</v>
      </c>
      <c r="J126" t="s">
        <v>335</v>
      </c>
      <c r="K126" t="s">
        <v>336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6</v>
      </c>
      <c r="AE126">
        <v>8</v>
      </c>
      <c r="AF126">
        <v>4</v>
      </c>
      <c r="AG126">
        <v>7</v>
      </c>
      <c r="AH126">
        <v>6</v>
      </c>
      <c r="AI126">
        <v>0.21168055555555601</v>
      </c>
      <c r="AJ126">
        <v>10.797169999999999</v>
      </c>
      <c r="AK126">
        <v>0.48901944444444401</v>
      </c>
      <c r="AL126">
        <v>31.444330000000001</v>
      </c>
      <c r="AM126">
        <v>0.38313055555555597</v>
      </c>
      <c r="AN126">
        <v>28.97419</v>
      </c>
      <c r="AO126">
        <v>0.37927222222222201</v>
      </c>
      <c r="AP126">
        <v>26.60069</v>
      </c>
      <c r="AQ126">
        <v>0.402572222222222</v>
      </c>
      <c r="AR126">
        <v>26.92858</v>
      </c>
      <c r="AS126">
        <v>0.36775833333333302</v>
      </c>
      <c r="AT126">
        <v>23.428719999999998</v>
      </c>
      <c r="AU126">
        <v>0.26710277777777802</v>
      </c>
      <c r="AV126">
        <v>17.893180000000001</v>
      </c>
      <c r="AW126">
        <v>0.242377777777778</v>
      </c>
      <c r="AX126">
        <v>15.867010000000001</v>
      </c>
      <c r="AY126">
        <v>0.231866666666667</v>
      </c>
      <c r="AZ126">
        <v>14.310589999999999</v>
      </c>
      <c r="BA126">
        <v>0.21685833333333299</v>
      </c>
      <c r="BB126">
        <v>13.72762</v>
      </c>
      <c r="BC126">
        <v>0.22331388888888901</v>
      </c>
      <c r="BD126">
        <v>11.272880000000001</v>
      </c>
      <c r="BE126">
        <v>6.4933333333333301E-2</v>
      </c>
      <c r="BF126">
        <v>2.7481599999999999</v>
      </c>
      <c r="BG126">
        <v>0.12880555555555601</v>
      </c>
      <c r="BH126">
        <v>6.1510100000000003</v>
      </c>
      <c r="BI126">
        <v>0.172633333333333</v>
      </c>
      <c r="BJ126">
        <v>8.1249199999999995</v>
      </c>
      <c r="BK126">
        <v>0.25031111111111098</v>
      </c>
      <c r="BL126">
        <v>11.787419999999999</v>
      </c>
      <c r="BM126">
        <v>0.29181388888888898</v>
      </c>
      <c r="BN126">
        <v>13.78009</v>
      </c>
      <c r="BO126">
        <f t="shared" si="34"/>
        <v>6.4933333333333301E-2</v>
      </c>
      <c r="BP126">
        <v>14</v>
      </c>
      <c r="BQ126">
        <v>2.7481599999999999</v>
      </c>
      <c r="BR126">
        <f t="shared" si="35"/>
        <v>0</v>
      </c>
      <c r="BS126">
        <f t="shared" si="36"/>
        <v>6.4933333333333301E-2</v>
      </c>
      <c r="BT126">
        <f t="shared" si="37"/>
        <v>14</v>
      </c>
      <c r="BU126">
        <f t="shared" si="38"/>
        <v>2.7481599999999999</v>
      </c>
      <c r="BV126">
        <f t="shared" si="39"/>
        <v>0</v>
      </c>
      <c r="BW126">
        <f t="shared" si="40"/>
        <v>6.4933333333333301E-2</v>
      </c>
      <c r="BX126">
        <f t="shared" si="41"/>
        <v>14</v>
      </c>
      <c r="BY126">
        <f t="shared" si="42"/>
        <v>2.7481599999999999</v>
      </c>
      <c r="BZ126">
        <f t="shared" si="43"/>
        <v>0</v>
      </c>
      <c r="CA126">
        <f t="shared" si="44"/>
        <v>6.4933333333333301E-2</v>
      </c>
      <c r="CB126">
        <f>IF(CA126=BO126,BP126,IF(CA126=BS126,BT126,IF(CA126=BW126,BX126,0)))</f>
        <v>14</v>
      </c>
      <c r="CC126">
        <f>IF(CA126=BO126,BQ126,IF(CA126=BS126,BU126,IF(CA126=BW126,BY126,0)))</f>
        <v>2.7481599999999999</v>
      </c>
      <c r="CD126">
        <f t="shared" si="45"/>
        <v>0</v>
      </c>
      <c r="CE126">
        <f t="shared" si="46"/>
        <v>6.4933333333333301E-2</v>
      </c>
      <c r="CF126">
        <f>IF(CE126=BO126,BP126,IF(CE126=BS126,BT126,IF(CE126=BW126,BX126,IF(CE126=CA126,CB126,0))))</f>
        <v>14</v>
      </c>
      <c r="CG126">
        <f>IF(CE126=BO126,BQ126,IF(CE126=BS126,BU126,IF(CE126=BW126,BY126,IF(CE126=CA126,CC126,0))))</f>
        <v>2.7481599999999999</v>
      </c>
      <c r="CH126">
        <f t="shared" si="47"/>
        <v>0</v>
      </c>
      <c r="CI126">
        <f t="shared" si="48"/>
        <v>6.4933333333333301E-2</v>
      </c>
      <c r="CJ126">
        <f>IF(CI126=BO126,BP126,IF(CI126=BS126,BT126,IF(CI126=BW126,BX126,IF(CI126=CA126,CB126,IF(CI126=CE126,CF126,0)))))</f>
        <v>14</v>
      </c>
      <c r="CK126">
        <f>IF(CI126=BO126,BQ126,IF(CI126=BS126,BU126,IF(CI126=BW126,BY126,IF(CI126=CA126,CC126,IF(CI126=CE126,CG126,0)))))</f>
        <v>2.7481599999999999</v>
      </c>
      <c r="CL126">
        <f t="shared" si="49"/>
        <v>0</v>
      </c>
      <c r="CM126">
        <f t="shared" si="50"/>
        <v>6.4933333333333301E-2</v>
      </c>
      <c r="CN126">
        <f>IF(CM126=BO126,BP126,IF(CM126=BS126,BT126,IF(CM126=BW126,BX126,IF(CM126=CA126,CB126,IF(CM126=CE126,CF126,IF(CM126=CI126,CJ126,0))))))</f>
        <v>14</v>
      </c>
      <c r="CO126">
        <f>IF(CM126=BO126,BQ126,IF(CM126=BS126,BU126,IF(CM126=BW126,BY126,IF(CM126=CA126,CC126,IF(CM126=CE126,CG126,IF(CM126=CI126,CK126,0))))))</f>
        <v>2.7481599999999999</v>
      </c>
      <c r="CP126">
        <f t="shared" si="51"/>
        <v>0</v>
      </c>
      <c r="CQ126">
        <f t="shared" si="52"/>
        <v>6.4933333333333301E-2</v>
      </c>
      <c r="CR126">
        <f>IF(CQ126=BO126,BP126,IF(CQ126=BS126,BT126,IF(CQ126=BW126,BX126,IF(CQ126=CA126,CB126,IF(CQ126=CE126,CF126,IF(CQ126=CI126,CJ126,IF(CQ126=CM126,CN126,0)))))))</f>
        <v>14</v>
      </c>
      <c r="CS126">
        <f>IF(CQ126=BO126,BQ126,IF(CQ126=BS126,BU126,IF(CQ126=BW126,BY126,IF(CQ126=CA126,CC126,IF(CQ126=CE126,CG126,IF(CQ126=CI126,CK126,IF(CQ126=CM126,CO126,0)))))))</f>
        <v>2.7481599999999999</v>
      </c>
      <c r="CT126">
        <f t="shared" si="53"/>
        <v>0</v>
      </c>
      <c r="CU126">
        <f t="shared" si="54"/>
        <v>6.4933333333333301E-2</v>
      </c>
      <c r="CV126">
        <f>IF(CU126=BO126,BP126,IF(CU126=BS126,BT126,IF(CU126=BW126,BX126,IF(CU126=CA126,CB126,IF(CU126=CE126,CF126,IF(CU126=CI126,CJ126,IF(CU126=CM126,CN126,IF(CU126=CQ126,CR126,0))))))))</f>
        <v>14</v>
      </c>
      <c r="CW126">
        <f>IF(CU126=BO126,BQ126,IF(CU126=BS126,BU126,IF(CU126=BW126,BY126,IF(CU126=CA126,CC126,IF(CU126=CE126,CG126,IF(CU126=CI126,CK126,IF(CU126=CM126,CO126,IF(CU126=CQ126,CS126,0))))))))</f>
        <v>2.7481599999999999</v>
      </c>
      <c r="CX126">
        <f t="shared" si="55"/>
        <v>0</v>
      </c>
      <c r="CY126">
        <f t="shared" si="56"/>
        <v>6.4933333333333301E-2</v>
      </c>
      <c r="CZ126">
        <f>IF(CY126=BO126,BP126,IF(CY126=BS126,BT126,IF(CY126=BW126,BX126,IF(CY126=CA126,CB126,IF(CY126=CE126,CF126,IF(CY126=CI126,CJ126,IF(CY126=CM126,CN126,IF(CY126=CQ126,CR126,IF(CY126=CU126,CV126,0)))))))))</f>
        <v>14</v>
      </c>
      <c r="DA126">
        <f>IF(CY126=BO126,BQ126,IF(CY126=BS126,BU126,IF(CY126=BW126,BY126,IF(CY126=CA126,CC126,IF(CY126=CE126,CG126,IF(CY126=CI126,CK126,IF(CY126=CM126,CO126,IF(CY126=CQ126,CS126,IF(CY126=CU126,CW126,0)))))))))</f>
        <v>2.7481599999999999</v>
      </c>
      <c r="DB126">
        <f t="shared" si="57"/>
        <v>0</v>
      </c>
      <c r="DC126">
        <f t="shared" si="58"/>
        <v>0.12880555555555601</v>
      </c>
      <c r="DD126">
        <v>15</v>
      </c>
      <c r="DE126">
        <v>6.1510100000000003</v>
      </c>
      <c r="DF126">
        <f t="shared" si="59"/>
        <v>0</v>
      </c>
      <c r="DG126">
        <f t="shared" si="60"/>
        <v>6.4933333333333301E-2</v>
      </c>
      <c r="DH126">
        <f>IF(DG126=BO126,BP126,IF(DG126=BS126,BT126,IF(DG126=BW126,BX126,IF(DG126=CA126,CB126,IF(DG126=CE126,CF126,IF(DG126=CI126,CJ126,IF(DG126=CM126,CN126,IF(DG126=CQ126,CR126,IF(DG126=CU126,CV126,IF(DG126=CY126,CZ126,IF(DG126=DC126,DD126,0)))))))))))</f>
        <v>14</v>
      </c>
      <c r="DI126">
        <f>IF(DG126=BO126,BQ126,IF(DG126=BS126,BU126,IF(DG126=BW126,BY126,IF(DG126=CA126,CC126,IF(DG126=CE126,CG126,IF(DG126=CI126,CK126,IF(DG126=CM126,CO126,IF(DG126=CQ126,CS126,IF(DG126=CU126,CW126,IF(DG126=CY126,DA126,IF(DG126=DC126,DE126,0)))))))))))</f>
        <v>2.7481599999999999</v>
      </c>
      <c r="DJ126">
        <f t="shared" si="61"/>
        <v>0</v>
      </c>
      <c r="DK126">
        <f t="shared" si="62"/>
        <v>6.4933333333333301E-2</v>
      </c>
      <c r="DL126">
        <f>IF(DK126=BO126,BP126,IF(DK126=BS126,BT126,IF(DK126=BW126,BX126,IF(DK126=CA126,CB126,IF(DK126=CE126,CF126,IF(DK126=CI126,CJ126,IF(DK126=CM126,CN126,IF(DK126=CQ126,CR126,IF(DK126=CU126,CV126,IF(DK126=CY126,CZ126,IF(DK126=DC126,DD126,IF(DK126=DG126,DH126,0))))))))))))</f>
        <v>14</v>
      </c>
      <c r="DM126">
        <f>IF(DK126=BO126,BQ126,IF(DK126=BS126,BU126,IF(DK126=BW126,BY126,IF(DK126=CA126,CC126,IF(DK126=CE126,CG126,IF(DK126=CI126,CK126,IF(DK126=CM126,CO126,IF(DK126=CQ126,CS126,IF(DK126=CU126,CW126,IF(DK126=CY126,DA126,IF(DK126=DC126,DE126,IF(DK126=DG126,DI126,0))))))))))))</f>
        <v>2.7481599999999999</v>
      </c>
      <c r="DN126">
        <f t="shared" si="63"/>
        <v>0</v>
      </c>
      <c r="DO126">
        <f t="shared" si="64"/>
        <v>6.4933333333333301E-2</v>
      </c>
      <c r="DP126">
        <f>IF(DO126=BO126,BP126,IF(DO126=BS126,BT126,IF(DO126=BW126,BX126,IF(DO126=CA126,CB126,IF(DO126=CE126,CF126,IF(DO126=CI126,CJ126,IF(DO126=CM126,CN126,IF(DO126=CQ126,CR126,IF(DO126=CU126,CV126,IF(DO126=CY126,CZ126,IF(DO126=DC126,DD126,IF(DO126=DG126,DH126,IF(DO126=DK126,DL126,0)))))))))))))</f>
        <v>14</v>
      </c>
      <c r="DQ126">
        <f>IF(DO126=BO126,BQ126,IF(DO126=BS126,BU126,IF(DO126=BW126,BY126,IF(DO126=CA126,CC126,IF(DO126=CE126,CG126,IF(DO126=CI126,CK126,IF(DO126=CM126,CO126,IF(DO126=CQ126,CS126,IF(DO126=CU126,CW126,IF(DO126=CY126,DA126,IF(DO126=DC126,DE126,IF(DO126=DG126,DI126,IF(DO126=DK126,DM126,0)))))))))))))</f>
        <v>2.7481599999999999</v>
      </c>
      <c r="DR126">
        <f t="shared" si="65"/>
        <v>0</v>
      </c>
      <c r="DS126">
        <f t="shared" si="66"/>
        <v>6.4933333333333301E-2</v>
      </c>
      <c r="DT126">
        <f>IF(DS126=BO126,BP126,IF(DS126=BS126,BT126,IF(DS126=BW126,BX126,IF(DS126=CA126,CB126,IF(DS126=CE126,CF126,IF(DS126=CI126,CJ126,IF(DS126=CM126,CN126,IF(DS126=CQ126,CR126,IF(DS126=CU126,CV126,IF(DS126=CY126,CZ126,IF(DS126=DC126,DD126,IF(DS126=DG126,DH126,IF(DS126=DK126,DL126,IF(DS126=DO126,DP126,0))))))))))))))</f>
        <v>14</v>
      </c>
      <c r="DU126">
        <f>IF(DS126=BO126,BQ126,IF(DS126=BS126,BU126,IF(DS126=BW126,BY126,IF(DS126=CA126,CC126,IF(DS126=CE126,CG126,IF(DS126=CI126,CK126,IF(DS126=CM126,CO126,IF(DS126=CQ126,CS126,IF(DS126=CU126,CW126,IF(DS126=CY126,DA126,IF(DS126=DC126,DE126,IF(DS126=DG126,DI126,IF(DS126=DK126,DM126,IF(DS126=DO126,DQ126,0))))))))))))))</f>
        <v>2.7481599999999999</v>
      </c>
      <c r="DV126">
        <f t="shared" si="67"/>
        <v>0</v>
      </c>
      <c r="DW126">
        <v>31226.480769230799</v>
      </c>
      <c r="DX126">
        <v>2</v>
      </c>
      <c r="DY126">
        <v>35</v>
      </c>
      <c r="DZ126">
        <v>3</v>
      </c>
      <c r="EA126">
        <v>3</v>
      </c>
      <c r="EB126">
        <v>14.0364762223093</v>
      </c>
      <c r="EC126">
        <v>1.5</v>
      </c>
      <c r="ED126">
        <v>4.3072641999999997</v>
      </c>
      <c r="EE126">
        <v>6.4933333333333301E-2</v>
      </c>
      <c r="EF126">
        <v>2.7481599999999999</v>
      </c>
      <c r="EG126">
        <v>8.5566781145746091</v>
      </c>
      <c r="EH126">
        <v>14</v>
      </c>
      <c r="EI126">
        <v>0</v>
      </c>
      <c r="EJ126">
        <v>0.71452159999999998</v>
      </c>
      <c r="EK126">
        <v>1</v>
      </c>
      <c r="EL126">
        <v>0</v>
      </c>
      <c r="EM126">
        <v>48</v>
      </c>
      <c r="EN126">
        <v>1</v>
      </c>
      <c r="EO126">
        <v>4</v>
      </c>
      <c r="EP126">
        <v>6</v>
      </c>
      <c r="EQ126">
        <v>4</v>
      </c>
      <c r="ER126">
        <v>14.1987814663817</v>
      </c>
      <c r="ES126">
        <v>6.0112118980312097</v>
      </c>
      <c r="ET126">
        <v>10.3184760980312</v>
      </c>
      <c r="EU126">
        <v>1.8439484197674301</v>
      </c>
      <c r="EV126">
        <v>2.5584700197674302</v>
      </c>
      <c r="EW126">
        <v>3.7207534</v>
      </c>
      <c r="EX126">
        <v>6.5844482586767397</v>
      </c>
      <c r="EY126">
        <v>10.305201658676699</v>
      </c>
      <c r="EZ126">
        <v>0.71452159999999998</v>
      </c>
      <c r="FA126">
        <v>1.8439484197674301</v>
      </c>
      <c r="FB126">
        <v>2.5584700197674302</v>
      </c>
      <c r="FC126">
        <v>6.9161793999999999</v>
      </c>
      <c r="FD126">
        <v>10.770406799204601</v>
      </c>
      <c r="FE126">
        <v>17.686586199204601</v>
      </c>
      <c r="FF126">
        <v>0.71452159999999998</v>
      </c>
      <c r="FG126">
        <v>1.8439484197674301</v>
      </c>
      <c r="FH126">
        <v>2.5584700197674302</v>
      </c>
    </row>
    <row r="127" spans="1:164" x14ac:dyDescent="0.2">
      <c r="A127">
        <v>126</v>
      </c>
      <c r="B127">
        <v>139</v>
      </c>
      <c r="C127">
        <v>230</v>
      </c>
      <c r="D127">
        <v>2</v>
      </c>
      <c r="E127">
        <v>13</v>
      </c>
      <c r="F127" t="s">
        <v>187</v>
      </c>
      <c r="G127" t="s">
        <v>337</v>
      </c>
      <c r="H127">
        <v>3</v>
      </c>
      <c r="I127">
        <v>4</v>
      </c>
      <c r="K127" t="s">
        <v>338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2</v>
      </c>
      <c r="R127">
        <v>1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4</v>
      </c>
      <c r="AE127">
        <v>8</v>
      </c>
      <c r="AF127">
        <v>4</v>
      </c>
      <c r="AG127">
        <v>7</v>
      </c>
      <c r="AH127">
        <v>6</v>
      </c>
      <c r="AI127">
        <v>0.30730277777777798</v>
      </c>
      <c r="AJ127">
        <v>12.44886</v>
      </c>
      <c r="AK127">
        <v>0.44812777777777801</v>
      </c>
      <c r="AL127">
        <v>22.423749999999998</v>
      </c>
      <c r="AM127">
        <v>0.34223888888888898</v>
      </c>
      <c r="AN127">
        <v>19.953610000000001</v>
      </c>
      <c r="AO127">
        <v>0.33838333333333298</v>
      </c>
      <c r="AP127">
        <v>17.580110000000001</v>
      </c>
      <c r="AQ127">
        <v>0.361680555555556</v>
      </c>
      <c r="AR127">
        <v>17.908010000000001</v>
      </c>
      <c r="AS127">
        <v>0.32686666666666703</v>
      </c>
      <c r="AT127">
        <v>14.40814</v>
      </c>
      <c r="AU127">
        <v>0.21063333333333301</v>
      </c>
      <c r="AV127">
        <v>8.24437</v>
      </c>
      <c r="AW127">
        <v>0.22681388888888901</v>
      </c>
      <c r="AX127">
        <v>9.6209199999999999</v>
      </c>
      <c r="AY127">
        <v>0.24395</v>
      </c>
      <c r="AZ127">
        <v>11.4169</v>
      </c>
      <c r="BA127">
        <v>0.230463888888889</v>
      </c>
      <c r="BB127">
        <v>10.29369</v>
      </c>
      <c r="BC127">
        <v>0.31436111111111098</v>
      </c>
      <c r="BD127">
        <v>12.73546</v>
      </c>
      <c r="BE127">
        <v>0.33369444444444402</v>
      </c>
      <c r="BF127">
        <v>20.96575</v>
      </c>
      <c r="BG127">
        <v>0.39756666666666701</v>
      </c>
      <c r="BH127">
        <v>24.368600000000001</v>
      </c>
      <c r="BI127">
        <v>0.44139444444444398</v>
      </c>
      <c r="BJ127">
        <v>26.342510000000001</v>
      </c>
      <c r="BK127">
        <v>0.50953333333333295</v>
      </c>
      <c r="BL127">
        <v>33.158160000000002</v>
      </c>
      <c r="BM127">
        <v>0.55103888888888897</v>
      </c>
      <c r="BN127">
        <v>35.150840000000002</v>
      </c>
      <c r="BO127">
        <f t="shared" si="34"/>
        <v>0.21063333333333301</v>
      </c>
      <c r="BP127">
        <v>6</v>
      </c>
      <c r="BQ127">
        <v>8.24437</v>
      </c>
      <c r="BR127">
        <f t="shared" si="35"/>
        <v>0</v>
      </c>
      <c r="BS127">
        <f t="shared" si="36"/>
        <v>0.21063333333333301</v>
      </c>
      <c r="BT127">
        <f t="shared" si="37"/>
        <v>6</v>
      </c>
      <c r="BU127">
        <f t="shared" si="38"/>
        <v>8.24437</v>
      </c>
      <c r="BV127">
        <f t="shared" si="39"/>
        <v>0</v>
      </c>
      <c r="BW127">
        <f t="shared" si="40"/>
        <v>0.21063333333333301</v>
      </c>
      <c r="BX127">
        <f t="shared" si="41"/>
        <v>6</v>
      </c>
      <c r="BY127">
        <f t="shared" si="42"/>
        <v>8.24437</v>
      </c>
      <c r="BZ127">
        <f t="shared" si="43"/>
        <v>0</v>
      </c>
      <c r="CA127">
        <f t="shared" si="44"/>
        <v>0.21063333333333301</v>
      </c>
      <c r="CB127">
        <f>IF(CA127=BO127,BP127,IF(CA127=BS127,BT127,IF(CA127=BW127,BX127,0)))</f>
        <v>6</v>
      </c>
      <c r="CC127">
        <f>IF(CA127=BO127,BQ127,IF(CA127=BS127,BU127,IF(CA127=BW127,BY127,0)))</f>
        <v>8.24437</v>
      </c>
      <c r="CD127">
        <f t="shared" si="45"/>
        <v>0</v>
      </c>
      <c r="CE127">
        <f t="shared" si="46"/>
        <v>0.21063333333333301</v>
      </c>
      <c r="CF127">
        <f>IF(CE127=BO127,BP127,IF(CE127=BS127,BT127,IF(CE127=BW127,BX127,IF(CE127=CA127,CB127,0))))</f>
        <v>6</v>
      </c>
      <c r="CG127">
        <f>IF(CE127=BO127,BQ127,IF(CE127=BS127,BU127,IF(CE127=BW127,BY127,IF(CE127=CA127,CC127,0))))</f>
        <v>8.24437</v>
      </c>
      <c r="CH127">
        <f t="shared" si="47"/>
        <v>0</v>
      </c>
      <c r="CI127">
        <f t="shared" si="48"/>
        <v>0.22681388888888901</v>
      </c>
      <c r="CJ127">
        <v>7</v>
      </c>
      <c r="CK127">
        <v>9.6209199999999999</v>
      </c>
      <c r="CL127">
        <f t="shared" si="49"/>
        <v>3</v>
      </c>
      <c r="CM127">
        <f t="shared" si="50"/>
        <v>0.21063333333333301</v>
      </c>
      <c r="CN127">
        <f>IF(CM127=BO127,BP127,IF(CM127=BS127,BT127,IF(CM127=BW127,BX127,IF(CM127=CA127,CB127,IF(CM127=CE127,CF127,IF(CM127=CI127,CJ127,0))))))</f>
        <v>6</v>
      </c>
      <c r="CO127">
        <f>IF(CM127=BO127,BQ127,IF(CM127=BS127,BU127,IF(CM127=BW127,BY127,IF(CM127=CA127,CC127,IF(CM127=CE127,CG127,IF(CM127=CI127,CK127,0))))))</f>
        <v>8.24437</v>
      </c>
      <c r="CP127">
        <f t="shared" si="51"/>
        <v>0</v>
      </c>
      <c r="CQ127">
        <f t="shared" si="52"/>
        <v>0.21063333333333301</v>
      </c>
      <c r="CR127">
        <f>IF(CQ127=BO127,BP127,IF(CQ127=BS127,BT127,IF(CQ127=BW127,BX127,IF(CQ127=CA127,CB127,IF(CQ127=CE127,CF127,IF(CQ127=CI127,CJ127,IF(CQ127=CM127,CN127,0)))))))</f>
        <v>6</v>
      </c>
      <c r="CS127">
        <f>IF(CQ127=BO127,BQ127,IF(CQ127=BS127,BU127,IF(CQ127=BW127,BY127,IF(CQ127=CA127,CC127,IF(CQ127=CE127,CG127,IF(CQ127=CI127,CK127,IF(CQ127=CM127,CO127,0)))))))</f>
        <v>8.24437</v>
      </c>
      <c r="CT127">
        <f t="shared" si="53"/>
        <v>0</v>
      </c>
      <c r="CU127">
        <f t="shared" si="54"/>
        <v>0.21063333333333301</v>
      </c>
      <c r="CV127">
        <f>IF(CU127=BO127,BP127,IF(CU127=BS127,BT127,IF(CU127=BW127,BX127,IF(CU127=CA127,CB127,IF(CU127=CE127,CF127,IF(CU127=CI127,CJ127,IF(CU127=CM127,CN127,IF(CU127=CQ127,CR127,0))))))))</f>
        <v>6</v>
      </c>
      <c r="CW127">
        <f>IF(CU127=BO127,BQ127,IF(CU127=BS127,BU127,IF(CU127=BW127,BY127,IF(CU127=CA127,CC127,IF(CU127=CE127,CG127,IF(CU127=CI127,CK127,IF(CU127=CM127,CO127,IF(CU127=CQ127,CS127,0))))))))</f>
        <v>8.24437</v>
      </c>
      <c r="CX127">
        <f t="shared" si="55"/>
        <v>0</v>
      </c>
      <c r="CY127">
        <f t="shared" si="56"/>
        <v>0.21063333333333301</v>
      </c>
      <c r="CZ127">
        <f>IF(CY127=BO127,BP127,IF(CY127=BS127,BT127,IF(CY127=BW127,BX127,IF(CY127=CA127,CB127,IF(CY127=CE127,CF127,IF(CY127=CI127,CJ127,IF(CY127=CM127,CN127,IF(CY127=CQ127,CR127,IF(CY127=CU127,CV127,0)))))))))</f>
        <v>6</v>
      </c>
      <c r="DA127">
        <f>IF(CY127=BO127,BQ127,IF(CY127=BS127,BU127,IF(CY127=BW127,BY127,IF(CY127=CA127,CC127,IF(CY127=CE127,CG127,IF(CY127=CI127,CK127,IF(CY127=CM127,CO127,IF(CY127=CQ127,CS127,IF(CY127=CU127,CW127,0)))))))))</f>
        <v>8.24437</v>
      </c>
      <c r="DB127">
        <f t="shared" si="57"/>
        <v>0</v>
      </c>
      <c r="DC127">
        <f t="shared" si="58"/>
        <v>0.21063333333333301</v>
      </c>
      <c r="DD127">
        <f>IF(DC127=BO127,BP127,IF(DC127=BS127,BT127,IF(DC127=BW127,BX127,IF(DC127=CA127,CB127,IF(DC127=CE127,CF127,IF(DC127=CI127,CJ127,IF(DC127=CM127,CN127,IF(DC127=CQ127,CR127,IF(DC127=CU127,CV127,IF(DC127=CY127,CZ127,0))))))))))</f>
        <v>6</v>
      </c>
      <c r="DE127">
        <f>IF(DC127=BO127,BQ127,IF(DC127=BS127,BU127,IF(DC127=BW127,BY127,IF(DC127=CA127,CC127,IF(DC127=CE127,CG127,IF(DC127=CI127,CK127,IF(DC127=CM127,CO127,IF(DC127=CQ127,CS127,IF(DC127=CU127,CW127,IF(DC127=CY127,DA127,0))))))))))</f>
        <v>8.24437</v>
      </c>
      <c r="DF127">
        <f t="shared" si="59"/>
        <v>0</v>
      </c>
      <c r="DG127">
        <f t="shared" si="60"/>
        <v>0.21063333333333301</v>
      </c>
      <c r="DH127">
        <f>IF(DG127=BO127,BP127,IF(DG127=BS127,BT127,IF(DG127=BW127,BX127,IF(DG127=CA127,CB127,IF(DG127=CE127,CF127,IF(DG127=CI127,CJ127,IF(DG127=CM127,CN127,IF(DG127=CQ127,CR127,IF(DG127=CU127,CV127,IF(DG127=CY127,CZ127,IF(DG127=DC127,DD127,0)))))))))))</f>
        <v>6</v>
      </c>
      <c r="DI127">
        <f>IF(DG127=BO127,BQ127,IF(DG127=BS127,BU127,IF(DG127=BW127,BY127,IF(DG127=CA127,CC127,IF(DG127=CE127,CG127,IF(DG127=CI127,CK127,IF(DG127=CM127,CO127,IF(DG127=CQ127,CS127,IF(DG127=CU127,CW127,IF(DG127=CY127,DA127,IF(DG127=DC127,DE127,0)))))))))))</f>
        <v>8.24437</v>
      </c>
      <c r="DJ127">
        <f t="shared" si="61"/>
        <v>0</v>
      </c>
      <c r="DK127">
        <f t="shared" si="62"/>
        <v>0.21063333333333301</v>
      </c>
      <c r="DL127">
        <f>IF(DK127=BO127,BP127,IF(DK127=BS127,BT127,IF(DK127=BW127,BX127,IF(DK127=CA127,CB127,IF(DK127=CE127,CF127,IF(DK127=CI127,CJ127,IF(DK127=CM127,CN127,IF(DK127=CQ127,CR127,IF(DK127=CU127,CV127,IF(DK127=CY127,CZ127,IF(DK127=DC127,DD127,IF(DK127=DG127,DH127,0))))))))))))</f>
        <v>6</v>
      </c>
      <c r="DM127">
        <f>IF(DK127=BO127,BQ127,IF(DK127=BS127,BU127,IF(DK127=BW127,BY127,IF(DK127=CA127,CC127,IF(DK127=CE127,CG127,IF(DK127=CI127,CK127,IF(DK127=CM127,CO127,IF(DK127=CQ127,CS127,IF(DK127=CU127,CW127,IF(DK127=CY127,DA127,IF(DK127=DC127,DE127,IF(DK127=DG127,DI127,0))))))))))))</f>
        <v>8.24437</v>
      </c>
      <c r="DN127">
        <f t="shared" si="63"/>
        <v>0</v>
      </c>
      <c r="DO127">
        <f t="shared" si="64"/>
        <v>0.21063333333333301</v>
      </c>
      <c r="DP127">
        <f>IF(DO127=BO127,BP127,IF(DO127=BS127,BT127,IF(DO127=BW127,BX127,IF(DO127=CA127,CB127,IF(DO127=CE127,CF127,IF(DO127=CI127,CJ127,IF(DO127=CM127,CN127,IF(DO127=CQ127,CR127,IF(DO127=CU127,CV127,IF(DO127=CY127,CZ127,IF(DO127=DC127,DD127,IF(DO127=DG127,DH127,IF(DO127=DK127,DL127,0)))))))))))))</f>
        <v>6</v>
      </c>
      <c r="DQ127">
        <f>IF(DO127=BO127,BQ127,IF(DO127=BS127,BU127,IF(DO127=BW127,BY127,IF(DO127=CA127,CC127,IF(DO127=CE127,CG127,IF(DO127=CI127,CK127,IF(DO127=CM127,CO127,IF(DO127=CQ127,CS127,IF(DO127=CU127,CW127,IF(DO127=CY127,DA127,IF(DO127=DC127,DE127,IF(DO127=DG127,DI127,IF(DO127=DK127,DM127,0)))))))))))))</f>
        <v>8.24437</v>
      </c>
      <c r="DR127">
        <f t="shared" si="65"/>
        <v>0</v>
      </c>
      <c r="DS127">
        <f t="shared" si="66"/>
        <v>0.21063333333333301</v>
      </c>
      <c r="DT127">
        <f>IF(DS127=BO127,BP127,IF(DS127=BS127,BT127,IF(DS127=BW127,BX127,IF(DS127=CA127,CB127,IF(DS127=CE127,CF127,IF(DS127=CI127,CJ127,IF(DS127=CM127,CN127,IF(DS127=CQ127,CR127,IF(DS127=CU127,CV127,IF(DS127=CY127,CZ127,IF(DS127=DC127,DD127,IF(DS127=DG127,DH127,IF(DS127=DK127,DL127,IF(DS127=DO127,DP127,0))))))))))))))</f>
        <v>6</v>
      </c>
      <c r="DU127">
        <f>IF(DS127=BO127,BQ127,IF(DS127=BS127,BU127,IF(DS127=BW127,BY127,IF(DS127=CA127,CC127,IF(DS127=CE127,CG127,IF(DS127=CI127,CK127,IF(DS127=CM127,CO127,IF(DS127=CQ127,CS127,IF(DS127=CU127,CW127,IF(DS127=CY127,DA127,IF(DS127=DC127,DE127,IF(DS127=DG127,DI127,IF(DS127=DK127,DM127,IF(DS127=DO127,DQ127,0))))))))))))))</f>
        <v>8.24437</v>
      </c>
      <c r="DV127">
        <f t="shared" si="67"/>
        <v>0</v>
      </c>
      <c r="DW127">
        <v>7500</v>
      </c>
      <c r="DX127">
        <v>3</v>
      </c>
      <c r="DY127">
        <v>20</v>
      </c>
      <c r="DZ127">
        <v>3</v>
      </c>
      <c r="EA127">
        <v>3</v>
      </c>
      <c r="EB127">
        <v>3.37129157926281</v>
      </c>
      <c r="EC127">
        <v>1</v>
      </c>
      <c r="ED127">
        <v>3.1578024</v>
      </c>
      <c r="EE127">
        <v>0.21063333333333301</v>
      </c>
      <c r="EF127">
        <v>8.24437</v>
      </c>
      <c r="EG127">
        <v>3.9284284616297298</v>
      </c>
      <c r="EH127">
        <v>6</v>
      </c>
      <c r="EI127">
        <v>0</v>
      </c>
      <c r="EJ127">
        <v>1.42902413333333</v>
      </c>
      <c r="EK127">
        <v>1</v>
      </c>
      <c r="EL127">
        <v>0</v>
      </c>
      <c r="EM127">
        <v>46</v>
      </c>
      <c r="EN127">
        <v>1</v>
      </c>
      <c r="EO127">
        <v>2</v>
      </c>
      <c r="EP127">
        <v>6</v>
      </c>
      <c r="EQ127">
        <v>4</v>
      </c>
      <c r="ER127">
        <v>14.1987814663817</v>
      </c>
      <c r="ES127">
        <v>8.7266499713574408</v>
      </c>
      <c r="ET127">
        <v>11.8844523713574</v>
      </c>
      <c r="EU127">
        <v>5.9814733390710497</v>
      </c>
      <c r="EV127">
        <v>7.4104974724043799</v>
      </c>
      <c r="EW127">
        <v>1.97892933333333</v>
      </c>
      <c r="EX127">
        <v>6.9275854774476198</v>
      </c>
      <c r="EY127">
        <v>8.9065148107809495</v>
      </c>
      <c r="EZ127">
        <v>1.42902413333333</v>
      </c>
      <c r="FA127">
        <v>5.9814733390710497</v>
      </c>
      <c r="FB127">
        <v>7.4104974724043799</v>
      </c>
      <c r="FC127">
        <v>3.0472190666666701</v>
      </c>
      <c r="FD127">
        <v>9.6092620037315601</v>
      </c>
      <c r="FE127">
        <v>12.6564810703982</v>
      </c>
      <c r="FF127">
        <v>1.42902413333333</v>
      </c>
      <c r="FG127">
        <v>5.9814733390710497</v>
      </c>
      <c r="FH127">
        <v>7.4104974724043799</v>
      </c>
    </row>
    <row r="128" spans="1:164" x14ac:dyDescent="0.2">
      <c r="A128">
        <v>127</v>
      </c>
      <c r="B128">
        <v>140</v>
      </c>
      <c r="C128">
        <v>232</v>
      </c>
      <c r="D128">
        <v>2</v>
      </c>
      <c r="E128">
        <v>13</v>
      </c>
      <c r="F128" t="s">
        <v>339</v>
      </c>
      <c r="G128" t="s">
        <v>156</v>
      </c>
      <c r="H128">
        <v>3</v>
      </c>
      <c r="I128">
        <v>5</v>
      </c>
      <c r="K128" t="s">
        <v>142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3</v>
      </c>
      <c r="AD128">
        <v>1</v>
      </c>
      <c r="AE128">
        <v>6</v>
      </c>
      <c r="AF128">
        <v>3</v>
      </c>
      <c r="AG128">
        <v>5</v>
      </c>
      <c r="AH128">
        <v>5</v>
      </c>
      <c r="AI128">
        <v>0.32812222222222198</v>
      </c>
      <c r="AJ128">
        <v>21.280999999999999</v>
      </c>
      <c r="AK128">
        <v>0.60546111111111101</v>
      </c>
      <c r="AL128">
        <v>41.928159999999998</v>
      </c>
      <c r="AM128">
        <v>0.49956944444444401</v>
      </c>
      <c r="AN128">
        <v>39.458019999999998</v>
      </c>
      <c r="AO128">
        <v>0.49571388888888901</v>
      </c>
      <c r="AP128">
        <v>37.084519999999998</v>
      </c>
      <c r="AQ128">
        <v>0.519013888888889</v>
      </c>
      <c r="AR128">
        <v>37.412410000000001</v>
      </c>
      <c r="AS128">
        <v>0.48420000000000002</v>
      </c>
      <c r="AT128">
        <v>33.912550000000003</v>
      </c>
      <c r="AU128">
        <v>0.38354444444444402</v>
      </c>
      <c r="AV128">
        <v>28.377009999999999</v>
      </c>
      <c r="AW128">
        <v>0.35881944444444402</v>
      </c>
      <c r="AX128">
        <v>26.350840000000002</v>
      </c>
      <c r="AY128">
        <v>0.348308333333333</v>
      </c>
      <c r="AZ128">
        <v>24.794419999999999</v>
      </c>
      <c r="BA128">
        <v>0.33329999999999999</v>
      </c>
      <c r="BB128">
        <v>24.211449999999999</v>
      </c>
      <c r="BC128">
        <v>0.33975555555555598</v>
      </c>
      <c r="BD128">
        <v>21.756710000000002</v>
      </c>
      <c r="BE128">
        <v>0.23739722222222201</v>
      </c>
      <c r="BF128">
        <v>15.271240000000001</v>
      </c>
      <c r="BG128">
        <v>0.25705</v>
      </c>
      <c r="BH128">
        <v>14.906739999999999</v>
      </c>
      <c r="BI128">
        <v>0.24815000000000001</v>
      </c>
      <c r="BJ128">
        <v>9.8687299999999993</v>
      </c>
      <c r="BK128">
        <v>0.23482222222222199</v>
      </c>
      <c r="BL128">
        <v>8.8425399999999996</v>
      </c>
      <c r="BM128">
        <v>0.20424444444444401</v>
      </c>
      <c r="BN128">
        <v>7.5376500000000002</v>
      </c>
      <c r="BO128">
        <f t="shared" si="34"/>
        <v>0.20424444444444401</v>
      </c>
      <c r="BP128">
        <v>18</v>
      </c>
      <c r="BQ128">
        <v>7.5376500000000002</v>
      </c>
      <c r="BR128">
        <f t="shared" si="35"/>
        <v>0</v>
      </c>
      <c r="BS128">
        <f t="shared" si="36"/>
        <v>0.20424444444444401</v>
      </c>
      <c r="BT128">
        <f t="shared" si="37"/>
        <v>18</v>
      </c>
      <c r="BU128">
        <f t="shared" si="38"/>
        <v>7.5376500000000002</v>
      </c>
      <c r="BV128">
        <f t="shared" si="39"/>
        <v>0</v>
      </c>
      <c r="BW128">
        <f t="shared" si="40"/>
        <v>0.20424444444444401</v>
      </c>
      <c r="BX128">
        <f t="shared" si="41"/>
        <v>18</v>
      </c>
      <c r="BY128">
        <f t="shared" si="42"/>
        <v>7.5376500000000002</v>
      </c>
      <c r="BZ128">
        <f t="shared" si="43"/>
        <v>0</v>
      </c>
      <c r="CA128">
        <f t="shared" si="44"/>
        <v>0.20424444444444401</v>
      </c>
      <c r="CB128">
        <f>IF(CA128=BO128,BP128,IF(CA128=BS128,BT128,IF(CA128=BW128,BX128,0)))</f>
        <v>18</v>
      </c>
      <c r="CC128">
        <f>IF(CA128=BO128,BQ128,IF(CA128=BS128,BU128,IF(CA128=BW128,BY128,0)))</f>
        <v>7.5376500000000002</v>
      </c>
      <c r="CD128">
        <f t="shared" si="45"/>
        <v>0</v>
      </c>
      <c r="CE128">
        <f t="shared" si="46"/>
        <v>0.20424444444444401</v>
      </c>
      <c r="CF128">
        <f>IF(CE128=BO128,BP128,IF(CE128=BS128,BT128,IF(CE128=BW128,BX128,IF(CE128=CA128,CB128,0))))</f>
        <v>18</v>
      </c>
      <c r="CG128">
        <f>IF(CE128=BO128,BQ128,IF(CE128=BS128,BU128,IF(CE128=BW128,BY128,IF(CE128=CA128,CC128,0))))</f>
        <v>7.5376500000000002</v>
      </c>
      <c r="CH128">
        <f t="shared" si="47"/>
        <v>0</v>
      </c>
      <c r="CI128">
        <f t="shared" si="48"/>
        <v>0.20424444444444401</v>
      </c>
      <c r="CJ128">
        <f>IF(CI128=BO128,BP128,IF(CI128=BS128,BT128,IF(CI128=BW128,BX128,IF(CI128=CA128,CB128,IF(CI128=CE128,CF128,0)))))</f>
        <v>18</v>
      </c>
      <c r="CK128">
        <f>IF(CI128=BO128,BQ128,IF(CI128=BS128,BU128,IF(CI128=BW128,BY128,IF(CI128=CA128,CC128,IF(CI128=CE128,CG128,0)))))</f>
        <v>7.5376500000000002</v>
      </c>
      <c r="CL128">
        <f t="shared" si="49"/>
        <v>0</v>
      </c>
      <c r="CM128">
        <f t="shared" si="50"/>
        <v>0.20424444444444401</v>
      </c>
      <c r="CN128">
        <f>IF(CM128=BO128,BP128,IF(CM128=BS128,BT128,IF(CM128=BW128,BX128,IF(CM128=CA128,CB128,IF(CM128=CE128,CF128,IF(CM128=CI128,CJ128,0))))))</f>
        <v>18</v>
      </c>
      <c r="CO128">
        <f>IF(CM128=BO128,BQ128,IF(CM128=BS128,BU128,IF(CM128=BW128,BY128,IF(CM128=CA128,CC128,IF(CM128=CE128,CG128,IF(CM128=CI128,CK128,0))))))</f>
        <v>7.5376500000000002</v>
      </c>
      <c r="CP128">
        <f t="shared" si="51"/>
        <v>0</v>
      </c>
      <c r="CQ128">
        <f t="shared" si="52"/>
        <v>0.20424444444444401</v>
      </c>
      <c r="CR128">
        <f>IF(CQ128=BO128,BP128,IF(CQ128=BS128,BT128,IF(CQ128=BW128,BX128,IF(CQ128=CA128,CB128,IF(CQ128=CE128,CF128,IF(CQ128=CI128,CJ128,IF(CQ128=CM128,CN128,0)))))))</f>
        <v>18</v>
      </c>
      <c r="CS128">
        <f>IF(CQ128=BO128,BQ128,IF(CQ128=BS128,BU128,IF(CQ128=BW128,BY128,IF(CQ128=CA128,CC128,IF(CQ128=CE128,CG128,IF(CQ128=CI128,CK128,IF(CQ128=CM128,CO128,0)))))))</f>
        <v>7.5376500000000002</v>
      </c>
      <c r="CT128">
        <f t="shared" si="53"/>
        <v>0</v>
      </c>
      <c r="CU128">
        <f t="shared" si="54"/>
        <v>0.20424444444444401</v>
      </c>
      <c r="CV128">
        <f>IF(CU128=BO128,BP128,IF(CU128=BS128,BT128,IF(CU128=BW128,BX128,IF(CU128=CA128,CB128,IF(CU128=CE128,CF128,IF(CU128=CI128,CJ128,IF(CU128=CM128,CN128,IF(CU128=CQ128,CR128,0))))))))</f>
        <v>18</v>
      </c>
      <c r="CW128">
        <f>IF(CU128=BO128,BQ128,IF(CU128=BS128,BU128,IF(CU128=BW128,BY128,IF(CU128=CA128,CC128,IF(CU128=CE128,CG128,IF(CU128=CI128,CK128,IF(CU128=CM128,CO128,IF(CU128=CQ128,CS128,0))))))))</f>
        <v>7.5376500000000002</v>
      </c>
      <c r="CX128">
        <f t="shared" si="55"/>
        <v>0</v>
      </c>
      <c r="CY128">
        <f t="shared" si="56"/>
        <v>0.20424444444444401</v>
      </c>
      <c r="CZ128">
        <f>IF(CY128=BO128,BP128,IF(CY128=BS128,BT128,IF(CY128=BW128,BX128,IF(CY128=CA128,CB128,IF(CY128=CE128,CF128,IF(CY128=CI128,CJ128,IF(CY128=CM128,CN128,IF(CY128=CQ128,CR128,IF(CY128=CU128,CV128,0)))))))))</f>
        <v>18</v>
      </c>
      <c r="DA128">
        <f>IF(CY128=BO128,BQ128,IF(CY128=BS128,BU128,IF(CY128=BW128,BY128,IF(CY128=CA128,CC128,IF(CY128=CE128,CG128,IF(CY128=CI128,CK128,IF(CY128=CM128,CO128,IF(CY128=CQ128,CS128,IF(CY128=CU128,CW128,0)))))))))</f>
        <v>7.5376500000000002</v>
      </c>
      <c r="DB128">
        <f t="shared" si="57"/>
        <v>0</v>
      </c>
      <c r="DC128">
        <f t="shared" si="58"/>
        <v>0.20424444444444401</v>
      </c>
      <c r="DD128">
        <f>IF(DC128=BO128,BP128,IF(DC128=BS128,BT128,IF(DC128=BW128,BX128,IF(DC128=CA128,CB128,IF(DC128=CE128,CF128,IF(DC128=CI128,CJ128,IF(DC128=CM128,CN128,IF(DC128=CQ128,CR128,IF(DC128=CU128,CV128,IF(DC128=CY128,CZ128,0))))))))))</f>
        <v>18</v>
      </c>
      <c r="DE128">
        <f>IF(DC128=BO128,BQ128,IF(DC128=BS128,BU128,IF(DC128=BW128,BY128,IF(DC128=CA128,CC128,IF(DC128=CE128,CG128,IF(DC128=CI128,CK128,IF(DC128=CM128,CO128,IF(DC128=CQ128,CS128,IF(DC128=CU128,CW128,IF(DC128=CY128,DA128,0))))))))))</f>
        <v>7.5376500000000002</v>
      </c>
      <c r="DF128">
        <f t="shared" si="59"/>
        <v>0</v>
      </c>
      <c r="DG128">
        <f t="shared" si="60"/>
        <v>0.20424444444444401</v>
      </c>
      <c r="DH128">
        <f>IF(DG128=BO128,BP128,IF(DG128=BS128,BT128,IF(DG128=BW128,BX128,IF(DG128=CA128,CB128,IF(DG128=CE128,CF128,IF(DG128=CI128,CJ128,IF(DG128=CM128,CN128,IF(DG128=CQ128,CR128,IF(DG128=CU128,CV128,IF(DG128=CY128,CZ128,IF(DG128=DC128,DD128,0)))))))))))</f>
        <v>18</v>
      </c>
      <c r="DI128">
        <f>IF(DG128=BO128,BQ128,IF(DG128=BS128,BU128,IF(DG128=BW128,BY128,IF(DG128=CA128,CC128,IF(DG128=CE128,CG128,IF(DG128=CI128,CK128,IF(DG128=CM128,CO128,IF(DG128=CQ128,CS128,IF(DG128=CU128,CW128,IF(DG128=CY128,DA128,IF(DG128=DC128,DE128,0)))))))))))</f>
        <v>7.5376500000000002</v>
      </c>
      <c r="DJ128">
        <f t="shared" si="61"/>
        <v>0</v>
      </c>
      <c r="DK128">
        <f t="shared" si="62"/>
        <v>0.20424444444444401</v>
      </c>
      <c r="DL128">
        <f>IF(DK128=BO128,BP128,IF(DK128=BS128,BT128,IF(DK128=BW128,BX128,IF(DK128=CA128,CB128,IF(DK128=CE128,CF128,IF(DK128=CI128,CJ128,IF(DK128=CM128,CN128,IF(DK128=CQ128,CR128,IF(DK128=CU128,CV128,IF(DK128=CY128,CZ128,IF(DK128=DC128,DD128,IF(DK128=DG128,DH128,0))))))))))))</f>
        <v>18</v>
      </c>
      <c r="DM128">
        <f>IF(DK128=BO128,BQ128,IF(DK128=BS128,BU128,IF(DK128=BW128,BY128,IF(DK128=CA128,CC128,IF(DK128=CE128,CG128,IF(DK128=CI128,CK128,IF(DK128=CM128,CO128,IF(DK128=CQ128,CS128,IF(DK128=CU128,CW128,IF(DK128=CY128,DA128,IF(DK128=DC128,DE128,IF(DK128=DG128,DI128,0))))))))))))</f>
        <v>7.5376500000000002</v>
      </c>
      <c r="DN128">
        <f t="shared" si="63"/>
        <v>0</v>
      </c>
      <c r="DO128">
        <f t="shared" si="64"/>
        <v>0.20424444444444401</v>
      </c>
      <c r="DP128">
        <f>IF(DO128=BO128,BP128,IF(DO128=BS128,BT128,IF(DO128=BW128,BX128,IF(DO128=CA128,CB128,IF(DO128=CE128,CF128,IF(DO128=CI128,CJ128,IF(DO128=CM128,CN128,IF(DO128=CQ128,CR128,IF(DO128=CU128,CV128,IF(DO128=CY128,CZ128,IF(DO128=DC128,DD128,IF(DO128=DG128,DH128,IF(DO128=DK128,DL128,0)))))))))))))</f>
        <v>18</v>
      </c>
      <c r="DQ128">
        <f>IF(DO128=BO128,BQ128,IF(DO128=BS128,BU128,IF(DO128=BW128,BY128,IF(DO128=CA128,CC128,IF(DO128=CE128,CG128,IF(DO128=CI128,CK128,IF(DO128=CM128,CO128,IF(DO128=CQ128,CS128,IF(DO128=CU128,CW128,IF(DO128=CY128,DA128,IF(DO128=DC128,DE128,IF(DO128=DG128,DI128,IF(DO128=DK128,DM128,0)))))))))))))</f>
        <v>7.5376500000000002</v>
      </c>
      <c r="DR128">
        <f t="shared" si="65"/>
        <v>0</v>
      </c>
      <c r="DS128">
        <f t="shared" si="66"/>
        <v>0.23482222222222199</v>
      </c>
      <c r="DT128">
        <v>17</v>
      </c>
      <c r="DU128">
        <v>8.8425399999999996</v>
      </c>
      <c r="DV128">
        <f t="shared" si="67"/>
        <v>0</v>
      </c>
      <c r="DW128">
        <v>52500.5</v>
      </c>
      <c r="DX128">
        <v>2</v>
      </c>
      <c r="DY128">
        <v>20</v>
      </c>
      <c r="DZ128">
        <v>0</v>
      </c>
      <c r="EA128">
        <v>0</v>
      </c>
      <c r="EB128">
        <v>23.599265807611602</v>
      </c>
      <c r="EC128">
        <v>0</v>
      </c>
      <c r="ED128">
        <v>0</v>
      </c>
      <c r="EE128">
        <v>0.20424444444444401</v>
      </c>
      <c r="EF128">
        <v>7.5376500000000002</v>
      </c>
      <c r="EG128">
        <v>15.486887079212901</v>
      </c>
      <c r="EH128">
        <v>18</v>
      </c>
      <c r="EI128">
        <v>0</v>
      </c>
      <c r="EJ128">
        <v>0</v>
      </c>
      <c r="EK128">
        <v>0</v>
      </c>
      <c r="EL128">
        <v>0</v>
      </c>
      <c r="EM128">
        <v>44</v>
      </c>
      <c r="EN128">
        <v>0</v>
      </c>
      <c r="EO128">
        <v>4</v>
      </c>
      <c r="EP128">
        <v>5</v>
      </c>
      <c r="EQ128">
        <v>3</v>
      </c>
      <c r="ER128">
        <v>14.1987814663817</v>
      </c>
      <c r="ES128">
        <v>9.3178714551937105</v>
      </c>
      <c r="ET128">
        <v>9.3178714551937105</v>
      </c>
      <c r="EU128">
        <v>5.8000444647783898</v>
      </c>
      <c r="EV128">
        <v>5.8000444647783898</v>
      </c>
      <c r="EW128">
        <v>0</v>
      </c>
      <c r="EX128">
        <v>9.8911078158392396</v>
      </c>
      <c r="EY128">
        <v>9.8911078158392396</v>
      </c>
      <c r="EZ128">
        <v>0</v>
      </c>
      <c r="FA128">
        <v>5.8000444647783898</v>
      </c>
      <c r="FB128">
        <v>5.8000444647783898</v>
      </c>
      <c r="FC128">
        <v>0</v>
      </c>
      <c r="FD128">
        <v>14.0770663563671</v>
      </c>
      <c r="FE128">
        <v>14.0770663563671</v>
      </c>
      <c r="FF128">
        <v>0</v>
      </c>
      <c r="FG128">
        <v>5.8000444647783898</v>
      </c>
      <c r="FH128">
        <v>5.8000444647783898</v>
      </c>
    </row>
    <row r="129" spans="1:164" x14ac:dyDescent="0.2">
      <c r="A129">
        <v>128</v>
      </c>
      <c r="B129">
        <v>141</v>
      </c>
      <c r="C129">
        <v>234</v>
      </c>
      <c r="D129">
        <v>2</v>
      </c>
      <c r="E129">
        <v>13</v>
      </c>
      <c r="F129" t="s">
        <v>150</v>
      </c>
      <c r="G129" t="s">
        <v>340</v>
      </c>
      <c r="H129">
        <v>3</v>
      </c>
      <c r="I129">
        <v>1</v>
      </c>
      <c r="K129" t="s">
        <v>277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2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</v>
      </c>
      <c r="AE129">
        <v>6</v>
      </c>
      <c r="AF129">
        <v>3</v>
      </c>
      <c r="AG129">
        <v>5</v>
      </c>
      <c r="AH129">
        <v>6</v>
      </c>
      <c r="AI129">
        <v>0.18731944444444401</v>
      </c>
      <c r="AJ129">
        <v>8.5863300000000002</v>
      </c>
      <c r="AK129">
        <v>0.30446388888888898</v>
      </c>
      <c r="AL129">
        <v>16.058720000000001</v>
      </c>
      <c r="AM129">
        <v>0.198575</v>
      </c>
      <c r="AN129">
        <v>13.58858</v>
      </c>
      <c r="AO129">
        <v>0.19471666666666701</v>
      </c>
      <c r="AP129">
        <v>11.21509</v>
      </c>
      <c r="AQ129">
        <v>0.218016666666667</v>
      </c>
      <c r="AR129">
        <v>11.54298</v>
      </c>
      <c r="AS129">
        <v>0.18320277777777799</v>
      </c>
      <c r="AT129">
        <v>8.04312</v>
      </c>
      <c r="AU129">
        <v>6.4769444444444393E-2</v>
      </c>
      <c r="AV129">
        <v>1.51359</v>
      </c>
      <c r="AW129">
        <v>8.3150000000000002E-2</v>
      </c>
      <c r="AX129">
        <v>3.25589</v>
      </c>
      <c r="AY129">
        <v>0.104955555555556</v>
      </c>
      <c r="AZ129">
        <v>5.3221800000000004</v>
      </c>
      <c r="BA129">
        <v>0.119627777777778</v>
      </c>
      <c r="BB129">
        <v>6.1560699999999997</v>
      </c>
      <c r="BC129">
        <v>0.17913333333333301</v>
      </c>
      <c r="BD129">
        <v>7.9675900000000004</v>
      </c>
      <c r="BE129">
        <v>0.218944444444444</v>
      </c>
      <c r="BF129">
        <v>15.005240000000001</v>
      </c>
      <c r="BG129">
        <v>0.28281944444444401</v>
      </c>
      <c r="BH129">
        <v>18.408090000000001</v>
      </c>
      <c r="BI129">
        <v>0.32664722222222198</v>
      </c>
      <c r="BJ129">
        <v>20.382010000000001</v>
      </c>
      <c r="BK129">
        <v>0.394786111111111</v>
      </c>
      <c r="BL129">
        <v>27.197659999999999</v>
      </c>
      <c r="BM129">
        <v>0.436288888888889</v>
      </c>
      <c r="BN129">
        <v>29.190329999999999</v>
      </c>
      <c r="BO129">
        <f t="shared" si="34"/>
        <v>6.4769444444444393E-2</v>
      </c>
      <c r="BP129">
        <v>6</v>
      </c>
      <c r="BQ129">
        <v>1.51359</v>
      </c>
      <c r="BR129">
        <f t="shared" si="35"/>
        <v>0</v>
      </c>
      <c r="BS129">
        <f t="shared" si="36"/>
        <v>6.4769444444444393E-2</v>
      </c>
      <c r="BT129">
        <f t="shared" si="37"/>
        <v>6</v>
      </c>
      <c r="BU129">
        <f t="shared" si="38"/>
        <v>1.51359</v>
      </c>
      <c r="BV129">
        <f t="shared" si="39"/>
        <v>0</v>
      </c>
      <c r="BW129">
        <f t="shared" si="40"/>
        <v>6.4769444444444393E-2</v>
      </c>
      <c r="BX129">
        <f t="shared" si="41"/>
        <v>6</v>
      </c>
      <c r="BY129">
        <f t="shared" si="42"/>
        <v>1.51359</v>
      </c>
      <c r="BZ129">
        <f t="shared" si="43"/>
        <v>0</v>
      </c>
      <c r="CA129">
        <f t="shared" si="44"/>
        <v>6.4769444444444393E-2</v>
      </c>
      <c r="CB129">
        <f>IF(CA129=BO129,BP129,IF(CA129=BS129,BT129,IF(CA129=BW129,BX129,0)))</f>
        <v>6</v>
      </c>
      <c r="CC129">
        <f>IF(CA129=BO129,BQ129,IF(CA129=BS129,BU129,IF(CA129=BW129,BY129,0)))</f>
        <v>1.51359</v>
      </c>
      <c r="CD129">
        <f t="shared" si="45"/>
        <v>0</v>
      </c>
      <c r="CE129">
        <f t="shared" si="46"/>
        <v>6.4769444444444393E-2</v>
      </c>
      <c r="CF129">
        <f>IF(CE129=BO129,BP129,IF(CE129=BS129,BT129,IF(CE129=BW129,BX129,IF(CE129=CA129,CB129,0))))</f>
        <v>6</v>
      </c>
      <c r="CG129">
        <f>IF(CE129=BO129,BQ129,IF(CE129=BS129,BU129,IF(CE129=BW129,BY129,IF(CE129=CA129,CC129,0))))</f>
        <v>1.51359</v>
      </c>
      <c r="CH129">
        <f t="shared" si="47"/>
        <v>0</v>
      </c>
      <c r="CI129">
        <f t="shared" si="48"/>
        <v>8.3150000000000002E-2</v>
      </c>
      <c r="CJ129">
        <v>7</v>
      </c>
      <c r="CK129">
        <v>3.25589</v>
      </c>
      <c r="CL129">
        <f t="shared" si="49"/>
        <v>3</v>
      </c>
      <c r="CM129">
        <f t="shared" si="50"/>
        <v>6.4769444444444393E-2</v>
      </c>
      <c r="CN129">
        <f>IF(CM129=BO129,BP129,IF(CM129=BS129,BT129,IF(CM129=BW129,BX129,IF(CM129=CA129,CB129,IF(CM129=CE129,CF129,IF(CM129=CI129,CJ129,0))))))</f>
        <v>6</v>
      </c>
      <c r="CO129">
        <f>IF(CM129=BO129,BQ129,IF(CM129=BS129,BU129,IF(CM129=BW129,BY129,IF(CM129=CA129,CC129,IF(CM129=CE129,CG129,IF(CM129=CI129,CK129,0))))))</f>
        <v>1.51359</v>
      </c>
      <c r="CP129">
        <f t="shared" si="51"/>
        <v>0</v>
      </c>
      <c r="CQ129">
        <f t="shared" si="52"/>
        <v>6.4769444444444393E-2</v>
      </c>
      <c r="CR129">
        <f>IF(CQ129=BO129,BP129,IF(CQ129=BS129,BT129,IF(CQ129=BW129,BX129,IF(CQ129=CA129,CB129,IF(CQ129=CE129,CF129,IF(CQ129=CI129,CJ129,IF(CQ129=CM129,CN129,0)))))))</f>
        <v>6</v>
      </c>
      <c r="CS129">
        <f>IF(CQ129=BO129,BQ129,IF(CQ129=BS129,BU129,IF(CQ129=BW129,BY129,IF(CQ129=CA129,CC129,IF(CQ129=CE129,CG129,IF(CQ129=CI129,CK129,IF(CQ129=CM129,CO129,0)))))))</f>
        <v>1.51359</v>
      </c>
      <c r="CT129">
        <f t="shared" si="53"/>
        <v>0</v>
      </c>
      <c r="CU129">
        <f t="shared" si="54"/>
        <v>6.4769444444444393E-2</v>
      </c>
      <c r="CV129">
        <f>IF(CU129=BO129,BP129,IF(CU129=BS129,BT129,IF(CU129=BW129,BX129,IF(CU129=CA129,CB129,IF(CU129=CE129,CF129,IF(CU129=CI129,CJ129,IF(CU129=CM129,CN129,IF(CU129=CQ129,CR129,0))))))))</f>
        <v>6</v>
      </c>
      <c r="CW129">
        <f>IF(CU129=BO129,BQ129,IF(CU129=BS129,BU129,IF(CU129=BW129,BY129,IF(CU129=CA129,CC129,IF(CU129=CE129,CG129,IF(CU129=CI129,CK129,IF(CU129=CM129,CO129,IF(CU129=CQ129,CS129,0))))))))</f>
        <v>1.51359</v>
      </c>
      <c r="CX129">
        <f t="shared" si="55"/>
        <v>0</v>
      </c>
      <c r="CY129">
        <f t="shared" si="56"/>
        <v>6.4769444444444393E-2</v>
      </c>
      <c r="CZ129">
        <f>IF(CY129=BO129,BP129,IF(CY129=BS129,BT129,IF(CY129=BW129,BX129,IF(CY129=CA129,CB129,IF(CY129=CE129,CF129,IF(CY129=CI129,CJ129,IF(CY129=CM129,CN129,IF(CY129=CQ129,CR129,IF(CY129=CU129,CV129,0)))))))))</f>
        <v>6</v>
      </c>
      <c r="DA129">
        <f>IF(CY129=BO129,BQ129,IF(CY129=BS129,BU129,IF(CY129=BW129,BY129,IF(CY129=CA129,CC129,IF(CY129=CE129,CG129,IF(CY129=CI129,CK129,IF(CY129=CM129,CO129,IF(CY129=CQ129,CS129,IF(CY129=CU129,CW129,0)))))))))</f>
        <v>1.51359</v>
      </c>
      <c r="DB129">
        <f t="shared" si="57"/>
        <v>0</v>
      </c>
      <c r="DC129">
        <f t="shared" si="58"/>
        <v>6.4769444444444393E-2</v>
      </c>
      <c r="DD129">
        <f>IF(DC129=BO129,BP129,IF(DC129=BS129,BT129,IF(DC129=BW129,BX129,IF(DC129=CA129,CB129,IF(DC129=CE129,CF129,IF(DC129=CI129,CJ129,IF(DC129=CM129,CN129,IF(DC129=CQ129,CR129,IF(DC129=CU129,CV129,IF(DC129=CY129,CZ129,0))))))))))</f>
        <v>6</v>
      </c>
      <c r="DE129">
        <f>IF(DC129=BO129,BQ129,IF(DC129=BS129,BU129,IF(DC129=BW129,BY129,IF(DC129=CA129,CC129,IF(DC129=CE129,CG129,IF(DC129=CI129,CK129,IF(DC129=CM129,CO129,IF(DC129=CQ129,CS129,IF(DC129=CU129,CW129,IF(DC129=CY129,DA129,0))))))))))</f>
        <v>1.51359</v>
      </c>
      <c r="DF129">
        <f t="shared" si="59"/>
        <v>0</v>
      </c>
      <c r="DG129">
        <f t="shared" si="60"/>
        <v>6.4769444444444393E-2</v>
      </c>
      <c r="DH129">
        <f>IF(DG129=BO129,BP129,IF(DG129=BS129,BT129,IF(DG129=BW129,BX129,IF(DG129=CA129,CB129,IF(DG129=CE129,CF129,IF(DG129=CI129,CJ129,IF(DG129=CM129,CN129,IF(DG129=CQ129,CR129,IF(DG129=CU129,CV129,IF(DG129=CY129,CZ129,IF(DG129=DC129,DD129,0)))))))))))</f>
        <v>6</v>
      </c>
      <c r="DI129">
        <f>IF(DG129=BO129,BQ129,IF(DG129=BS129,BU129,IF(DG129=BW129,BY129,IF(DG129=CA129,CC129,IF(DG129=CE129,CG129,IF(DG129=CI129,CK129,IF(DG129=CM129,CO129,IF(DG129=CQ129,CS129,IF(DG129=CU129,CW129,IF(DG129=CY129,DA129,IF(DG129=DC129,DE129,0)))))))))))</f>
        <v>1.51359</v>
      </c>
      <c r="DJ129">
        <f t="shared" si="61"/>
        <v>0</v>
      </c>
      <c r="DK129">
        <f t="shared" si="62"/>
        <v>6.4769444444444393E-2</v>
      </c>
      <c r="DL129">
        <f>IF(DK129=BO129,BP129,IF(DK129=BS129,BT129,IF(DK129=BW129,BX129,IF(DK129=CA129,CB129,IF(DK129=CE129,CF129,IF(DK129=CI129,CJ129,IF(DK129=CM129,CN129,IF(DK129=CQ129,CR129,IF(DK129=CU129,CV129,IF(DK129=CY129,CZ129,IF(DK129=DC129,DD129,IF(DK129=DG129,DH129,0))))))))))))</f>
        <v>6</v>
      </c>
      <c r="DM129">
        <f>IF(DK129=BO129,BQ129,IF(DK129=BS129,BU129,IF(DK129=BW129,BY129,IF(DK129=CA129,CC129,IF(DK129=CE129,CG129,IF(DK129=CI129,CK129,IF(DK129=CM129,CO129,IF(DK129=CQ129,CS129,IF(DK129=CU129,CW129,IF(DK129=CY129,DA129,IF(DK129=DC129,DE129,IF(DK129=DG129,DI129,0))))))))))))</f>
        <v>1.51359</v>
      </c>
      <c r="DN129">
        <f t="shared" si="63"/>
        <v>0</v>
      </c>
      <c r="DO129">
        <f t="shared" si="64"/>
        <v>6.4769444444444393E-2</v>
      </c>
      <c r="DP129">
        <f>IF(DO129=BO129,BP129,IF(DO129=BS129,BT129,IF(DO129=BW129,BX129,IF(DO129=CA129,CB129,IF(DO129=CE129,CF129,IF(DO129=CI129,CJ129,IF(DO129=CM129,CN129,IF(DO129=CQ129,CR129,IF(DO129=CU129,CV129,IF(DO129=CY129,CZ129,IF(DO129=DC129,DD129,IF(DO129=DG129,DH129,IF(DO129=DK129,DL129,0)))))))))))))</f>
        <v>6</v>
      </c>
      <c r="DQ129">
        <f>IF(DO129=BO129,BQ129,IF(DO129=BS129,BU129,IF(DO129=BW129,BY129,IF(DO129=CA129,CC129,IF(DO129=CE129,CG129,IF(DO129=CI129,CK129,IF(DO129=CM129,CO129,IF(DO129=CQ129,CS129,IF(DO129=CU129,CW129,IF(DO129=CY129,DA129,IF(DO129=DC129,DE129,IF(DO129=DG129,DI129,IF(DO129=DK129,DM129,0)))))))))))))</f>
        <v>1.51359</v>
      </c>
      <c r="DR129">
        <f t="shared" si="65"/>
        <v>0</v>
      </c>
      <c r="DS129">
        <f t="shared" si="66"/>
        <v>6.4769444444444393E-2</v>
      </c>
      <c r="DT129">
        <f>IF(DS129=BO129,BP129,IF(DS129=BS129,BT129,IF(DS129=BW129,BX129,IF(DS129=CA129,CB129,IF(DS129=CE129,CF129,IF(DS129=CI129,CJ129,IF(DS129=CM129,CN129,IF(DS129=CQ129,CR129,IF(DS129=CU129,CV129,IF(DS129=CY129,CZ129,IF(DS129=DC129,DD129,IF(DS129=DG129,DH129,IF(DS129=DK129,DL129,IF(DS129=DO129,DP129,0))))))))))))))</f>
        <v>6</v>
      </c>
      <c r="DU129">
        <f>IF(DS129=BO129,BQ129,IF(DS129=BS129,BU129,IF(DS129=BW129,BY129,IF(DS129=CA129,CC129,IF(DS129=CE129,CG129,IF(DS129=CI129,CK129,IF(DS129=CM129,CO129,IF(DS129=CQ129,CS129,IF(DS129=CU129,CW129,IF(DS129=CY129,DA129,IF(DS129=DC129,DE129,IF(DS129=DG129,DI129,IF(DS129=DK129,DM129,IF(DS129=DO129,DQ129,0))))))))))))))</f>
        <v>1.51359</v>
      </c>
      <c r="DV129">
        <f t="shared" si="67"/>
        <v>0</v>
      </c>
      <c r="DW129">
        <v>37501</v>
      </c>
      <c r="DX129">
        <v>3</v>
      </c>
      <c r="DY129">
        <v>20</v>
      </c>
      <c r="EA129">
        <v>4</v>
      </c>
      <c r="EB129">
        <v>16.856907401857999</v>
      </c>
      <c r="EC129">
        <v>1.3333333333333299</v>
      </c>
      <c r="ED129">
        <v>2.8216305333333298</v>
      </c>
      <c r="EE129">
        <v>6.4769444444444393E-2</v>
      </c>
      <c r="EF129">
        <v>1.51359</v>
      </c>
      <c r="EG129">
        <v>8.2392792429876707</v>
      </c>
      <c r="EH129">
        <v>6</v>
      </c>
      <c r="EI129">
        <v>0</v>
      </c>
      <c r="EJ129">
        <v>0.26235560000000002</v>
      </c>
      <c r="EK129">
        <v>1</v>
      </c>
      <c r="EL129">
        <v>0</v>
      </c>
      <c r="EM129">
        <v>51</v>
      </c>
      <c r="EN129">
        <v>1</v>
      </c>
      <c r="EO129">
        <v>4</v>
      </c>
      <c r="EP129">
        <v>6</v>
      </c>
      <c r="EQ129">
        <v>3</v>
      </c>
      <c r="ER129">
        <v>14.1987814663817</v>
      </c>
      <c r="ES129">
        <v>5.3194157121413701</v>
      </c>
      <c r="ET129">
        <v>8.1410462454746995</v>
      </c>
      <c r="EU129">
        <v>1.83929437473123</v>
      </c>
      <c r="EV129">
        <v>2.1016499747312301</v>
      </c>
      <c r="EW129">
        <v>0.92251119999999998</v>
      </c>
      <c r="EX129">
        <v>2.9804819940320399</v>
      </c>
      <c r="EY129">
        <v>3.9029931940320401</v>
      </c>
      <c r="EZ129">
        <v>0.26235560000000002</v>
      </c>
      <c r="FA129">
        <v>1.83929437473123</v>
      </c>
      <c r="FB129">
        <v>2.1016499747312301</v>
      </c>
      <c r="FC129">
        <v>1.94394893333333</v>
      </c>
      <c r="FD129">
        <v>5.5294787957245797</v>
      </c>
      <c r="FE129">
        <v>7.4734277290579101</v>
      </c>
      <c r="FF129">
        <v>0.26235560000000002</v>
      </c>
      <c r="FG129">
        <v>1.83929437473123</v>
      </c>
      <c r="FH129">
        <v>2.1016499747312301</v>
      </c>
    </row>
    <row r="130" spans="1:164" x14ac:dyDescent="0.2">
      <c r="A130">
        <v>129</v>
      </c>
      <c r="B130">
        <v>142</v>
      </c>
      <c r="C130">
        <v>235</v>
      </c>
      <c r="D130">
        <v>2</v>
      </c>
      <c r="E130">
        <v>13</v>
      </c>
      <c r="F130" t="s">
        <v>341</v>
      </c>
      <c r="G130" t="s">
        <v>122</v>
      </c>
      <c r="H130">
        <v>3</v>
      </c>
      <c r="I130">
        <v>4</v>
      </c>
      <c r="K130" t="s">
        <v>342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1</v>
      </c>
      <c r="AE130">
        <v>4</v>
      </c>
      <c r="AF130">
        <v>2</v>
      </c>
      <c r="AG130">
        <v>4</v>
      </c>
      <c r="AH130">
        <v>6</v>
      </c>
      <c r="AI130">
        <v>0.39097777777777798</v>
      </c>
      <c r="AJ130">
        <v>21.572330000000001</v>
      </c>
      <c r="AK130">
        <v>0.34573611111111102</v>
      </c>
      <c r="AL130">
        <v>10.678419999999999</v>
      </c>
      <c r="AM130">
        <v>0.24888333333333301</v>
      </c>
      <c r="AN130">
        <v>9.8802699999999994</v>
      </c>
      <c r="AO130">
        <v>0.23417499999999999</v>
      </c>
      <c r="AP130">
        <v>8.4194499999999994</v>
      </c>
      <c r="AQ130">
        <v>0.29709999999999998</v>
      </c>
      <c r="AR130">
        <v>10.491339999999999</v>
      </c>
      <c r="AS130">
        <v>0.29965833333333303</v>
      </c>
      <c r="AT130">
        <v>10.04041</v>
      </c>
      <c r="AU130">
        <v>0.294333333333333</v>
      </c>
      <c r="AV130">
        <v>12.446820000000001</v>
      </c>
      <c r="AW130">
        <v>0.31590833333333301</v>
      </c>
      <c r="AX130">
        <v>16.82236</v>
      </c>
      <c r="AY130">
        <v>0.32589444444444399</v>
      </c>
      <c r="AZ130">
        <v>18.0611</v>
      </c>
      <c r="BA130">
        <v>0.33924444444444402</v>
      </c>
      <c r="BB130">
        <v>19.381810000000002</v>
      </c>
      <c r="BC130">
        <v>0.400072222222222</v>
      </c>
      <c r="BD130">
        <v>20.706510000000002</v>
      </c>
      <c r="BE130">
        <v>0.41109166666666702</v>
      </c>
      <c r="BF130">
        <v>27.083469999999998</v>
      </c>
      <c r="BG130">
        <v>0.47496666666666698</v>
      </c>
      <c r="BH130">
        <v>30.486319999999999</v>
      </c>
      <c r="BI130">
        <v>0.518794444444444</v>
      </c>
      <c r="BJ130">
        <v>32.460230000000003</v>
      </c>
      <c r="BK130">
        <v>0.58693333333333297</v>
      </c>
      <c r="BL130">
        <v>39.275880000000001</v>
      </c>
      <c r="BM130">
        <v>0.62843611111111097</v>
      </c>
      <c r="BN130">
        <v>41.268560000000001</v>
      </c>
      <c r="BO130">
        <f t="shared" si="34"/>
        <v>0.23417499999999999</v>
      </c>
      <c r="BP130">
        <v>3</v>
      </c>
      <c r="BQ130">
        <v>8.4194499999999994</v>
      </c>
      <c r="BR130">
        <f t="shared" si="35"/>
        <v>0</v>
      </c>
      <c r="BS130">
        <f t="shared" si="36"/>
        <v>0.23417499999999999</v>
      </c>
      <c r="BT130">
        <f t="shared" si="37"/>
        <v>3</v>
      </c>
      <c r="BU130">
        <f t="shared" si="38"/>
        <v>8.4194499999999994</v>
      </c>
      <c r="BV130">
        <f t="shared" si="39"/>
        <v>0</v>
      </c>
      <c r="BW130">
        <f t="shared" si="40"/>
        <v>0.24888333333333301</v>
      </c>
      <c r="BX130">
        <v>2</v>
      </c>
      <c r="BY130">
        <v>9.8802699999999994</v>
      </c>
      <c r="BZ130">
        <f t="shared" si="43"/>
        <v>0</v>
      </c>
      <c r="CA130">
        <f t="shared" si="44"/>
        <v>0.23417499999999999</v>
      </c>
      <c r="CB130">
        <f>IF(CA130=BO130,BP130,IF(CA130=BS130,BT130,IF(CA130=BW130,BX130,0)))</f>
        <v>3</v>
      </c>
      <c r="CC130">
        <f>IF(CA130=BO130,BQ130,IF(CA130=BS130,BU130,IF(CA130=BW130,BY130,0)))</f>
        <v>8.4194499999999994</v>
      </c>
      <c r="CD130">
        <f t="shared" si="45"/>
        <v>0</v>
      </c>
      <c r="CE130">
        <f t="shared" si="46"/>
        <v>0.23417499999999999</v>
      </c>
      <c r="CF130">
        <f>IF(CE130=BO130,BP130,IF(CE130=BS130,BT130,IF(CE130=BW130,BX130,IF(CE130=CA130,CB130,0))))</f>
        <v>3</v>
      </c>
      <c r="CG130">
        <f>IF(CE130=BO130,BQ130,IF(CE130=BS130,BU130,IF(CE130=BW130,BY130,IF(CE130=CA130,CC130,0))))</f>
        <v>8.4194499999999994</v>
      </c>
      <c r="CH130">
        <f t="shared" si="47"/>
        <v>0</v>
      </c>
      <c r="CI130">
        <f t="shared" si="48"/>
        <v>0.23417499999999999</v>
      </c>
      <c r="CJ130">
        <f>IF(CI130=BO130,BP130,IF(CI130=BS130,BT130,IF(CI130=BW130,BX130,IF(CI130=CA130,CB130,IF(CI130=CE130,CF130,0)))))</f>
        <v>3</v>
      </c>
      <c r="CK130">
        <f>IF(CI130=BO130,BQ130,IF(CI130=BS130,BU130,IF(CI130=BW130,BY130,IF(CI130=CA130,CC130,IF(CI130=CE130,CG130,0)))))</f>
        <v>8.4194499999999994</v>
      </c>
      <c r="CL130">
        <f t="shared" si="49"/>
        <v>0</v>
      </c>
      <c r="CM130">
        <f t="shared" si="50"/>
        <v>0.23417499999999999</v>
      </c>
      <c r="CN130">
        <f>IF(CM130=BO130,BP130,IF(CM130=BS130,BT130,IF(CM130=BW130,BX130,IF(CM130=CA130,CB130,IF(CM130=CE130,CF130,IF(CM130=CI130,CJ130,0))))))</f>
        <v>3</v>
      </c>
      <c r="CO130">
        <f>IF(CM130=BO130,BQ130,IF(CM130=BS130,BU130,IF(CM130=BW130,BY130,IF(CM130=CA130,CC130,IF(CM130=CE130,CG130,IF(CM130=CI130,CK130,0))))))</f>
        <v>8.4194499999999994</v>
      </c>
      <c r="CP130">
        <f t="shared" si="51"/>
        <v>0</v>
      </c>
      <c r="CQ130">
        <f t="shared" si="52"/>
        <v>0.23417499999999999</v>
      </c>
      <c r="CR130">
        <f>IF(CQ130=BO130,BP130,IF(CQ130=BS130,BT130,IF(CQ130=BW130,BX130,IF(CQ130=CA130,CB130,IF(CQ130=CE130,CF130,IF(CQ130=CI130,CJ130,IF(CQ130=CM130,CN130,0)))))))</f>
        <v>3</v>
      </c>
      <c r="CS130">
        <f>IF(CQ130=BO130,BQ130,IF(CQ130=BS130,BU130,IF(CQ130=BW130,BY130,IF(CQ130=CA130,CC130,IF(CQ130=CE130,CG130,IF(CQ130=CI130,CK130,IF(CQ130=CM130,CO130,0)))))))</f>
        <v>8.4194499999999994</v>
      </c>
      <c r="CT130">
        <f t="shared" si="53"/>
        <v>0</v>
      </c>
      <c r="CU130">
        <f t="shared" si="54"/>
        <v>0.23417499999999999</v>
      </c>
      <c r="CV130">
        <f>IF(CU130=BO130,BP130,IF(CU130=BS130,BT130,IF(CU130=BW130,BX130,IF(CU130=CA130,CB130,IF(CU130=CE130,CF130,IF(CU130=CI130,CJ130,IF(CU130=CM130,CN130,IF(CU130=CQ130,CR130,0))))))))</f>
        <v>3</v>
      </c>
      <c r="CW130">
        <f>IF(CU130=BO130,BQ130,IF(CU130=BS130,BU130,IF(CU130=BW130,BY130,IF(CU130=CA130,CC130,IF(CU130=CE130,CG130,IF(CU130=CI130,CK130,IF(CU130=CM130,CO130,IF(CU130=CQ130,CS130,0))))))))</f>
        <v>8.4194499999999994</v>
      </c>
      <c r="CX130">
        <f t="shared" si="55"/>
        <v>0</v>
      </c>
      <c r="CY130">
        <f t="shared" si="56"/>
        <v>0.23417499999999999</v>
      </c>
      <c r="CZ130">
        <f>IF(CY130=BO130,BP130,IF(CY130=BS130,BT130,IF(CY130=BW130,BX130,IF(CY130=CA130,CB130,IF(CY130=CE130,CF130,IF(CY130=CI130,CJ130,IF(CY130=CM130,CN130,IF(CY130=CQ130,CR130,IF(CY130=CU130,CV130,0)))))))))</f>
        <v>3</v>
      </c>
      <c r="DA130">
        <f>IF(CY130=BO130,BQ130,IF(CY130=BS130,BU130,IF(CY130=BW130,BY130,IF(CY130=CA130,CC130,IF(CY130=CE130,CG130,IF(CY130=CI130,CK130,IF(CY130=CM130,CO130,IF(CY130=CQ130,CS130,IF(CY130=CU130,CW130,0)))))))))</f>
        <v>8.4194499999999994</v>
      </c>
      <c r="DB130">
        <f t="shared" si="57"/>
        <v>0</v>
      </c>
      <c r="DC130">
        <f t="shared" si="58"/>
        <v>0.23417499999999999</v>
      </c>
      <c r="DD130">
        <f>IF(DC130=BO130,BP130,IF(DC130=BS130,BT130,IF(DC130=BW130,BX130,IF(DC130=CA130,CB130,IF(DC130=CE130,CF130,IF(DC130=CI130,CJ130,IF(DC130=CM130,CN130,IF(DC130=CQ130,CR130,IF(DC130=CU130,CV130,IF(DC130=CY130,CZ130,0))))))))))</f>
        <v>3</v>
      </c>
      <c r="DE130">
        <f>IF(DC130=BO130,BQ130,IF(DC130=BS130,BU130,IF(DC130=BW130,BY130,IF(DC130=CA130,CC130,IF(DC130=CE130,CG130,IF(DC130=CI130,CK130,IF(DC130=CM130,CO130,IF(DC130=CQ130,CS130,IF(DC130=CU130,CW130,IF(DC130=CY130,DA130,0))))))))))</f>
        <v>8.4194499999999994</v>
      </c>
      <c r="DF130">
        <f t="shared" si="59"/>
        <v>0</v>
      </c>
      <c r="DG130">
        <f t="shared" si="60"/>
        <v>0.23417499999999999</v>
      </c>
      <c r="DH130">
        <f>IF(DG130=BO130,BP130,IF(DG130=BS130,BT130,IF(DG130=BW130,BX130,IF(DG130=CA130,CB130,IF(DG130=CE130,CF130,IF(DG130=CI130,CJ130,IF(DG130=CM130,CN130,IF(DG130=CQ130,CR130,IF(DG130=CU130,CV130,IF(DG130=CY130,CZ130,IF(DG130=DC130,DD130,0)))))))))))</f>
        <v>3</v>
      </c>
      <c r="DI130">
        <f>IF(DG130=BO130,BQ130,IF(DG130=BS130,BU130,IF(DG130=BW130,BY130,IF(DG130=CA130,CC130,IF(DG130=CE130,CG130,IF(DG130=CI130,CK130,IF(DG130=CM130,CO130,IF(DG130=CQ130,CS130,IF(DG130=CU130,CW130,IF(DG130=CY130,DA130,IF(DG130=DC130,DE130,0)))))))))))</f>
        <v>8.4194499999999994</v>
      </c>
      <c r="DJ130">
        <f t="shared" si="61"/>
        <v>0</v>
      </c>
      <c r="DK130">
        <f t="shared" si="62"/>
        <v>0.23417499999999999</v>
      </c>
      <c r="DL130">
        <f>IF(DK130=BO130,BP130,IF(DK130=BS130,BT130,IF(DK130=BW130,BX130,IF(DK130=CA130,CB130,IF(DK130=CE130,CF130,IF(DK130=CI130,CJ130,IF(DK130=CM130,CN130,IF(DK130=CQ130,CR130,IF(DK130=CU130,CV130,IF(DK130=CY130,CZ130,IF(DK130=DC130,DD130,IF(DK130=DG130,DH130,0))))))))))))</f>
        <v>3</v>
      </c>
      <c r="DM130">
        <f>IF(DK130=BO130,BQ130,IF(DK130=BS130,BU130,IF(DK130=BW130,BY130,IF(DK130=CA130,CC130,IF(DK130=CE130,CG130,IF(DK130=CI130,CK130,IF(DK130=CM130,CO130,IF(DK130=CQ130,CS130,IF(DK130=CU130,CW130,IF(DK130=CY130,DA130,IF(DK130=DC130,DE130,IF(DK130=DG130,DI130,0))))))))))))</f>
        <v>8.4194499999999994</v>
      </c>
      <c r="DN130">
        <f t="shared" si="63"/>
        <v>0</v>
      </c>
      <c r="DO130">
        <f t="shared" si="64"/>
        <v>0.23417499999999999</v>
      </c>
      <c r="DP130">
        <f>IF(DO130=BO130,BP130,IF(DO130=BS130,BT130,IF(DO130=BW130,BX130,IF(DO130=CA130,CB130,IF(DO130=CE130,CF130,IF(DO130=CI130,CJ130,IF(DO130=CM130,CN130,IF(DO130=CQ130,CR130,IF(DO130=CU130,CV130,IF(DO130=CY130,CZ130,IF(DO130=DC130,DD130,IF(DO130=DG130,DH130,IF(DO130=DK130,DL130,0)))))))))))))</f>
        <v>3</v>
      </c>
      <c r="DQ130">
        <f>IF(DO130=BO130,BQ130,IF(DO130=BS130,BU130,IF(DO130=BW130,BY130,IF(DO130=CA130,CC130,IF(DO130=CE130,CG130,IF(DO130=CI130,CK130,IF(DO130=CM130,CO130,IF(DO130=CQ130,CS130,IF(DO130=CU130,CW130,IF(DO130=CY130,DA130,IF(DO130=DC130,DE130,IF(DO130=DG130,DI130,IF(DO130=DK130,DM130,0)))))))))))))</f>
        <v>8.4194499999999994</v>
      </c>
      <c r="DR130">
        <f t="shared" si="65"/>
        <v>0</v>
      </c>
      <c r="DS130">
        <f t="shared" si="66"/>
        <v>0.23417499999999999</v>
      </c>
      <c r="DT130">
        <f>IF(DS130=BO130,BP130,IF(DS130=BS130,BT130,IF(DS130=BW130,BX130,IF(DS130=CA130,CB130,IF(DS130=CE130,CF130,IF(DS130=CI130,CJ130,IF(DS130=CM130,CN130,IF(DS130=CQ130,CR130,IF(DS130=CU130,CV130,IF(DS130=CY130,CZ130,IF(DS130=DC130,DD130,IF(DS130=DG130,DH130,IF(DS130=DK130,DL130,IF(DS130=DO130,DP130,0))))))))))))))</f>
        <v>3</v>
      </c>
      <c r="DU130">
        <f>IF(DS130=BO130,BQ130,IF(DS130=BS130,BU130,IF(DS130=BW130,BY130,IF(DS130=CA130,CC130,IF(DS130=CE130,CG130,IF(DS130=CI130,CK130,IF(DS130=CM130,CO130,IF(DS130=CQ130,CS130,IF(DS130=CU130,CW130,IF(DS130=CY130,DA130,IF(DS130=DC130,DE130,IF(DS130=DG130,DI130,IF(DS130=DK130,DM130,IF(DS130=DO130,DQ130,0))))))))))))))</f>
        <v>8.4194499999999994</v>
      </c>
      <c r="DV130">
        <f t="shared" si="67"/>
        <v>0</v>
      </c>
      <c r="DW130">
        <v>22500.5</v>
      </c>
      <c r="DX130">
        <v>2</v>
      </c>
      <c r="DY130">
        <v>20</v>
      </c>
      <c r="EA130">
        <v>4</v>
      </c>
      <c r="EB130">
        <v>10.114099490560401</v>
      </c>
      <c r="EC130">
        <v>2</v>
      </c>
      <c r="ED130">
        <v>7.6088057999999998</v>
      </c>
      <c r="EE130">
        <v>0.23417499999999999</v>
      </c>
      <c r="EF130">
        <v>8.4194499999999994</v>
      </c>
      <c r="EG130">
        <v>12.1348649234971</v>
      </c>
      <c r="EH130">
        <v>3</v>
      </c>
      <c r="EI130">
        <v>0</v>
      </c>
      <c r="EJ130">
        <v>2.189057</v>
      </c>
      <c r="EK130">
        <v>1</v>
      </c>
      <c r="EL130">
        <v>0</v>
      </c>
      <c r="EM130">
        <v>49</v>
      </c>
      <c r="EN130">
        <v>1</v>
      </c>
      <c r="EO130">
        <v>3</v>
      </c>
      <c r="EP130">
        <v>6</v>
      </c>
      <c r="EQ130">
        <v>2</v>
      </c>
      <c r="ER130">
        <v>14.1987814663817</v>
      </c>
      <c r="ES130">
        <v>11.102816049756401</v>
      </c>
      <c r="ET130">
        <v>18.711621849756401</v>
      </c>
      <c r="EU130">
        <v>6.6499992997798598</v>
      </c>
      <c r="EV130">
        <v>8.8390562997798607</v>
      </c>
      <c r="EW130">
        <v>4.6958859999999998</v>
      </c>
      <c r="EX130">
        <v>9.2546079955490494</v>
      </c>
      <c r="EY130">
        <v>13.950493995548999</v>
      </c>
      <c r="EZ130">
        <v>2.189057</v>
      </c>
      <c r="FA130">
        <v>6.6499992997798598</v>
      </c>
      <c r="FB130">
        <v>8.8390562997798607</v>
      </c>
      <c r="FC130">
        <v>2.189057</v>
      </c>
      <c r="FD130">
        <v>6.6499992997798598</v>
      </c>
      <c r="FE130">
        <v>8.8390562997798607</v>
      </c>
      <c r="FF130">
        <v>2.5688702000000001</v>
      </c>
      <c r="FG130">
        <v>7.0676801212492402</v>
      </c>
      <c r="FH130">
        <v>9.6365503212492492</v>
      </c>
    </row>
    <row r="131" spans="1:164" x14ac:dyDescent="0.2">
      <c r="A131">
        <v>130</v>
      </c>
      <c r="B131">
        <v>143</v>
      </c>
      <c r="C131">
        <v>236</v>
      </c>
      <c r="D131">
        <v>2</v>
      </c>
      <c r="E131">
        <v>13</v>
      </c>
      <c r="F131" t="s">
        <v>104</v>
      </c>
      <c r="G131" t="s">
        <v>343</v>
      </c>
      <c r="H131">
        <v>3</v>
      </c>
      <c r="I131">
        <v>2</v>
      </c>
      <c r="K131" t="s">
        <v>344</v>
      </c>
      <c r="L131">
        <v>0</v>
      </c>
      <c r="M131">
        <v>0</v>
      </c>
      <c r="N131">
        <v>1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3</v>
      </c>
      <c r="AD131">
        <v>1</v>
      </c>
      <c r="AE131">
        <v>8</v>
      </c>
      <c r="AF131">
        <v>4</v>
      </c>
      <c r="AG131">
        <v>7</v>
      </c>
      <c r="AH131">
        <v>5</v>
      </c>
      <c r="AI131">
        <v>0.24946388888888901</v>
      </c>
      <c r="AJ131">
        <v>11.68558</v>
      </c>
      <c r="AK131">
        <v>0.309338888888889</v>
      </c>
      <c r="AL131">
        <v>13.946</v>
      </c>
      <c r="AM131">
        <v>0.20344999999999999</v>
      </c>
      <c r="AN131">
        <v>11.475860000000001</v>
      </c>
      <c r="AO131">
        <v>0.199591666666667</v>
      </c>
      <c r="AP131">
        <v>9.1023599999999991</v>
      </c>
      <c r="AQ131">
        <v>0.22289166666666699</v>
      </c>
      <c r="AR131">
        <v>9.4302600000000005</v>
      </c>
      <c r="AS131">
        <v>0.18699444444444399</v>
      </c>
      <c r="AT131">
        <v>5.2198500000000001</v>
      </c>
      <c r="AU131">
        <v>0.117780555555556</v>
      </c>
      <c r="AV131">
        <v>4.1853100000000003</v>
      </c>
      <c r="AW131">
        <v>0.14529166666666701</v>
      </c>
      <c r="AX131">
        <v>6.3551399999999996</v>
      </c>
      <c r="AY131">
        <v>0.16709722222222201</v>
      </c>
      <c r="AZ131">
        <v>8.4214300000000009</v>
      </c>
      <c r="BA131">
        <v>0.181772222222222</v>
      </c>
      <c r="BB131">
        <v>9.2553199999999993</v>
      </c>
      <c r="BC131">
        <v>0.24127777777777801</v>
      </c>
      <c r="BD131">
        <v>11.066839999999999</v>
      </c>
      <c r="BE131">
        <v>0.27688333333333298</v>
      </c>
      <c r="BF131">
        <v>18.76118</v>
      </c>
      <c r="BG131">
        <v>0.340758333333333</v>
      </c>
      <c r="BH131">
        <v>22.16403</v>
      </c>
      <c r="BI131">
        <v>0.38458611111111102</v>
      </c>
      <c r="BJ131">
        <v>24.13795</v>
      </c>
      <c r="BK131">
        <v>0.45272499999999999</v>
      </c>
      <c r="BL131">
        <v>30.953600000000002</v>
      </c>
      <c r="BM131">
        <v>0.49422777777777799</v>
      </c>
      <c r="BN131">
        <v>32.946280000000002</v>
      </c>
      <c r="BO131">
        <f t="shared" ref="BO131:BO146" si="68">MIN(AI131,AM131,AO131,AQ131,AS131,AU131,AW131,AY131,BA131,BC131,BE131,BG131,BI131,BK131,BM131)</f>
        <v>0.117780555555556</v>
      </c>
      <c r="BP131">
        <v>6</v>
      </c>
      <c r="BQ131">
        <v>4.1853100000000003</v>
      </c>
      <c r="BR131">
        <f t="shared" ref="BR131:BR146" si="69">IF(BP131=1,5,IF(BP131=7,3,0))</f>
        <v>0</v>
      </c>
      <c r="BS131">
        <f t="shared" ref="BS131:BS146" si="70">MIN(AI131,AK131,AO131,AQ131,AS131,AU131,AW131,AY131,BA131,BC131,BE131,BG131,BI131,BK131,BM131)</f>
        <v>0.117780555555556</v>
      </c>
      <c r="BT131">
        <f t="shared" ref="BT131:BT146" si="71">IF(BS131=BO131,BP131,0)</f>
        <v>6</v>
      </c>
      <c r="BU131">
        <f t="shared" ref="BU131:BU146" si="72">IF(BS131=BO131,BQ131,0)</f>
        <v>4.1853100000000003</v>
      </c>
      <c r="BV131">
        <f t="shared" ref="BV131:BV146" si="73">IF(BT131=1,5,IF(BT131=7,3,0))</f>
        <v>0</v>
      </c>
      <c r="BW131">
        <f t="shared" ref="BW131:BW146" si="74">MIN(AI131,AK131,AM131,AQ131,AS131,AU131,AW131,AY131,BA131,BC131,BE131,BG131,BI131,BK131,BM131)</f>
        <v>0.117780555555556</v>
      </c>
      <c r="BX131">
        <f t="shared" ref="BX131:BX146" si="75">IF(BW131=BO131,BP131,IF(BW131=BS131,BT131,0))</f>
        <v>6</v>
      </c>
      <c r="BY131">
        <f t="shared" ref="BY131:BY146" si="76">IF(BW131=BO131,BQ131,IF(BW131=BS131,BU131,0))</f>
        <v>4.1853100000000003</v>
      </c>
      <c r="BZ131">
        <f t="shared" ref="BZ131:BZ146" si="77">IF(BX131=1,5,IF(BX131=7,3,0))</f>
        <v>0</v>
      </c>
      <c r="CA131">
        <f t="shared" ref="CA131:CA146" si="78">MIN(AI131,AK131,AM131,AO131,AS131,AU131,AW131,AY131,BA131,BC131,BE131,BG131,BI131,BK131,BM131)</f>
        <v>0.117780555555556</v>
      </c>
      <c r="CB131">
        <f>IF(CA131=BO131,BP131,IF(CA131=BS131,BT131,IF(CA131=BW131,BX131,0)))</f>
        <v>6</v>
      </c>
      <c r="CC131">
        <f>IF(CA131=BO131,BQ131,IF(CA131=BS131,BU131,IF(CA131=BW131,BY131,0)))</f>
        <v>4.1853100000000003</v>
      </c>
      <c r="CD131">
        <f t="shared" ref="CD131:CD146" si="79">IF(CB131=1,5,IF(CB131=7,3,0))</f>
        <v>0</v>
      </c>
      <c r="CE131">
        <f t="shared" ref="CE131:CE146" si="80">MIN(AI131,AK131,AM131,AO131,AQ131,AU131,AW131,AY131,BA131,BC131,BE131,BG131,BI131,BK131,BM131)</f>
        <v>0.117780555555556</v>
      </c>
      <c r="CF131">
        <f>IF(CE131=BO131,BP131,IF(CE131=BS131,BT131,IF(CE131=BW131,BX131,IF(CE131=CA131,CB131,0))))</f>
        <v>6</v>
      </c>
      <c r="CG131">
        <f>IF(CE131=BO131,BQ131,IF(CE131=BS131,BU131,IF(CE131=BW131,BY131,IF(CE131=CA131,CC131,0))))</f>
        <v>4.1853100000000003</v>
      </c>
      <c r="CH131">
        <f t="shared" ref="CH131:CH146" si="81">IF(CF131=1,5,IF(CF131=7,3,0))</f>
        <v>0</v>
      </c>
      <c r="CI131">
        <f t="shared" ref="CI131:CI146" si="82">MIN(AI131,AK131,AM131,AO131,AQ131,AS131,AW131,AY131,BA131,BC131,BE131,BG131,BI131,BK131,BM131)</f>
        <v>0.14529166666666701</v>
      </c>
      <c r="CJ131">
        <v>7</v>
      </c>
      <c r="CK131">
        <v>6.3551399999999996</v>
      </c>
      <c r="CL131">
        <f t="shared" ref="CL131:CL146" si="83">IF(CJ131=1,5,IF(CJ131=7,3,0))</f>
        <v>3</v>
      </c>
      <c r="CM131">
        <f t="shared" ref="CM131:CM146" si="84">MIN(AI131,AK131,AM131,AO131,AQ131,AS131,AU131,AY131,BA131,BC131,BE131,BG131,BI131,BK131,BM131)</f>
        <v>0.117780555555556</v>
      </c>
      <c r="CN131">
        <f>IF(CM131=BO131,BP131,IF(CM131=BS131,BT131,IF(CM131=BW131,BX131,IF(CM131=CA131,CB131,IF(CM131=CE131,CF131,IF(CM131=CI131,CJ131,0))))))</f>
        <v>6</v>
      </c>
      <c r="CO131">
        <f>IF(CM131=BO131,BQ131,IF(CM131=BS131,BU131,IF(CM131=BW131,BY131,IF(CM131=CA131,CC131,IF(CM131=CE131,CG131,IF(CM131=CI131,CK131,0))))))</f>
        <v>4.1853100000000003</v>
      </c>
      <c r="CP131">
        <f t="shared" ref="CP131:CP146" si="85">IF(CN131=1,5,IF(CN131=7,3,0))</f>
        <v>0</v>
      </c>
      <c r="CQ131">
        <f t="shared" ref="CQ131:CQ146" si="86">MIN(AI131,AK131,AM131,AO131,AQ131,AS131,AU131,AW131,BA131,BC131,BE131,BG131,BI131,BK131,BM131)</f>
        <v>0.117780555555556</v>
      </c>
      <c r="CR131">
        <f>IF(CQ131=BO131,BP131,IF(CQ131=BS131,BT131,IF(CQ131=BW131,BX131,IF(CQ131=CA131,CB131,IF(CQ131=CE131,CF131,IF(CQ131=CI131,CJ131,IF(CQ131=CM131,CN131,0)))))))</f>
        <v>6</v>
      </c>
      <c r="CS131">
        <f>IF(CQ131=BO131,BQ131,IF(CQ131=BS131,BU131,IF(CQ131=BW131,BY131,IF(CQ131=CA131,CC131,IF(CQ131=CE131,CG131,IF(CQ131=CI131,CK131,IF(CQ131=CM131,CO131,0)))))))</f>
        <v>4.1853100000000003</v>
      </c>
      <c r="CT131">
        <f t="shared" ref="CT131:CT146" si="87">IF(CR131=1,5,IF(CR131=7,3,0))</f>
        <v>0</v>
      </c>
      <c r="CU131">
        <f t="shared" ref="CU131:CU146" si="88">MIN(AI131,AK131,AM131,AO131,AQ131,AS131,AU131,AW131,AY131,BC131,BE131,BG131,BI131,BK131,BM131)</f>
        <v>0.117780555555556</v>
      </c>
      <c r="CV131">
        <f>IF(CU131=BO131,BP131,IF(CU131=BS131,BT131,IF(CU131=BW131,BX131,IF(CU131=CA131,CB131,IF(CU131=CE131,CF131,IF(CU131=CI131,CJ131,IF(CU131=CM131,CN131,IF(CU131=CQ131,CR131,0))))))))</f>
        <v>6</v>
      </c>
      <c r="CW131">
        <f>IF(CU131=BO131,BQ131,IF(CU131=BS131,BU131,IF(CU131=BW131,BY131,IF(CU131=CA131,CC131,IF(CU131=CE131,CG131,IF(CU131=CI131,CK131,IF(CU131=CM131,CO131,IF(CU131=CQ131,CS131,0))))))))</f>
        <v>4.1853100000000003</v>
      </c>
      <c r="CX131">
        <f t="shared" ref="CX131:CX146" si="89">IF(CV131=1,5,IF(CV131=7,3,0))</f>
        <v>0</v>
      </c>
      <c r="CY131">
        <f t="shared" ref="CY131:CY146" si="90">MIN(AI131,AK131,AM131,AO131,AQ131,AS131,AU131,AW131,AY131,BA131,BE131,BG131,BI131,BK131,BM131)</f>
        <v>0.117780555555556</v>
      </c>
      <c r="CZ131">
        <f>IF(CY131=BO131,BP131,IF(CY131=BS131,BT131,IF(CY131=BW131,BX131,IF(CY131=CA131,CB131,IF(CY131=CE131,CF131,IF(CY131=CI131,CJ131,IF(CY131=CM131,CN131,IF(CY131=CQ131,CR131,IF(CY131=CU131,CV131,0)))))))))</f>
        <v>6</v>
      </c>
      <c r="DA131">
        <f>IF(CY131=BO131,BQ131,IF(CY131=BS131,BU131,IF(CY131=BW131,BY131,IF(CY131=CA131,CC131,IF(CY131=CE131,CG131,IF(CY131=CI131,CK131,IF(CY131=CM131,CO131,IF(CY131=CQ131,CS131,IF(CY131=CU131,CW131,0)))))))))</f>
        <v>4.1853100000000003</v>
      </c>
      <c r="DB131">
        <f t="shared" ref="DB131:DB146" si="91">IF(CZ131=1,5,IF(CZ131=7,3,0))</f>
        <v>0</v>
      </c>
      <c r="DC131">
        <f t="shared" ref="DC131:DC146" si="92">MIN(AI131,AK131,AM131,AO131,AQ131,AS131,AU131,AW131,AY131,BA131,BC131,BG131,BI131,BK131,BM131)</f>
        <v>0.117780555555556</v>
      </c>
      <c r="DD131">
        <f>IF(DC131=BO131,BP131,IF(DC131=BS131,BT131,IF(DC131=BW131,BX131,IF(DC131=CA131,CB131,IF(DC131=CE131,CF131,IF(DC131=CI131,CJ131,IF(DC131=CM131,CN131,IF(DC131=CQ131,CR131,IF(DC131=CU131,CV131,IF(DC131=CY131,CZ131,0))))))))))</f>
        <v>6</v>
      </c>
      <c r="DE131">
        <f>IF(DC131=BO131,BQ131,IF(DC131=BS131,BU131,IF(DC131=BW131,BY131,IF(DC131=CA131,CC131,IF(DC131=CE131,CG131,IF(DC131=CI131,CK131,IF(DC131=CM131,CO131,IF(DC131=CQ131,CS131,IF(DC131=CU131,CW131,IF(DC131=CY131,DA131,0))))))))))</f>
        <v>4.1853100000000003</v>
      </c>
      <c r="DF131">
        <f t="shared" ref="DF131:DF146" si="93">IF(DD131=1,5,IF(DD131=7,3,0))</f>
        <v>0</v>
      </c>
      <c r="DG131">
        <f t="shared" ref="DG131:DG146" si="94">MIN(AI131,AK131,AM131,AO131,AQ131,AS131,AU131,AW131,AY131,BA131,BC131,BE131,BI131,BK131,BM131)</f>
        <v>0.117780555555556</v>
      </c>
      <c r="DH131">
        <f>IF(DG131=BO131,BP131,IF(DG131=BS131,BT131,IF(DG131=BW131,BX131,IF(DG131=CA131,CB131,IF(DG131=CE131,CF131,IF(DG131=CI131,CJ131,IF(DG131=CM131,CN131,IF(DG131=CQ131,CR131,IF(DG131=CU131,CV131,IF(DG131=CY131,CZ131,IF(DG131=DC131,DD131,0)))))))))))</f>
        <v>6</v>
      </c>
      <c r="DI131">
        <f>IF(DG131=BO131,BQ131,IF(DG131=BS131,BU131,IF(DG131=BW131,BY131,IF(DG131=CA131,CC131,IF(DG131=CE131,CG131,IF(DG131=CI131,CK131,IF(DG131=CM131,CO131,IF(DG131=CQ131,CS131,IF(DG131=CU131,CW131,IF(DG131=CY131,DA131,IF(DG131=DC131,DE131,0)))))))))))</f>
        <v>4.1853100000000003</v>
      </c>
      <c r="DJ131">
        <f t="shared" ref="DJ131:DJ146" si="95">IF(DH131=1,5,IF(DH131=7,3,0))</f>
        <v>0</v>
      </c>
      <c r="DK131">
        <f t="shared" ref="DK131:DK146" si="96">MIN(AI131,AK131,AM131,AO131,AQ131,AS131,AU131,AW131,AY131,BA131,BC131,BE131,BG131,BK131,BM131)</f>
        <v>0.117780555555556</v>
      </c>
      <c r="DL131">
        <f>IF(DK131=BO131,BP131,IF(DK131=BS131,BT131,IF(DK131=BW131,BX131,IF(DK131=CA131,CB131,IF(DK131=CE131,CF131,IF(DK131=CI131,CJ131,IF(DK131=CM131,CN131,IF(DK131=CQ131,CR131,IF(DK131=CU131,CV131,IF(DK131=CY131,CZ131,IF(DK131=DC131,DD131,IF(DK131=DG131,DH131,0))))))))))))</f>
        <v>6</v>
      </c>
      <c r="DM131">
        <f>IF(DK131=BO131,BQ131,IF(DK131=BS131,BU131,IF(DK131=BW131,BY131,IF(DK131=CA131,CC131,IF(DK131=CE131,CG131,IF(DK131=CI131,CK131,IF(DK131=CM131,CO131,IF(DK131=CQ131,CS131,IF(DK131=CU131,CW131,IF(DK131=CY131,DA131,IF(DK131=DC131,DE131,IF(DK131=DG131,DI131,0))))))))))))</f>
        <v>4.1853100000000003</v>
      </c>
      <c r="DN131">
        <f t="shared" ref="DN131:DN146" si="97">IF(DL131=1,5,IF(DL131=7,3,0))</f>
        <v>0</v>
      </c>
      <c r="DO131">
        <f t="shared" ref="DO131:DO146" si="98">MIN(AI131,AK131,AM131,AO131,AQ131,AS131,AU131,AW131,AY131,BA131,BC131,BE131,BG131,BI131,BM131)</f>
        <v>0.117780555555556</v>
      </c>
      <c r="DP131">
        <f>IF(DO131=BO131,BP131,IF(DO131=BS131,BT131,IF(DO131=BW131,BX131,IF(DO131=CA131,CB131,IF(DO131=CE131,CF131,IF(DO131=CI131,CJ131,IF(DO131=CM131,CN131,IF(DO131=CQ131,CR131,IF(DO131=CU131,CV131,IF(DO131=CY131,CZ131,IF(DO131=DC131,DD131,IF(DO131=DG131,DH131,IF(DO131=DK131,DL131,0)))))))))))))</f>
        <v>6</v>
      </c>
      <c r="DQ131">
        <f>IF(DO131=BO131,BQ131,IF(DO131=BS131,BU131,IF(DO131=BW131,BY131,IF(DO131=CA131,CC131,IF(DO131=CE131,CG131,IF(DO131=CI131,CK131,IF(DO131=CM131,CO131,IF(DO131=CQ131,CS131,IF(DO131=CU131,CW131,IF(DO131=CY131,DA131,IF(DO131=DC131,DE131,IF(DO131=DG131,DI131,IF(DO131=DK131,DM131,0)))))))))))))</f>
        <v>4.1853100000000003</v>
      </c>
      <c r="DR131">
        <f t="shared" ref="DR131:DR146" si="99">IF(DP131=1,5,IF(DP131=7,3,0))</f>
        <v>0</v>
      </c>
      <c r="DS131">
        <f t="shared" ref="DS131:DS146" si="100">MIN(AK131,AM131,AO131,AQ131,AS131,AU131,AW131,AY131,BA131,BC131,BE131,BG131,BI131,BK131)</f>
        <v>0.117780555555556</v>
      </c>
      <c r="DT131">
        <f>IF(DS131=BO131,BP131,IF(DS131=BS131,BT131,IF(DS131=BW131,BX131,IF(DS131=CA131,CB131,IF(DS131=CE131,CF131,IF(DS131=CI131,CJ131,IF(DS131=CM131,CN131,IF(DS131=CQ131,CR131,IF(DS131=CU131,CV131,IF(DS131=CY131,CZ131,IF(DS131=DC131,DD131,IF(DS131=DG131,DH131,IF(DS131=DK131,DL131,IF(DS131=DO131,DP131,0))))))))))))))</f>
        <v>6</v>
      </c>
      <c r="DU131">
        <f>IF(DS131=BO131,BQ131,IF(DS131=BS131,BU131,IF(DS131=BW131,BY131,IF(DS131=CA131,CC131,IF(DS131=CE131,CG131,IF(DS131=CI131,CK131,IF(DS131=CM131,CO131,IF(DS131=CQ131,CS131,IF(DS131=CU131,CW131,IF(DS131=CY131,DA131,IF(DS131=DC131,DE131,IF(DS131=DG131,DI131,IF(DS131=DK131,DM131,IF(DS131=DO131,DQ131,0))))))))))))))</f>
        <v>4.1853100000000003</v>
      </c>
      <c r="DV131">
        <f t="shared" ref="DV131:DV146" si="101">IF(DT131=1,5,IF(DT131=7,3,0))</f>
        <v>0</v>
      </c>
      <c r="DW131">
        <v>37501</v>
      </c>
      <c r="DX131">
        <v>4</v>
      </c>
      <c r="DY131">
        <v>20</v>
      </c>
      <c r="DZ131">
        <v>0</v>
      </c>
      <c r="EA131">
        <v>0</v>
      </c>
      <c r="EB131">
        <v>16.856907401857999</v>
      </c>
      <c r="EC131">
        <v>0</v>
      </c>
      <c r="ED131">
        <v>1.5191254000000001</v>
      </c>
      <c r="EE131">
        <v>0.117780555555556</v>
      </c>
      <c r="EF131">
        <v>4.1853100000000003</v>
      </c>
      <c r="EG131">
        <v>9.0133076583661396</v>
      </c>
      <c r="EH131">
        <v>6</v>
      </c>
      <c r="EI131">
        <v>0</v>
      </c>
      <c r="EJ131">
        <v>0.54409030000000003</v>
      </c>
      <c r="EK131">
        <v>1</v>
      </c>
      <c r="EL131">
        <v>0</v>
      </c>
      <c r="EM131">
        <v>50</v>
      </c>
      <c r="EN131">
        <v>0</v>
      </c>
      <c r="EO131">
        <v>2</v>
      </c>
      <c r="EP131">
        <v>5</v>
      </c>
      <c r="EQ131">
        <v>4</v>
      </c>
      <c r="ER131">
        <v>14.1987814663817</v>
      </c>
      <c r="ES131">
        <v>7.0841664841741103</v>
      </c>
      <c r="ET131">
        <v>8.6032918841741104</v>
      </c>
      <c r="EU131">
        <v>3.3446807386447301</v>
      </c>
      <c r="EV131">
        <v>3.8887710386447298</v>
      </c>
      <c r="EW131">
        <v>1.0947859</v>
      </c>
      <c r="EX131">
        <v>4.7451538839454903</v>
      </c>
      <c r="EY131">
        <v>5.8399397839454901</v>
      </c>
      <c r="EZ131">
        <v>0.54409030000000003</v>
      </c>
      <c r="FA131">
        <v>3.3446807386447301</v>
      </c>
      <c r="FB131">
        <v>3.8887710386447298</v>
      </c>
      <c r="FC131">
        <v>1.1833068</v>
      </c>
      <c r="FD131">
        <v>5.6679169150217996</v>
      </c>
      <c r="FE131">
        <v>6.8512237150218001</v>
      </c>
      <c r="FF131">
        <v>0.54409030000000003</v>
      </c>
      <c r="FG131">
        <v>3.3446807386447301</v>
      </c>
      <c r="FH131">
        <v>3.8887710386447298</v>
      </c>
    </row>
    <row r="132" spans="1:164" x14ac:dyDescent="0.2">
      <c r="A132">
        <v>131</v>
      </c>
      <c r="B132">
        <v>144</v>
      </c>
      <c r="C132">
        <v>238</v>
      </c>
      <c r="D132">
        <v>2</v>
      </c>
      <c r="E132">
        <v>13</v>
      </c>
      <c r="F132" t="s">
        <v>345</v>
      </c>
      <c r="G132" t="s">
        <v>122</v>
      </c>
      <c r="H132">
        <v>3</v>
      </c>
      <c r="I132">
        <v>4</v>
      </c>
      <c r="K132" t="s">
        <v>346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3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1</v>
      </c>
      <c r="AD132">
        <v>3</v>
      </c>
      <c r="AE132">
        <v>8</v>
      </c>
      <c r="AF132">
        <v>4</v>
      </c>
      <c r="AG132">
        <v>5</v>
      </c>
      <c r="AH132">
        <v>5</v>
      </c>
      <c r="AI132">
        <v>0.32575833333333298</v>
      </c>
      <c r="AJ132">
        <v>20.357669999999999</v>
      </c>
      <c r="AK132">
        <v>0.60309722222222195</v>
      </c>
      <c r="AL132">
        <v>41.004829999999998</v>
      </c>
      <c r="AM132">
        <v>0.49720833333333297</v>
      </c>
      <c r="AN132">
        <v>38.534680000000002</v>
      </c>
      <c r="AO132">
        <v>0.49335000000000001</v>
      </c>
      <c r="AP132">
        <v>36.161189999999998</v>
      </c>
      <c r="AQ132">
        <v>0.51665000000000005</v>
      </c>
      <c r="AR132">
        <v>36.489089999999997</v>
      </c>
      <c r="AS132">
        <v>0.48183611111111102</v>
      </c>
      <c r="AT132">
        <v>32.989220000000003</v>
      </c>
      <c r="AU132">
        <v>0.38118055555555602</v>
      </c>
      <c r="AV132">
        <v>27.453679999999999</v>
      </c>
      <c r="AW132">
        <v>0.35645555555555603</v>
      </c>
      <c r="AX132">
        <v>25.427510000000002</v>
      </c>
      <c r="AY132">
        <v>0.34594722222222202</v>
      </c>
      <c r="AZ132">
        <v>23.871089999999999</v>
      </c>
      <c r="BA132">
        <v>0.330938888888889</v>
      </c>
      <c r="BB132">
        <v>23.288119999999999</v>
      </c>
      <c r="BC132">
        <v>0.33739166666666698</v>
      </c>
      <c r="BD132">
        <v>20.833379999999998</v>
      </c>
      <c r="BE132">
        <v>0.23503333333333301</v>
      </c>
      <c r="BF132">
        <v>14.347910000000001</v>
      </c>
      <c r="BG132">
        <v>0.25468888888888902</v>
      </c>
      <c r="BH132">
        <v>13.983409999999999</v>
      </c>
      <c r="BI132">
        <v>0.23787222222222201</v>
      </c>
      <c r="BJ132">
        <v>9.4150200000000002</v>
      </c>
      <c r="BK132">
        <v>0.22454444444444399</v>
      </c>
      <c r="BL132">
        <v>8.3888300000000005</v>
      </c>
      <c r="BM132">
        <v>0.19396666666666701</v>
      </c>
      <c r="BN132">
        <v>7.0839499999999997</v>
      </c>
      <c r="BO132">
        <f t="shared" si="68"/>
        <v>0.19396666666666701</v>
      </c>
      <c r="BP132">
        <v>18</v>
      </c>
      <c r="BQ132">
        <v>7.0839499999999997</v>
      </c>
      <c r="BR132">
        <f t="shared" si="69"/>
        <v>0</v>
      </c>
      <c r="BS132">
        <f t="shared" si="70"/>
        <v>0.19396666666666701</v>
      </c>
      <c r="BT132">
        <f t="shared" si="71"/>
        <v>18</v>
      </c>
      <c r="BU132">
        <f t="shared" si="72"/>
        <v>7.0839499999999997</v>
      </c>
      <c r="BV132">
        <f t="shared" si="73"/>
        <v>0</v>
      </c>
      <c r="BW132">
        <f t="shared" si="74"/>
        <v>0.19396666666666701</v>
      </c>
      <c r="BX132">
        <f t="shared" si="75"/>
        <v>18</v>
      </c>
      <c r="BY132">
        <f t="shared" si="76"/>
        <v>7.0839499999999997</v>
      </c>
      <c r="BZ132">
        <f t="shared" si="77"/>
        <v>0</v>
      </c>
      <c r="CA132">
        <f t="shared" si="78"/>
        <v>0.19396666666666701</v>
      </c>
      <c r="CB132">
        <f>IF(CA132=BO132,BP132,IF(CA132=BS132,BT132,IF(CA132=BW132,BX132,0)))</f>
        <v>18</v>
      </c>
      <c r="CC132">
        <f>IF(CA132=BO132,BQ132,IF(CA132=BS132,BU132,IF(CA132=BW132,BY132,0)))</f>
        <v>7.0839499999999997</v>
      </c>
      <c r="CD132">
        <f t="shared" si="79"/>
        <v>0</v>
      </c>
      <c r="CE132">
        <f t="shared" si="80"/>
        <v>0.19396666666666701</v>
      </c>
      <c r="CF132">
        <f>IF(CE132=BO132,BP132,IF(CE132=BS132,BT132,IF(CE132=BW132,BX132,IF(CE132=CA132,CB132,0))))</f>
        <v>18</v>
      </c>
      <c r="CG132">
        <f>IF(CE132=BO132,BQ132,IF(CE132=BS132,BU132,IF(CE132=BW132,BY132,IF(CE132=CA132,CC132,0))))</f>
        <v>7.0839499999999997</v>
      </c>
      <c r="CH132">
        <f t="shared" si="81"/>
        <v>0</v>
      </c>
      <c r="CI132">
        <f t="shared" si="82"/>
        <v>0.19396666666666701</v>
      </c>
      <c r="CJ132">
        <f>IF(CI132=BO132,BP132,IF(CI132=BS132,BT132,IF(CI132=BW132,BX132,IF(CI132=CA132,CB132,IF(CI132=CE132,CF132,0)))))</f>
        <v>18</v>
      </c>
      <c r="CK132">
        <f>IF(CI132=BO132,BQ132,IF(CI132=BS132,BU132,IF(CI132=BW132,BY132,IF(CI132=CA132,CC132,IF(CI132=CE132,CG132,0)))))</f>
        <v>7.0839499999999997</v>
      </c>
      <c r="CL132">
        <f t="shared" si="83"/>
        <v>0</v>
      </c>
      <c r="CM132">
        <f t="shared" si="84"/>
        <v>0.19396666666666701</v>
      </c>
      <c r="CN132">
        <f>IF(CM132=BO132,BP132,IF(CM132=BS132,BT132,IF(CM132=BW132,BX132,IF(CM132=CA132,CB132,IF(CM132=CE132,CF132,IF(CM132=CI132,CJ132,0))))))</f>
        <v>18</v>
      </c>
      <c r="CO132">
        <f>IF(CM132=BO132,BQ132,IF(CM132=BS132,BU132,IF(CM132=BW132,BY132,IF(CM132=CA132,CC132,IF(CM132=CE132,CG132,IF(CM132=CI132,CK132,0))))))</f>
        <v>7.0839499999999997</v>
      </c>
      <c r="CP132">
        <f t="shared" si="85"/>
        <v>0</v>
      </c>
      <c r="CQ132">
        <f t="shared" si="86"/>
        <v>0.19396666666666701</v>
      </c>
      <c r="CR132">
        <f>IF(CQ132=BO132,BP132,IF(CQ132=BS132,BT132,IF(CQ132=BW132,BX132,IF(CQ132=CA132,CB132,IF(CQ132=CE132,CF132,IF(CQ132=CI132,CJ132,IF(CQ132=CM132,CN132,0)))))))</f>
        <v>18</v>
      </c>
      <c r="CS132">
        <f>IF(CQ132=BO132,BQ132,IF(CQ132=BS132,BU132,IF(CQ132=BW132,BY132,IF(CQ132=CA132,CC132,IF(CQ132=CE132,CG132,IF(CQ132=CI132,CK132,IF(CQ132=CM132,CO132,0)))))))</f>
        <v>7.0839499999999997</v>
      </c>
      <c r="CT132">
        <f t="shared" si="87"/>
        <v>0</v>
      </c>
      <c r="CU132">
        <f t="shared" si="88"/>
        <v>0.19396666666666701</v>
      </c>
      <c r="CV132">
        <f>IF(CU132=BO132,BP132,IF(CU132=BS132,BT132,IF(CU132=BW132,BX132,IF(CU132=CA132,CB132,IF(CU132=CE132,CF132,IF(CU132=CI132,CJ132,IF(CU132=CM132,CN132,IF(CU132=CQ132,CR132,0))))))))</f>
        <v>18</v>
      </c>
      <c r="CW132">
        <f>IF(CU132=BO132,BQ132,IF(CU132=BS132,BU132,IF(CU132=BW132,BY132,IF(CU132=CA132,CC132,IF(CU132=CE132,CG132,IF(CU132=CI132,CK132,IF(CU132=CM132,CO132,IF(CU132=CQ132,CS132,0))))))))</f>
        <v>7.0839499999999997</v>
      </c>
      <c r="CX132">
        <f t="shared" si="89"/>
        <v>0</v>
      </c>
      <c r="CY132">
        <f t="shared" si="90"/>
        <v>0.19396666666666701</v>
      </c>
      <c r="CZ132">
        <f>IF(CY132=BO132,BP132,IF(CY132=BS132,BT132,IF(CY132=BW132,BX132,IF(CY132=CA132,CB132,IF(CY132=CE132,CF132,IF(CY132=CI132,CJ132,IF(CY132=CM132,CN132,IF(CY132=CQ132,CR132,IF(CY132=CU132,CV132,0)))))))))</f>
        <v>18</v>
      </c>
      <c r="DA132">
        <f>IF(CY132=BO132,BQ132,IF(CY132=BS132,BU132,IF(CY132=BW132,BY132,IF(CY132=CA132,CC132,IF(CY132=CE132,CG132,IF(CY132=CI132,CK132,IF(CY132=CM132,CO132,IF(CY132=CQ132,CS132,IF(CY132=CU132,CW132,0)))))))))</f>
        <v>7.0839499999999997</v>
      </c>
      <c r="DB132">
        <f t="shared" si="91"/>
        <v>0</v>
      </c>
      <c r="DC132">
        <f t="shared" si="92"/>
        <v>0.19396666666666701</v>
      </c>
      <c r="DD132">
        <f>IF(DC132=BO132,BP132,IF(DC132=BS132,BT132,IF(DC132=BW132,BX132,IF(DC132=CA132,CB132,IF(DC132=CE132,CF132,IF(DC132=CI132,CJ132,IF(DC132=CM132,CN132,IF(DC132=CQ132,CR132,IF(DC132=CU132,CV132,IF(DC132=CY132,CZ132,0))))))))))</f>
        <v>18</v>
      </c>
      <c r="DE132">
        <f>IF(DC132=BO132,BQ132,IF(DC132=BS132,BU132,IF(DC132=BW132,BY132,IF(DC132=CA132,CC132,IF(DC132=CE132,CG132,IF(DC132=CI132,CK132,IF(DC132=CM132,CO132,IF(DC132=CQ132,CS132,IF(DC132=CU132,CW132,IF(DC132=CY132,DA132,0))))))))))</f>
        <v>7.0839499999999997</v>
      </c>
      <c r="DF132">
        <f t="shared" si="93"/>
        <v>0</v>
      </c>
      <c r="DG132">
        <f t="shared" si="94"/>
        <v>0.19396666666666701</v>
      </c>
      <c r="DH132">
        <f>IF(DG132=BO132,BP132,IF(DG132=BS132,BT132,IF(DG132=BW132,BX132,IF(DG132=CA132,CB132,IF(DG132=CE132,CF132,IF(DG132=CI132,CJ132,IF(DG132=CM132,CN132,IF(DG132=CQ132,CR132,IF(DG132=CU132,CV132,IF(DG132=CY132,CZ132,IF(DG132=DC132,DD132,0)))))))))))</f>
        <v>18</v>
      </c>
      <c r="DI132">
        <f>IF(DG132=BO132,BQ132,IF(DG132=BS132,BU132,IF(DG132=BW132,BY132,IF(DG132=CA132,CC132,IF(DG132=CE132,CG132,IF(DG132=CI132,CK132,IF(DG132=CM132,CO132,IF(DG132=CQ132,CS132,IF(DG132=CU132,CW132,IF(DG132=CY132,DA132,IF(DG132=DC132,DE132,0)))))))))))</f>
        <v>7.0839499999999997</v>
      </c>
      <c r="DJ132">
        <f t="shared" si="95"/>
        <v>0</v>
      </c>
      <c r="DK132">
        <f t="shared" si="96"/>
        <v>0.19396666666666701</v>
      </c>
      <c r="DL132">
        <f>IF(DK132=BO132,BP132,IF(DK132=BS132,BT132,IF(DK132=BW132,BX132,IF(DK132=CA132,CB132,IF(DK132=CE132,CF132,IF(DK132=CI132,CJ132,IF(DK132=CM132,CN132,IF(DK132=CQ132,CR132,IF(DK132=CU132,CV132,IF(DK132=CY132,CZ132,IF(DK132=DC132,DD132,IF(DK132=DG132,DH132,0))))))))))))</f>
        <v>18</v>
      </c>
      <c r="DM132">
        <f>IF(DK132=BO132,BQ132,IF(DK132=BS132,BU132,IF(DK132=BW132,BY132,IF(DK132=CA132,CC132,IF(DK132=CE132,CG132,IF(DK132=CI132,CK132,IF(DK132=CM132,CO132,IF(DK132=CQ132,CS132,IF(DK132=CU132,CW132,IF(DK132=CY132,DA132,IF(DK132=DC132,DE132,IF(DK132=DG132,DI132,0))))))))))))</f>
        <v>7.0839499999999997</v>
      </c>
      <c r="DN132">
        <f t="shared" si="97"/>
        <v>0</v>
      </c>
      <c r="DO132">
        <f t="shared" si="98"/>
        <v>0.19396666666666701</v>
      </c>
      <c r="DP132">
        <f>IF(DO132=BO132,BP132,IF(DO132=BS132,BT132,IF(DO132=BW132,BX132,IF(DO132=CA132,CB132,IF(DO132=CE132,CF132,IF(DO132=CI132,CJ132,IF(DO132=CM132,CN132,IF(DO132=CQ132,CR132,IF(DO132=CU132,CV132,IF(DO132=CY132,CZ132,IF(DO132=DC132,DD132,IF(DO132=DG132,DH132,IF(DO132=DK132,DL132,0)))))))))))))</f>
        <v>18</v>
      </c>
      <c r="DQ132">
        <f>IF(DO132=BO132,BQ132,IF(DO132=BS132,BU132,IF(DO132=BW132,BY132,IF(DO132=CA132,CC132,IF(DO132=CE132,CG132,IF(DO132=CI132,CK132,IF(DO132=CM132,CO132,IF(DO132=CQ132,CS132,IF(DO132=CU132,CW132,IF(DO132=CY132,DA132,IF(DO132=DC132,DE132,IF(DO132=DG132,DI132,IF(DO132=DK132,DM132,0)))))))))))))</f>
        <v>7.0839499999999997</v>
      </c>
      <c r="DR132">
        <f t="shared" si="99"/>
        <v>0</v>
      </c>
      <c r="DS132">
        <f t="shared" si="100"/>
        <v>0.22454444444444399</v>
      </c>
      <c r="DT132">
        <v>17</v>
      </c>
      <c r="DU132">
        <v>8.3888300000000005</v>
      </c>
      <c r="DV132">
        <f t="shared" si="101"/>
        <v>0</v>
      </c>
      <c r="DW132">
        <v>31226.480769230799</v>
      </c>
      <c r="DX132">
        <v>6</v>
      </c>
      <c r="DY132">
        <v>28</v>
      </c>
      <c r="EA132">
        <v>4</v>
      </c>
      <c r="EB132">
        <v>14.0364762223093</v>
      </c>
      <c r="EC132">
        <v>0.66666666666666696</v>
      </c>
      <c r="ED132">
        <v>2.4309980666666702</v>
      </c>
      <c r="EE132">
        <v>0.19396666666666701</v>
      </c>
      <c r="EF132">
        <v>7.0839499999999997</v>
      </c>
      <c r="EG132">
        <v>10.5119134084787</v>
      </c>
      <c r="EH132">
        <v>18</v>
      </c>
      <c r="EI132">
        <v>0</v>
      </c>
      <c r="EJ132">
        <v>0.61394233333333303</v>
      </c>
      <c r="EK132">
        <v>1</v>
      </c>
      <c r="EL132">
        <v>2</v>
      </c>
      <c r="EM132">
        <v>30</v>
      </c>
      <c r="EN132">
        <v>1</v>
      </c>
      <c r="EO132">
        <v>4</v>
      </c>
      <c r="EP132">
        <v>5</v>
      </c>
      <c r="EQ132">
        <v>4</v>
      </c>
      <c r="ER132">
        <v>14.1987814663817</v>
      </c>
      <c r="ES132">
        <v>9.2507427717054291</v>
      </c>
      <c r="ET132">
        <v>11.6817408383721</v>
      </c>
      <c r="EU132">
        <v>5.5081806235250097</v>
      </c>
      <c r="EV132">
        <v>6.1221229568583402</v>
      </c>
      <c r="EW132">
        <v>2.0688278000000002</v>
      </c>
      <c r="EX132">
        <v>9.8240580144702196</v>
      </c>
      <c r="EY132">
        <v>11.892885814470199</v>
      </c>
      <c r="EZ132">
        <v>0.61394233333333303</v>
      </c>
      <c r="FA132">
        <v>5.5081806235250097</v>
      </c>
      <c r="FB132">
        <v>6.1221229568583402</v>
      </c>
      <c r="FC132">
        <v>3.1339698</v>
      </c>
      <c r="FD132">
        <v>14.009937672878801</v>
      </c>
      <c r="FE132">
        <v>17.143907472878801</v>
      </c>
      <c r="FF132">
        <v>0.61394233333333303</v>
      </c>
      <c r="FG132">
        <v>5.5081806235250097</v>
      </c>
      <c r="FH132">
        <v>6.1221229568583402</v>
      </c>
    </row>
    <row r="133" spans="1:164" x14ac:dyDescent="0.2">
      <c r="A133">
        <v>132</v>
      </c>
      <c r="B133">
        <v>145</v>
      </c>
      <c r="C133">
        <v>239</v>
      </c>
      <c r="D133">
        <v>2</v>
      </c>
      <c r="E133">
        <v>13</v>
      </c>
      <c r="F133" t="s">
        <v>345</v>
      </c>
      <c r="G133" t="s">
        <v>122</v>
      </c>
      <c r="H133">
        <v>3</v>
      </c>
      <c r="I133">
        <v>4</v>
      </c>
      <c r="K133" t="s">
        <v>346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2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1</v>
      </c>
      <c r="AD133">
        <v>4</v>
      </c>
      <c r="AE133">
        <v>8</v>
      </c>
      <c r="AF133">
        <v>4</v>
      </c>
      <c r="AG133">
        <v>5</v>
      </c>
      <c r="AH133">
        <v>5</v>
      </c>
      <c r="AI133">
        <v>0.32575833333333298</v>
      </c>
      <c r="AJ133">
        <v>20.357669999999999</v>
      </c>
      <c r="AK133">
        <v>0.60309722222222195</v>
      </c>
      <c r="AL133">
        <v>41.004829999999998</v>
      </c>
      <c r="AM133">
        <v>0.49720833333333297</v>
      </c>
      <c r="AN133">
        <v>38.534680000000002</v>
      </c>
      <c r="AO133">
        <v>0.49335000000000001</v>
      </c>
      <c r="AP133">
        <v>36.161189999999998</v>
      </c>
      <c r="AQ133">
        <v>0.51665000000000005</v>
      </c>
      <c r="AR133">
        <v>36.489089999999997</v>
      </c>
      <c r="AS133">
        <v>0.48183611111111102</v>
      </c>
      <c r="AT133">
        <v>32.989220000000003</v>
      </c>
      <c r="AU133">
        <v>0.38118055555555602</v>
      </c>
      <c r="AV133">
        <v>27.453679999999999</v>
      </c>
      <c r="AW133">
        <v>0.35645555555555603</v>
      </c>
      <c r="AX133">
        <v>25.427510000000002</v>
      </c>
      <c r="AY133">
        <v>0.34594722222222202</v>
      </c>
      <c r="AZ133">
        <v>23.871089999999999</v>
      </c>
      <c r="BA133">
        <v>0.330938888888889</v>
      </c>
      <c r="BB133">
        <v>23.288119999999999</v>
      </c>
      <c r="BC133">
        <v>0.33739166666666698</v>
      </c>
      <c r="BD133">
        <v>20.833379999999998</v>
      </c>
      <c r="BE133">
        <v>0.23503333333333301</v>
      </c>
      <c r="BF133">
        <v>14.347910000000001</v>
      </c>
      <c r="BG133">
        <v>0.25468888888888902</v>
      </c>
      <c r="BH133">
        <v>13.983409999999999</v>
      </c>
      <c r="BI133">
        <v>0.23787222222222201</v>
      </c>
      <c r="BJ133">
        <v>9.4150200000000002</v>
      </c>
      <c r="BK133">
        <v>0.22454444444444399</v>
      </c>
      <c r="BL133">
        <v>8.3888300000000005</v>
      </c>
      <c r="BM133">
        <v>0.19396666666666701</v>
      </c>
      <c r="BN133">
        <v>7.0839499999999997</v>
      </c>
      <c r="BO133">
        <f t="shared" si="68"/>
        <v>0.19396666666666701</v>
      </c>
      <c r="BP133">
        <v>18</v>
      </c>
      <c r="BQ133">
        <v>7.0839499999999997</v>
      </c>
      <c r="BR133">
        <f t="shared" si="69"/>
        <v>0</v>
      </c>
      <c r="BS133">
        <f t="shared" si="70"/>
        <v>0.19396666666666701</v>
      </c>
      <c r="BT133">
        <f t="shared" si="71"/>
        <v>18</v>
      </c>
      <c r="BU133">
        <f t="shared" si="72"/>
        <v>7.0839499999999997</v>
      </c>
      <c r="BV133">
        <f t="shared" si="73"/>
        <v>0</v>
      </c>
      <c r="BW133">
        <f t="shared" si="74"/>
        <v>0.19396666666666701</v>
      </c>
      <c r="BX133">
        <f t="shared" si="75"/>
        <v>18</v>
      </c>
      <c r="BY133">
        <f t="shared" si="76"/>
        <v>7.0839499999999997</v>
      </c>
      <c r="BZ133">
        <f t="shared" si="77"/>
        <v>0</v>
      </c>
      <c r="CA133">
        <f t="shared" si="78"/>
        <v>0.19396666666666701</v>
      </c>
      <c r="CB133">
        <f>IF(CA133=BO133,BP133,IF(CA133=BS133,BT133,IF(CA133=BW133,BX133,0)))</f>
        <v>18</v>
      </c>
      <c r="CC133">
        <f>IF(CA133=BO133,BQ133,IF(CA133=BS133,BU133,IF(CA133=BW133,BY133,0)))</f>
        <v>7.0839499999999997</v>
      </c>
      <c r="CD133">
        <f t="shared" si="79"/>
        <v>0</v>
      </c>
      <c r="CE133">
        <f t="shared" si="80"/>
        <v>0.19396666666666701</v>
      </c>
      <c r="CF133">
        <f>IF(CE133=BO133,BP133,IF(CE133=BS133,BT133,IF(CE133=BW133,BX133,IF(CE133=CA133,CB133,0))))</f>
        <v>18</v>
      </c>
      <c r="CG133">
        <f>IF(CE133=BO133,BQ133,IF(CE133=BS133,BU133,IF(CE133=BW133,BY133,IF(CE133=CA133,CC133,0))))</f>
        <v>7.0839499999999997</v>
      </c>
      <c r="CH133">
        <f t="shared" si="81"/>
        <v>0</v>
      </c>
      <c r="CI133">
        <f t="shared" si="82"/>
        <v>0.19396666666666701</v>
      </c>
      <c r="CJ133">
        <f>IF(CI133=BO133,BP133,IF(CI133=BS133,BT133,IF(CI133=BW133,BX133,IF(CI133=CA133,CB133,IF(CI133=CE133,CF133,0)))))</f>
        <v>18</v>
      </c>
      <c r="CK133">
        <f>IF(CI133=BO133,BQ133,IF(CI133=BS133,BU133,IF(CI133=BW133,BY133,IF(CI133=CA133,CC133,IF(CI133=CE133,CG133,0)))))</f>
        <v>7.0839499999999997</v>
      </c>
      <c r="CL133">
        <f t="shared" si="83"/>
        <v>0</v>
      </c>
      <c r="CM133">
        <f t="shared" si="84"/>
        <v>0.19396666666666701</v>
      </c>
      <c r="CN133">
        <f>IF(CM133=BO133,BP133,IF(CM133=BS133,BT133,IF(CM133=BW133,BX133,IF(CM133=CA133,CB133,IF(CM133=CE133,CF133,IF(CM133=CI133,CJ133,0))))))</f>
        <v>18</v>
      </c>
      <c r="CO133">
        <f>IF(CM133=BO133,BQ133,IF(CM133=BS133,BU133,IF(CM133=BW133,BY133,IF(CM133=CA133,CC133,IF(CM133=CE133,CG133,IF(CM133=CI133,CK133,0))))))</f>
        <v>7.0839499999999997</v>
      </c>
      <c r="CP133">
        <f t="shared" si="85"/>
        <v>0</v>
      </c>
      <c r="CQ133">
        <f t="shared" si="86"/>
        <v>0.19396666666666701</v>
      </c>
      <c r="CR133">
        <f>IF(CQ133=BO133,BP133,IF(CQ133=BS133,BT133,IF(CQ133=BW133,BX133,IF(CQ133=CA133,CB133,IF(CQ133=CE133,CF133,IF(CQ133=CI133,CJ133,IF(CQ133=CM133,CN133,0)))))))</f>
        <v>18</v>
      </c>
      <c r="CS133">
        <f>IF(CQ133=BO133,BQ133,IF(CQ133=BS133,BU133,IF(CQ133=BW133,BY133,IF(CQ133=CA133,CC133,IF(CQ133=CE133,CG133,IF(CQ133=CI133,CK133,IF(CQ133=CM133,CO133,0)))))))</f>
        <v>7.0839499999999997</v>
      </c>
      <c r="CT133">
        <f t="shared" si="87"/>
        <v>0</v>
      </c>
      <c r="CU133">
        <f t="shared" si="88"/>
        <v>0.19396666666666701</v>
      </c>
      <c r="CV133">
        <f>IF(CU133=BO133,BP133,IF(CU133=BS133,BT133,IF(CU133=BW133,BX133,IF(CU133=CA133,CB133,IF(CU133=CE133,CF133,IF(CU133=CI133,CJ133,IF(CU133=CM133,CN133,IF(CU133=CQ133,CR133,0))))))))</f>
        <v>18</v>
      </c>
      <c r="CW133">
        <f>IF(CU133=BO133,BQ133,IF(CU133=BS133,BU133,IF(CU133=BW133,BY133,IF(CU133=CA133,CC133,IF(CU133=CE133,CG133,IF(CU133=CI133,CK133,IF(CU133=CM133,CO133,IF(CU133=CQ133,CS133,0))))))))</f>
        <v>7.0839499999999997</v>
      </c>
      <c r="CX133">
        <f t="shared" si="89"/>
        <v>0</v>
      </c>
      <c r="CY133">
        <f t="shared" si="90"/>
        <v>0.19396666666666701</v>
      </c>
      <c r="CZ133">
        <f>IF(CY133=BO133,BP133,IF(CY133=BS133,BT133,IF(CY133=BW133,BX133,IF(CY133=CA133,CB133,IF(CY133=CE133,CF133,IF(CY133=CI133,CJ133,IF(CY133=CM133,CN133,IF(CY133=CQ133,CR133,IF(CY133=CU133,CV133,0)))))))))</f>
        <v>18</v>
      </c>
      <c r="DA133">
        <f>IF(CY133=BO133,BQ133,IF(CY133=BS133,BU133,IF(CY133=BW133,BY133,IF(CY133=CA133,CC133,IF(CY133=CE133,CG133,IF(CY133=CI133,CK133,IF(CY133=CM133,CO133,IF(CY133=CQ133,CS133,IF(CY133=CU133,CW133,0)))))))))</f>
        <v>7.0839499999999997</v>
      </c>
      <c r="DB133">
        <f t="shared" si="91"/>
        <v>0</v>
      </c>
      <c r="DC133">
        <f t="shared" si="92"/>
        <v>0.19396666666666701</v>
      </c>
      <c r="DD133">
        <f>IF(DC133=BO133,BP133,IF(DC133=BS133,BT133,IF(DC133=BW133,BX133,IF(DC133=CA133,CB133,IF(DC133=CE133,CF133,IF(DC133=CI133,CJ133,IF(DC133=CM133,CN133,IF(DC133=CQ133,CR133,IF(DC133=CU133,CV133,IF(DC133=CY133,CZ133,0))))))))))</f>
        <v>18</v>
      </c>
      <c r="DE133">
        <f>IF(DC133=BO133,BQ133,IF(DC133=BS133,BU133,IF(DC133=BW133,BY133,IF(DC133=CA133,CC133,IF(DC133=CE133,CG133,IF(DC133=CI133,CK133,IF(DC133=CM133,CO133,IF(DC133=CQ133,CS133,IF(DC133=CU133,CW133,IF(DC133=CY133,DA133,0))))))))))</f>
        <v>7.0839499999999997</v>
      </c>
      <c r="DF133">
        <f t="shared" si="93"/>
        <v>0</v>
      </c>
      <c r="DG133">
        <f t="shared" si="94"/>
        <v>0.19396666666666701</v>
      </c>
      <c r="DH133">
        <f>IF(DG133=BO133,BP133,IF(DG133=BS133,BT133,IF(DG133=BW133,BX133,IF(DG133=CA133,CB133,IF(DG133=CE133,CF133,IF(DG133=CI133,CJ133,IF(DG133=CM133,CN133,IF(DG133=CQ133,CR133,IF(DG133=CU133,CV133,IF(DG133=CY133,CZ133,IF(DG133=DC133,DD133,0)))))))))))</f>
        <v>18</v>
      </c>
      <c r="DI133">
        <f>IF(DG133=BO133,BQ133,IF(DG133=BS133,BU133,IF(DG133=BW133,BY133,IF(DG133=CA133,CC133,IF(DG133=CE133,CG133,IF(DG133=CI133,CK133,IF(DG133=CM133,CO133,IF(DG133=CQ133,CS133,IF(DG133=CU133,CW133,IF(DG133=CY133,DA133,IF(DG133=DC133,DE133,0)))))))))))</f>
        <v>7.0839499999999997</v>
      </c>
      <c r="DJ133">
        <f t="shared" si="95"/>
        <v>0</v>
      </c>
      <c r="DK133">
        <f t="shared" si="96"/>
        <v>0.19396666666666701</v>
      </c>
      <c r="DL133">
        <f>IF(DK133=BO133,BP133,IF(DK133=BS133,BT133,IF(DK133=BW133,BX133,IF(DK133=CA133,CB133,IF(DK133=CE133,CF133,IF(DK133=CI133,CJ133,IF(DK133=CM133,CN133,IF(DK133=CQ133,CR133,IF(DK133=CU133,CV133,IF(DK133=CY133,CZ133,IF(DK133=DC133,DD133,IF(DK133=DG133,DH133,0))))))))))))</f>
        <v>18</v>
      </c>
      <c r="DM133">
        <f>IF(DK133=BO133,BQ133,IF(DK133=BS133,BU133,IF(DK133=BW133,BY133,IF(DK133=CA133,CC133,IF(DK133=CE133,CG133,IF(DK133=CI133,CK133,IF(DK133=CM133,CO133,IF(DK133=CQ133,CS133,IF(DK133=CU133,CW133,IF(DK133=CY133,DA133,IF(DK133=DC133,DE133,IF(DK133=DG133,DI133,0))))))))))))</f>
        <v>7.0839499999999997</v>
      </c>
      <c r="DN133">
        <f t="shared" si="97"/>
        <v>0</v>
      </c>
      <c r="DO133">
        <f t="shared" si="98"/>
        <v>0.19396666666666701</v>
      </c>
      <c r="DP133">
        <f>IF(DO133=BO133,BP133,IF(DO133=BS133,BT133,IF(DO133=BW133,BX133,IF(DO133=CA133,CB133,IF(DO133=CE133,CF133,IF(DO133=CI133,CJ133,IF(DO133=CM133,CN133,IF(DO133=CQ133,CR133,IF(DO133=CU133,CV133,IF(DO133=CY133,CZ133,IF(DO133=DC133,DD133,IF(DO133=DG133,DH133,IF(DO133=DK133,DL133,0)))))))))))))</f>
        <v>18</v>
      </c>
      <c r="DQ133">
        <f>IF(DO133=BO133,BQ133,IF(DO133=BS133,BU133,IF(DO133=BW133,BY133,IF(DO133=CA133,CC133,IF(DO133=CE133,CG133,IF(DO133=CI133,CK133,IF(DO133=CM133,CO133,IF(DO133=CQ133,CS133,IF(DO133=CU133,CW133,IF(DO133=CY133,DA133,IF(DO133=DC133,DE133,IF(DO133=DG133,DI133,IF(DO133=DK133,DM133,0)))))))))))))</f>
        <v>7.0839499999999997</v>
      </c>
      <c r="DR133">
        <f t="shared" si="99"/>
        <v>0</v>
      </c>
      <c r="DS133">
        <f t="shared" si="100"/>
        <v>0.22454444444444399</v>
      </c>
      <c r="DT133">
        <v>17</v>
      </c>
      <c r="DU133">
        <v>8.3888300000000005</v>
      </c>
      <c r="DV133">
        <f t="shared" si="101"/>
        <v>0</v>
      </c>
      <c r="DW133">
        <v>22500.5</v>
      </c>
      <c r="DX133">
        <v>6</v>
      </c>
      <c r="DY133">
        <v>28</v>
      </c>
      <c r="EA133">
        <v>4</v>
      </c>
      <c r="EB133">
        <v>10.114099490560401</v>
      </c>
      <c r="EC133">
        <v>0.66666666666666696</v>
      </c>
      <c r="ED133">
        <v>2.4309980666666702</v>
      </c>
      <c r="EE133">
        <v>0.19396666666666701</v>
      </c>
      <c r="EF133">
        <v>7.0839499999999997</v>
      </c>
      <c r="EG133">
        <v>7.9564195947987697</v>
      </c>
      <c r="EH133">
        <v>18</v>
      </c>
      <c r="EI133">
        <v>0</v>
      </c>
      <c r="EJ133">
        <v>0.61394233333333303</v>
      </c>
      <c r="EK133">
        <v>1</v>
      </c>
      <c r="EL133">
        <v>1</v>
      </c>
      <c r="EM133">
        <v>33</v>
      </c>
      <c r="EN133">
        <v>0</v>
      </c>
      <c r="EO133">
        <v>4</v>
      </c>
      <c r="EP133">
        <v>5</v>
      </c>
      <c r="EQ133">
        <v>4</v>
      </c>
      <c r="ER133">
        <v>14.1987814663817</v>
      </c>
      <c r="ES133">
        <v>9.2507427717054291</v>
      </c>
      <c r="ET133">
        <v>11.6817408383721</v>
      </c>
      <c r="EU133">
        <v>5.5081806235250097</v>
      </c>
      <c r="EV133">
        <v>6.1221229568583402</v>
      </c>
      <c r="EW133">
        <v>2.0688278000000002</v>
      </c>
      <c r="EX133">
        <v>9.8240580144702196</v>
      </c>
      <c r="EY133">
        <v>11.892885814470199</v>
      </c>
      <c r="EZ133">
        <v>0.61394233333333303</v>
      </c>
      <c r="FA133">
        <v>5.5081806235250097</v>
      </c>
      <c r="FB133">
        <v>6.1221229568583402</v>
      </c>
      <c r="FC133">
        <v>3.1339698</v>
      </c>
      <c r="FD133">
        <v>14.009937672878801</v>
      </c>
      <c r="FE133">
        <v>17.143907472878801</v>
      </c>
      <c r="FF133">
        <v>0.61394233333333303</v>
      </c>
      <c r="FG133">
        <v>5.5081806235250097</v>
      </c>
      <c r="FH133">
        <v>6.1221229568583402</v>
      </c>
    </row>
    <row r="134" spans="1:164" x14ac:dyDescent="0.2">
      <c r="A134">
        <v>133</v>
      </c>
      <c r="B134">
        <v>146</v>
      </c>
      <c r="C134">
        <v>240</v>
      </c>
      <c r="D134">
        <v>2</v>
      </c>
      <c r="E134">
        <v>13</v>
      </c>
      <c r="F134" t="s">
        <v>347</v>
      </c>
      <c r="G134" t="s">
        <v>348</v>
      </c>
      <c r="H134">
        <v>3</v>
      </c>
      <c r="I134">
        <v>6</v>
      </c>
      <c r="K134" t="s">
        <v>142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2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</v>
      </c>
      <c r="AE134">
        <v>8</v>
      </c>
      <c r="AF134">
        <v>4</v>
      </c>
      <c r="AG134">
        <v>5</v>
      </c>
      <c r="AH134">
        <v>5</v>
      </c>
      <c r="AI134">
        <v>0.32812222222222198</v>
      </c>
      <c r="AJ134">
        <v>21.280999999999999</v>
      </c>
      <c r="AK134">
        <v>0.60546111111111101</v>
      </c>
      <c r="AL134">
        <v>41.928159999999998</v>
      </c>
      <c r="AM134">
        <v>0.49956944444444401</v>
      </c>
      <c r="AN134">
        <v>39.458019999999998</v>
      </c>
      <c r="AO134">
        <v>0.49571388888888901</v>
      </c>
      <c r="AP134">
        <v>37.084519999999998</v>
      </c>
      <c r="AQ134">
        <v>0.519013888888889</v>
      </c>
      <c r="AR134">
        <v>37.412410000000001</v>
      </c>
      <c r="AS134">
        <v>0.48420000000000002</v>
      </c>
      <c r="AT134">
        <v>33.912550000000003</v>
      </c>
      <c r="AU134">
        <v>0.38354444444444402</v>
      </c>
      <c r="AV134">
        <v>28.377009999999999</v>
      </c>
      <c r="AW134">
        <v>0.35881944444444402</v>
      </c>
      <c r="AX134">
        <v>26.350840000000002</v>
      </c>
      <c r="AY134">
        <v>0.348308333333333</v>
      </c>
      <c r="AZ134">
        <v>24.794419999999999</v>
      </c>
      <c r="BA134">
        <v>0.33329999999999999</v>
      </c>
      <c r="BB134">
        <v>24.211449999999999</v>
      </c>
      <c r="BC134">
        <v>0.33975555555555598</v>
      </c>
      <c r="BD134">
        <v>21.756710000000002</v>
      </c>
      <c r="BE134">
        <v>0.23739722222222201</v>
      </c>
      <c r="BF134">
        <v>15.271240000000001</v>
      </c>
      <c r="BG134">
        <v>0.25705</v>
      </c>
      <c r="BH134">
        <v>14.906739999999999</v>
      </c>
      <c r="BI134">
        <v>0.24815000000000001</v>
      </c>
      <c r="BJ134">
        <v>9.8687299999999993</v>
      </c>
      <c r="BK134">
        <v>0.23482222222222199</v>
      </c>
      <c r="BL134">
        <v>8.8425399999999996</v>
      </c>
      <c r="BM134">
        <v>0.20424444444444401</v>
      </c>
      <c r="BN134">
        <v>7.5376500000000002</v>
      </c>
      <c r="BO134">
        <f t="shared" si="68"/>
        <v>0.20424444444444401</v>
      </c>
      <c r="BP134">
        <v>18</v>
      </c>
      <c r="BQ134">
        <v>7.5376500000000002</v>
      </c>
      <c r="BR134">
        <f t="shared" si="69"/>
        <v>0</v>
      </c>
      <c r="BS134">
        <f t="shared" si="70"/>
        <v>0.20424444444444401</v>
      </c>
      <c r="BT134">
        <f t="shared" si="71"/>
        <v>18</v>
      </c>
      <c r="BU134">
        <f t="shared" si="72"/>
        <v>7.5376500000000002</v>
      </c>
      <c r="BV134">
        <f t="shared" si="73"/>
        <v>0</v>
      </c>
      <c r="BW134">
        <f t="shared" si="74"/>
        <v>0.20424444444444401</v>
      </c>
      <c r="BX134">
        <f t="shared" si="75"/>
        <v>18</v>
      </c>
      <c r="BY134">
        <f t="shared" si="76"/>
        <v>7.5376500000000002</v>
      </c>
      <c r="BZ134">
        <f t="shared" si="77"/>
        <v>0</v>
      </c>
      <c r="CA134">
        <f t="shared" si="78"/>
        <v>0.20424444444444401</v>
      </c>
      <c r="CB134">
        <f>IF(CA134=BO134,BP134,IF(CA134=BS134,BT134,IF(CA134=BW134,BX134,0)))</f>
        <v>18</v>
      </c>
      <c r="CC134">
        <f>IF(CA134=BO134,BQ134,IF(CA134=BS134,BU134,IF(CA134=BW134,BY134,0)))</f>
        <v>7.5376500000000002</v>
      </c>
      <c r="CD134">
        <f t="shared" si="79"/>
        <v>0</v>
      </c>
      <c r="CE134">
        <f t="shared" si="80"/>
        <v>0.20424444444444401</v>
      </c>
      <c r="CF134">
        <f>IF(CE134=BO134,BP134,IF(CE134=BS134,BT134,IF(CE134=BW134,BX134,IF(CE134=CA134,CB134,0))))</f>
        <v>18</v>
      </c>
      <c r="CG134">
        <f>IF(CE134=BO134,BQ134,IF(CE134=BS134,BU134,IF(CE134=BW134,BY134,IF(CE134=CA134,CC134,0))))</f>
        <v>7.5376500000000002</v>
      </c>
      <c r="CH134">
        <f t="shared" si="81"/>
        <v>0</v>
      </c>
      <c r="CI134">
        <f t="shared" si="82"/>
        <v>0.20424444444444401</v>
      </c>
      <c r="CJ134">
        <f>IF(CI134=BO134,BP134,IF(CI134=BS134,BT134,IF(CI134=BW134,BX134,IF(CI134=CA134,CB134,IF(CI134=CE134,CF134,0)))))</f>
        <v>18</v>
      </c>
      <c r="CK134">
        <f>IF(CI134=BO134,BQ134,IF(CI134=BS134,BU134,IF(CI134=BW134,BY134,IF(CI134=CA134,CC134,IF(CI134=CE134,CG134,0)))))</f>
        <v>7.5376500000000002</v>
      </c>
      <c r="CL134">
        <f t="shared" si="83"/>
        <v>0</v>
      </c>
      <c r="CM134">
        <f t="shared" si="84"/>
        <v>0.20424444444444401</v>
      </c>
      <c r="CN134">
        <f>IF(CM134=BO134,BP134,IF(CM134=BS134,BT134,IF(CM134=BW134,BX134,IF(CM134=CA134,CB134,IF(CM134=CE134,CF134,IF(CM134=CI134,CJ134,0))))))</f>
        <v>18</v>
      </c>
      <c r="CO134">
        <f>IF(CM134=BO134,BQ134,IF(CM134=BS134,BU134,IF(CM134=BW134,BY134,IF(CM134=CA134,CC134,IF(CM134=CE134,CG134,IF(CM134=CI134,CK134,0))))))</f>
        <v>7.5376500000000002</v>
      </c>
      <c r="CP134">
        <f t="shared" si="85"/>
        <v>0</v>
      </c>
      <c r="CQ134">
        <f t="shared" si="86"/>
        <v>0.20424444444444401</v>
      </c>
      <c r="CR134">
        <f>IF(CQ134=BO134,BP134,IF(CQ134=BS134,BT134,IF(CQ134=BW134,BX134,IF(CQ134=CA134,CB134,IF(CQ134=CE134,CF134,IF(CQ134=CI134,CJ134,IF(CQ134=CM134,CN134,0)))))))</f>
        <v>18</v>
      </c>
      <c r="CS134">
        <f>IF(CQ134=BO134,BQ134,IF(CQ134=BS134,BU134,IF(CQ134=BW134,BY134,IF(CQ134=CA134,CC134,IF(CQ134=CE134,CG134,IF(CQ134=CI134,CK134,IF(CQ134=CM134,CO134,0)))))))</f>
        <v>7.5376500000000002</v>
      </c>
      <c r="CT134">
        <f t="shared" si="87"/>
        <v>0</v>
      </c>
      <c r="CU134">
        <f t="shared" si="88"/>
        <v>0.20424444444444401</v>
      </c>
      <c r="CV134">
        <f>IF(CU134=BO134,BP134,IF(CU134=BS134,BT134,IF(CU134=BW134,BX134,IF(CU134=CA134,CB134,IF(CU134=CE134,CF134,IF(CU134=CI134,CJ134,IF(CU134=CM134,CN134,IF(CU134=CQ134,CR134,0))))))))</f>
        <v>18</v>
      </c>
      <c r="CW134">
        <f>IF(CU134=BO134,BQ134,IF(CU134=BS134,BU134,IF(CU134=BW134,BY134,IF(CU134=CA134,CC134,IF(CU134=CE134,CG134,IF(CU134=CI134,CK134,IF(CU134=CM134,CO134,IF(CU134=CQ134,CS134,0))))))))</f>
        <v>7.5376500000000002</v>
      </c>
      <c r="CX134">
        <f t="shared" si="89"/>
        <v>0</v>
      </c>
      <c r="CY134">
        <f t="shared" si="90"/>
        <v>0.20424444444444401</v>
      </c>
      <c r="CZ134">
        <f>IF(CY134=BO134,BP134,IF(CY134=BS134,BT134,IF(CY134=BW134,BX134,IF(CY134=CA134,CB134,IF(CY134=CE134,CF134,IF(CY134=CI134,CJ134,IF(CY134=CM134,CN134,IF(CY134=CQ134,CR134,IF(CY134=CU134,CV134,0)))))))))</f>
        <v>18</v>
      </c>
      <c r="DA134">
        <f>IF(CY134=BO134,BQ134,IF(CY134=BS134,BU134,IF(CY134=BW134,BY134,IF(CY134=CA134,CC134,IF(CY134=CE134,CG134,IF(CY134=CI134,CK134,IF(CY134=CM134,CO134,IF(CY134=CQ134,CS134,IF(CY134=CU134,CW134,0)))))))))</f>
        <v>7.5376500000000002</v>
      </c>
      <c r="DB134">
        <f t="shared" si="91"/>
        <v>0</v>
      </c>
      <c r="DC134">
        <f t="shared" si="92"/>
        <v>0.20424444444444401</v>
      </c>
      <c r="DD134">
        <f>IF(DC134=BO134,BP134,IF(DC134=BS134,BT134,IF(DC134=BW134,BX134,IF(DC134=CA134,CB134,IF(DC134=CE134,CF134,IF(DC134=CI134,CJ134,IF(DC134=CM134,CN134,IF(DC134=CQ134,CR134,IF(DC134=CU134,CV134,IF(DC134=CY134,CZ134,0))))))))))</f>
        <v>18</v>
      </c>
      <c r="DE134">
        <f>IF(DC134=BO134,BQ134,IF(DC134=BS134,BU134,IF(DC134=BW134,BY134,IF(DC134=CA134,CC134,IF(DC134=CE134,CG134,IF(DC134=CI134,CK134,IF(DC134=CM134,CO134,IF(DC134=CQ134,CS134,IF(DC134=CU134,CW134,IF(DC134=CY134,DA134,0))))))))))</f>
        <v>7.5376500000000002</v>
      </c>
      <c r="DF134">
        <f t="shared" si="93"/>
        <v>0</v>
      </c>
      <c r="DG134">
        <f t="shared" si="94"/>
        <v>0.20424444444444401</v>
      </c>
      <c r="DH134">
        <f>IF(DG134=BO134,BP134,IF(DG134=BS134,BT134,IF(DG134=BW134,BX134,IF(DG134=CA134,CB134,IF(DG134=CE134,CF134,IF(DG134=CI134,CJ134,IF(DG134=CM134,CN134,IF(DG134=CQ134,CR134,IF(DG134=CU134,CV134,IF(DG134=CY134,CZ134,IF(DG134=DC134,DD134,0)))))))))))</f>
        <v>18</v>
      </c>
      <c r="DI134">
        <f>IF(DG134=BO134,BQ134,IF(DG134=BS134,BU134,IF(DG134=BW134,BY134,IF(DG134=CA134,CC134,IF(DG134=CE134,CG134,IF(DG134=CI134,CK134,IF(DG134=CM134,CO134,IF(DG134=CQ134,CS134,IF(DG134=CU134,CW134,IF(DG134=CY134,DA134,IF(DG134=DC134,DE134,0)))))))))))</f>
        <v>7.5376500000000002</v>
      </c>
      <c r="DJ134">
        <f t="shared" si="95"/>
        <v>0</v>
      </c>
      <c r="DK134">
        <f t="shared" si="96"/>
        <v>0.20424444444444401</v>
      </c>
      <c r="DL134">
        <f>IF(DK134=BO134,BP134,IF(DK134=BS134,BT134,IF(DK134=BW134,BX134,IF(DK134=CA134,CB134,IF(DK134=CE134,CF134,IF(DK134=CI134,CJ134,IF(DK134=CM134,CN134,IF(DK134=CQ134,CR134,IF(DK134=CU134,CV134,IF(DK134=CY134,CZ134,IF(DK134=DC134,DD134,IF(DK134=DG134,DH134,0))))))))))))</f>
        <v>18</v>
      </c>
      <c r="DM134">
        <f>IF(DK134=BO134,BQ134,IF(DK134=BS134,BU134,IF(DK134=BW134,BY134,IF(DK134=CA134,CC134,IF(DK134=CE134,CG134,IF(DK134=CI134,CK134,IF(DK134=CM134,CO134,IF(DK134=CQ134,CS134,IF(DK134=CU134,CW134,IF(DK134=CY134,DA134,IF(DK134=DC134,DE134,IF(DK134=DG134,DI134,0))))))))))))</f>
        <v>7.5376500000000002</v>
      </c>
      <c r="DN134">
        <f t="shared" si="97"/>
        <v>0</v>
      </c>
      <c r="DO134">
        <f t="shared" si="98"/>
        <v>0.20424444444444401</v>
      </c>
      <c r="DP134">
        <f>IF(DO134=BO134,BP134,IF(DO134=BS134,BT134,IF(DO134=BW134,BX134,IF(DO134=CA134,CB134,IF(DO134=CE134,CF134,IF(DO134=CI134,CJ134,IF(DO134=CM134,CN134,IF(DO134=CQ134,CR134,IF(DO134=CU134,CV134,IF(DO134=CY134,CZ134,IF(DO134=DC134,DD134,IF(DO134=DG134,DH134,IF(DO134=DK134,DL134,0)))))))))))))</f>
        <v>18</v>
      </c>
      <c r="DQ134">
        <f>IF(DO134=BO134,BQ134,IF(DO134=BS134,BU134,IF(DO134=BW134,BY134,IF(DO134=CA134,CC134,IF(DO134=CE134,CG134,IF(DO134=CI134,CK134,IF(DO134=CM134,CO134,IF(DO134=CQ134,CS134,IF(DO134=CU134,CW134,IF(DO134=CY134,DA134,IF(DO134=DC134,DE134,IF(DO134=DG134,DI134,IF(DO134=DK134,DM134,0)))))))))))))</f>
        <v>7.5376500000000002</v>
      </c>
      <c r="DR134">
        <f t="shared" si="99"/>
        <v>0</v>
      </c>
      <c r="DS134">
        <f t="shared" si="100"/>
        <v>0.23482222222222199</v>
      </c>
      <c r="DT134">
        <v>17</v>
      </c>
      <c r="DU134">
        <v>8.8425399999999996</v>
      </c>
      <c r="DV134">
        <f t="shared" si="101"/>
        <v>0</v>
      </c>
      <c r="DW134">
        <v>22500.5</v>
      </c>
      <c r="DX134">
        <v>6</v>
      </c>
      <c r="DY134">
        <v>28</v>
      </c>
      <c r="EA134">
        <v>4</v>
      </c>
      <c r="EB134">
        <v>10.114099490560401</v>
      </c>
      <c r="EC134">
        <v>0.66666666666666696</v>
      </c>
      <c r="ED134">
        <v>2.5110199999999998</v>
      </c>
      <c r="EE134">
        <v>0.20424444444444401</v>
      </c>
      <c r="EF134">
        <v>7.5376500000000002</v>
      </c>
      <c r="EG134">
        <v>8.0359968531741703</v>
      </c>
      <c r="EH134">
        <v>18</v>
      </c>
      <c r="EI134">
        <v>0</v>
      </c>
      <c r="EJ134">
        <v>0.65326300000000004</v>
      </c>
      <c r="EK134">
        <v>1</v>
      </c>
      <c r="EL134">
        <v>1</v>
      </c>
      <c r="EM134">
        <v>33</v>
      </c>
      <c r="EN134">
        <v>0</v>
      </c>
      <c r="EO134">
        <v>4</v>
      </c>
      <c r="EP134">
        <v>5</v>
      </c>
      <c r="EQ134">
        <v>4</v>
      </c>
      <c r="ER134">
        <v>14.1987814663817</v>
      </c>
      <c r="ES134">
        <v>9.3178714551937105</v>
      </c>
      <c r="ET134">
        <v>11.8288914551937</v>
      </c>
      <c r="EU134">
        <v>5.8000444647783898</v>
      </c>
      <c r="EV134">
        <v>6.4533074647783897</v>
      </c>
      <c r="EW134">
        <v>2.1488497333333298</v>
      </c>
      <c r="EX134">
        <v>9.8911078158392396</v>
      </c>
      <c r="EY134">
        <v>12.0399575491726</v>
      </c>
      <c r="EZ134">
        <v>0.65326300000000004</v>
      </c>
      <c r="FA134">
        <v>5.8000444647783898</v>
      </c>
      <c r="FB134">
        <v>6.4533074647783897</v>
      </c>
      <c r="FC134">
        <v>3.2139917333333301</v>
      </c>
      <c r="FD134">
        <v>14.0770663563671</v>
      </c>
      <c r="FE134">
        <v>17.2910580897004</v>
      </c>
      <c r="FF134">
        <v>0.65326300000000004</v>
      </c>
      <c r="FG134">
        <v>5.8000444647783898</v>
      </c>
      <c r="FH134">
        <v>6.4533074647783897</v>
      </c>
    </row>
    <row r="135" spans="1:164" x14ac:dyDescent="0.2">
      <c r="A135">
        <v>134</v>
      </c>
      <c r="B135">
        <v>147</v>
      </c>
      <c r="C135">
        <v>241</v>
      </c>
      <c r="D135">
        <v>2</v>
      </c>
      <c r="E135">
        <v>13</v>
      </c>
      <c r="F135" t="s">
        <v>347</v>
      </c>
      <c r="G135" t="s">
        <v>349</v>
      </c>
      <c r="H135">
        <v>3</v>
      </c>
      <c r="I135">
        <v>4</v>
      </c>
      <c r="K135" t="s">
        <v>350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1</v>
      </c>
      <c r="AD135">
        <v>5</v>
      </c>
      <c r="AE135">
        <v>8</v>
      </c>
      <c r="AF135">
        <v>4</v>
      </c>
      <c r="AG135">
        <v>5</v>
      </c>
      <c r="AH135">
        <v>5</v>
      </c>
      <c r="AI135">
        <v>0.32523055555555602</v>
      </c>
      <c r="AJ135">
        <v>20.16384</v>
      </c>
      <c r="AK135">
        <v>0.60256944444444405</v>
      </c>
      <c r="AL135">
        <v>40.811</v>
      </c>
      <c r="AM135">
        <v>0.49668055555555601</v>
      </c>
      <c r="AN135">
        <v>38.340859999999999</v>
      </c>
      <c r="AO135">
        <v>0.49282500000000001</v>
      </c>
      <c r="AP135">
        <v>35.967359999999999</v>
      </c>
      <c r="AQ135">
        <v>0.51612499999999994</v>
      </c>
      <c r="AR135">
        <v>36.295250000000003</v>
      </c>
      <c r="AS135">
        <v>0.48131111111111102</v>
      </c>
      <c r="AT135">
        <v>32.795389999999998</v>
      </c>
      <c r="AU135">
        <v>0.38065555555555602</v>
      </c>
      <c r="AV135">
        <v>27.25985</v>
      </c>
      <c r="AW135">
        <v>0.35593055555555603</v>
      </c>
      <c r="AX135">
        <v>25.23368</v>
      </c>
      <c r="AY135">
        <v>0.345419444444444</v>
      </c>
      <c r="AZ135">
        <v>23.67726</v>
      </c>
      <c r="BA135">
        <v>0.33041111111111099</v>
      </c>
      <c r="BB135">
        <v>23.094290000000001</v>
      </c>
      <c r="BC135">
        <v>0.33686666666666698</v>
      </c>
      <c r="BD135">
        <v>20.63955</v>
      </c>
      <c r="BE135">
        <v>0.23450833333333301</v>
      </c>
      <c r="BF135">
        <v>14.15408</v>
      </c>
      <c r="BG135">
        <v>0.254161111111111</v>
      </c>
      <c r="BH135">
        <v>13.789580000000001</v>
      </c>
      <c r="BI135">
        <v>0.237344444444444</v>
      </c>
      <c r="BJ135">
        <v>9.2211999999999996</v>
      </c>
      <c r="BK135">
        <v>0.224016666666667</v>
      </c>
      <c r="BL135">
        <v>8.1950000000000003</v>
      </c>
      <c r="BM135">
        <v>0.19344166666666701</v>
      </c>
      <c r="BN135">
        <v>6.8901199999999996</v>
      </c>
      <c r="BO135">
        <f t="shared" si="68"/>
        <v>0.19344166666666701</v>
      </c>
      <c r="BP135">
        <v>18</v>
      </c>
      <c r="BQ135">
        <v>6.8901199999999996</v>
      </c>
      <c r="BR135">
        <f t="shared" si="69"/>
        <v>0</v>
      </c>
      <c r="BS135">
        <f t="shared" si="70"/>
        <v>0.19344166666666701</v>
      </c>
      <c r="BT135">
        <f t="shared" si="71"/>
        <v>18</v>
      </c>
      <c r="BU135">
        <f t="shared" si="72"/>
        <v>6.8901199999999996</v>
      </c>
      <c r="BV135">
        <f t="shared" si="73"/>
        <v>0</v>
      </c>
      <c r="BW135">
        <f t="shared" si="74"/>
        <v>0.19344166666666701</v>
      </c>
      <c r="BX135">
        <f t="shared" si="75"/>
        <v>18</v>
      </c>
      <c r="BY135">
        <f t="shared" si="76"/>
        <v>6.8901199999999996</v>
      </c>
      <c r="BZ135">
        <f t="shared" si="77"/>
        <v>0</v>
      </c>
      <c r="CA135">
        <f t="shared" si="78"/>
        <v>0.19344166666666701</v>
      </c>
      <c r="CB135">
        <f>IF(CA135=BO135,BP135,IF(CA135=BS135,BT135,IF(CA135=BW135,BX135,0)))</f>
        <v>18</v>
      </c>
      <c r="CC135">
        <f>IF(CA135=BO135,BQ135,IF(CA135=BS135,BU135,IF(CA135=BW135,BY135,0)))</f>
        <v>6.8901199999999996</v>
      </c>
      <c r="CD135">
        <f t="shared" si="79"/>
        <v>0</v>
      </c>
      <c r="CE135">
        <f t="shared" si="80"/>
        <v>0.19344166666666701</v>
      </c>
      <c r="CF135">
        <f>IF(CE135=BO135,BP135,IF(CE135=BS135,BT135,IF(CE135=BW135,BX135,IF(CE135=CA135,CB135,0))))</f>
        <v>18</v>
      </c>
      <c r="CG135">
        <f>IF(CE135=BO135,BQ135,IF(CE135=BS135,BU135,IF(CE135=BW135,BY135,IF(CE135=CA135,CC135,0))))</f>
        <v>6.8901199999999996</v>
      </c>
      <c r="CH135">
        <f t="shared" si="81"/>
        <v>0</v>
      </c>
      <c r="CI135">
        <f t="shared" si="82"/>
        <v>0.19344166666666701</v>
      </c>
      <c r="CJ135">
        <f>IF(CI135=BO135,BP135,IF(CI135=BS135,BT135,IF(CI135=BW135,BX135,IF(CI135=CA135,CB135,IF(CI135=CE135,CF135,0)))))</f>
        <v>18</v>
      </c>
      <c r="CK135">
        <f>IF(CI135=BO135,BQ135,IF(CI135=BS135,BU135,IF(CI135=BW135,BY135,IF(CI135=CA135,CC135,IF(CI135=CE135,CG135,0)))))</f>
        <v>6.8901199999999996</v>
      </c>
      <c r="CL135">
        <f t="shared" si="83"/>
        <v>0</v>
      </c>
      <c r="CM135">
        <f t="shared" si="84"/>
        <v>0.19344166666666701</v>
      </c>
      <c r="CN135">
        <f>IF(CM135=BO135,BP135,IF(CM135=BS135,BT135,IF(CM135=BW135,BX135,IF(CM135=CA135,CB135,IF(CM135=CE135,CF135,IF(CM135=CI135,CJ135,0))))))</f>
        <v>18</v>
      </c>
      <c r="CO135">
        <f>IF(CM135=BO135,BQ135,IF(CM135=BS135,BU135,IF(CM135=BW135,BY135,IF(CM135=CA135,CC135,IF(CM135=CE135,CG135,IF(CM135=CI135,CK135,0))))))</f>
        <v>6.8901199999999996</v>
      </c>
      <c r="CP135">
        <f t="shared" si="85"/>
        <v>0</v>
      </c>
      <c r="CQ135">
        <f t="shared" si="86"/>
        <v>0.19344166666666701</v>
      </c>
      <c r="CR135">
        <f>IF(CQ135=BO135,BP135,IF(CQ135=BS135,BT135,IF(CQ135=BW135,BX135,IF(CQ135=CA135,CB135,IF(CQ135=CE135,CF135,IF(CQ135=CI135,CJ135,IF(CQ135=CM135,CN135,0)))))))</f>
        <v>18</v>
      </c>
      <c r="CS135">
        <f>IF(CQ135=BO135,BQ135,IF(CQ135=BS135,BU135,IF(CQ135=BW135,BY135,IF(CQ135=CA135,CC135,IF(CQ135=CE135,CG135,IF(CQ135=CI135,CK135,IF(CQ135=CM135,CO135,0)))))))</f>
        <v>6.8901199999999996</v>
      </c>
      <c r="CT135">
        <f t="shared" si="87"/>
        <v>0</v>
      </c>
      <c r="CU135">
        <f t="shared" si="88"/>
        <v>0.19344166666666701</v>
      </c>
      <c r="CV135">
        <f>IF(CU135=BO135,BP135,IF(CU135=BS135,BT135,IF(CU135=BW135,BX135,IF(CU135=CA135,CB135,IF(CU135=CE135,CF135,IF(CU135=CI135,CJ135,IF(CU135=CM135,CN135,IF(CU135=CQ135,CR135,0))))))))</f>
        <v>18</v>
      </c>
      <c r="CW135">
        <f>IF(CU135=BO135,BQ135,IF(CU135=BS135,BU135,IF(CU135=BW135,BY135,IF(CU135=CA135,CC135,IF(CU135=CE135,CG135,IF(CU135=CI135,CK135,IF(CU135=CM135,CO135,IF(CU135=CQ135,CS135,0))))))))</f>
        <v>6.8901199999999996</v>
      </c>
      <c r="CX135">
        <f t="shared" si="89"/>
        <v>0</v>
      </c>
      <c r="CY135">
        <f t="shared" si="90"/>
        <v>0.19344166666666701</v>
      </c>
      <c r="CZ135">
        <f>IF(CY135=BO135,BP135,IF(CY135=BS135,BT135,IF(CY135=BW135,BX135,IF(CY135=CA135,CB135,IF(CY135=CE135,CF135,IF(CY135=CI135,CJ135,IF(CY135=CM135,CN135,IF(CY135=CQ135,CR135,IF(CY135=CU135,CV135,0)))))))))</f>
        <v>18</v>
      </c>
      <c r="DA135">
        <f>IF(CY135=BO135,BQ135,IF(CY135=BS135,BU135,IF(CY135=BW135,BY135,IF(CY135=CA135,CC135,IF(CY135=CE135,CG135,IF(CY135=CI135,CK135,IF(CY135=CM135,CO135,IF(CY135=CQ135,CS135,IF(CY135=CU135,CW135,0)))))))))</f>
        <v>6.8901199999999996</v>
      </c>
      <c r="DB135">
        <f t="shared" si="91"/>
        <v>0</v>
      </c>
      <c r="DC135">
        <f t="shared" si="92"/>
        <v>0.19344166666666701</v>
      </c>
      <c r="DD135">
        <f>IF(DC135=BO135,BP135,IF(DC135=BS135,BT135,IF(DC135=BW135,BX135,IF(DC135=CA135,CB135,IF(DC135=CE135,CF135,IF(DC135=CI135,CJ135,IF(DC135=CM135,CN135,IF(DC135=CQ135,CR135,IF(DC135=CU135,CV135,IF(DC135=CY135,CZ135,0))))))))))</f>
        <v>18</v>
      </c>
      <c r="DE135">
        <f>IF(DC135=BO135,BQ135,IF(DC135=BS135,BU135,IF(DC135=BW135,BY135,IF(DC135=CA135,CC135,IF(DC135=CE135,CG135,IF(DC135=CI135,CK135,IF(DC135=CM135,CO135,IF(DC135=CQ135,CS135,IF(DC135=CU135,CW135,IF(DC135=CY135,DA135,0))))))))))</f>
        <v>6.8901199999999996</v>
      </c>
      <c r="DF135">
        <f t="shared" si="93"/>
        <v>0</v>
      </c>
      <c r="DG135">
        <f t="shared" si="94"/>
        <v>0.19344166666666701</v>
      </c>
      <c r="DH135">
        <f>IF(DG135=BO135,BP135,IF(DG135=BS135,BT135,IF(DG135=BW135,BX135,IF(DG135=CA135,CB135,IF(DG135=CE135,CF135,IF(DG135=CI135,CJ135,IF(DG135=CM135,CN135,IF(DG135=CQ135,CR135,IF(DG135=CU135,CV135,IF(DG135=CY135,CZ135,IF(DG135=DC135,DD135,0)))))))))))</f>
        <v>18</v>
      </c>
      <c r="DI135">
        <f>IF(DG135=BO135,BQ135,IF(DG135=BS135,BU135,IF(DG135=BW135,BY135,IF(DG135=CA135,CC135,IF(DG135=CE135,CG135,IF(DG135=CI135,CK135,IF(DG135=CM135,CO135,IF(DG135=CQ135,CS135,IF(DG135=CU135,CW135,IF(DG135=CY135,DA135,IF(DG135=DC135,DE135,0)))))))))))</f>
        <v>6.8901199999999996</v>
      </c>
      <c r="DJ135">
        <f t="shared" si="95"/>
        <v>0</v>
      </c>
      <c r="DK135">
        <f t="shared" si="96"/>
        <v>0.19344166666666701</v>
      </c>
      <c r="DL135">
        <f>IF(DK135=BO135,BP135,IF(DK135=BS135,BT135,IF(DK135=BW135,BX135,IF(DK135=CA135,CB135,IF(DK135=CE135,CF135,IF(DK135=CI135,CJ135,IF(DK135=CM135,CN135,IF(DK135=CQ135,CR135,IF(DK135=CU135,CV135,IF(DK135=CY135,CZ135,IF(DK135=DC135,DD135,IF(DK135=DG135,DH135,0))))))))))))</f>
        <v>18</v>
      </c>
      <c r="DM135">
        <f>IF(DK135=BO135,BQ135,IF(DK135=BS135,BU135,IF(DK135=BW135,BY135,IF(DK135=CA135,CC135,IF(DK135=CE135,CG135,IF(DK135=CI135,CK135,IF(DK135=CM135,CO135,IF(DK135=CQ135,CS135,IF(DK135=CU135,CW135,IF(DK135=CY135,DA135,IF(DK135=DC135,DE135,IF(DK135=DG135,DI135,0))))))))))))</f>
        <v>6.8901199999999996</v>
      </c>
      <c r="DN135">
        <f t="shared" si="97"/>
        <v>0</v>
      </c>
      <c r="DO135">
        <f t="shared" si="98"/>
        <v>0.19344166666666701</v>
      </c>
      <c r="DP135">
        <f>IF(DO135=BO135,BP135,IF(DO135=BS135,BT135,IF(DO135=BW135,BX135,IF(DO135=CA135,CB135,IF(DO135=CE135,CF135,IF(DO135=CI135,CJ135,IF(DO135=CM135,CN135,IF(DO135=CQ135,CR135,IF(DO135=CU135,CV135,IF(DO135=CY135,CZ135,IF(DO135=DC135,DD135,IF(DO135=DG135,DH135,IF(DO135=DK135,DL135,0)))))))))))))</f>
        <v>18</v>
      </c>
      <c r="DQ135">
        <f>IF(DO135=BO135,BQ135,IF(DO135=BS135,BU135,IF(DO135=BW135,BY135,IF(DO135=CA135,CC135,IF(DO135=CE135,CG135,IF(DO135=CI135,CK135,IF(DO135=CM135,CO135,IF(DO135=CQ135,CS135,IF(DO135=CU135,CW135,IF(DO135=CY135,DA135,IF(DO135=DC135,DE135,IF(DO135=DG135,DI135,IF(DO135=DK135,DM135,0)))))))))))))</f>
        <v>6.8901199999999996</v>
      </c>
      <c r="DR135">
        <f t="shared" si="99"/>
        <v>0</v>
      </c>
      <c r="DS135">
        <f t="shared" si="100"/>
        <v>0.224016666666667</v>
      </c>
      <c r="DT135">
        <v>17</v>
      </c>
      <c r="DU135">
        <v>8.1950000000000003</v>
      </c>
      <c r="DV135">
        <f t="shared" si="101"/>
        <v>0</v>
      </c>
      <c r="DW135">
        <v>22500.5</v>
      </c>
      <c r="DX135">
        <v>6</v>
      </c>
      <c r="DY135">
        <v>28</v>
      </c>
      <c r="EA135">
        <v>4</v>
      </c>
      <c r="EB135">
        <v>10.114099490560401</v>
      </c>
      <c r="EC135">
        <v>0.66666666666666696</v>
      </c>
      <c r="ED135">
        <v>2.4141994666666702</v>
      </c>
      <c r="EE135">
        <v>0.19344166666666701</v>
      </c>
      <c r="EF135">
        <v>6.8901199999999996</v>
      </c>
      <c r="EG135">
        <v>7.9390763754758602</v>
      </c>
      <c r="EH135">
        <v>18</v>
      </c>
      <c r="EI135">
        <v>0</v>
      </c>
      <c r="EJ135">
        <v>0.59714373333333304</v>
      </c>
      <c r="EK135">
        <v>1</v>
      </c>
      <c r="EL135">
        <v>0</v>
      </c>
      <c r="EM135">
        <v>37</v>
      </c>
      <c r="EN135">
        <v>1</v>
      </c>
      <c r="EO135">
        <v>2</v>
      </c>
      <c r="EP135">
        <v>5</v>
      </c>
      <c r="EQ135">
        <v>4</v>
      </c>
      <c r="ER135">
        <v>14.1987814663817</v>
      </c>
      <c r="ES135">
        <v>9.2357551690464899</v>
      </c>
      <c r="ET135">
        <v>11.6499546357132</v>
      </c>
      <c r="EU135">
        <v>5.4932719029853097</v>
      </c>
      <c r="EV135">
        <v>6.0904156363186397</v>
      </c>
      <c r="EW135">
        <v>2.0520292000000002</v>
      </c>
      <c r="EX135">
        <v>9.8090704118112608</v>
      </c>
      <c r="EY135">
        <v>11.8610996118113</v>
      </c>
      <c r="EZ135">
        <v>0.59714373333333304</v>
      </c>
      <c r="FA135">
        <v>5.4932719029853097</v>
      </c>
      <c r="FB135">
        <v>6.0904156363186397</v>
      </c>
      <c r="FC135">
        <v>3.1171712</v>
      </c>
      <c r="FD135">
        <v>13.9950289523391</v>
      </c>
      <c r="FE135">
        <v>17.112200152339099</v>
      </c>
      <c r="FF135">
        <v>0.59714373333333304</v>
      </c>
      <c r="FG135">
        <v>5.4932719029853097</v>
      </c>
      <c r="FH135">
        <v>6.0904156363186397</v>
      </c>
    </row>
    <row r="136" spans="1:164" x14ac:dyDescent="0.2">
      <c r="A136">
        <v>135</v>
      </c>
      <c r="B136">
        <v>148</v>
      </c>
      <c r="C136">
        <v>242</v>
      </c>
      <c r="D136">
        <v>2</v>
      </c>
      <c r="E136">
        <v>13</v>
      </c>
      <c r="F136" t="s">
        <v>347</v>
      </c>
      <c r="G136" t="s">
        <v>349</v>
      </c>
      <c r="H136">
        <v>3</v>
      </c>
      <c r="I136">
        <v>4</v>
      </c>
      <c r="K136" t="s">
        <v>351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2</v>
      </c>
      <c r="AD136">
        <v>4</v>
      </c>
      <c r="AE136">
        <v>8</v>
      </c>
      <c r="AF136">
        <v>4</v>
      </c>
      <c r="AG136">
        <v>5</v>
      </c>
      <c r="AH136">
        <v>6</v>
      </c>
      <c r="AI136">
        <v>0.35761111111111099</v>
      </c>
      <c r="AJ136">
        <v>20.949940000000002</v>
      </c>
      <c r="AK136">
        <v>0.63495000000000001</v>
      </c>
      <c r="AL136">
        <v>41.597099999999998</v>
      </c>
      <c r="AM136">
        <v>0.52906111111111098</v>
      </c>
      <c r="AN136">
        <v>39.126959999999997</v>
      </c>
      <c r="AO136">
        <v>0.52520555555555604</v>
      </c>
      <c r="AP136">
        <v>36.753459999999997</v>
      </c>
      <c r="AQ136">
        <v>0.54850277777777801</v>
      </c>
      <c r="AR136">
        <v>37.081359999999997</v>
      </c>
      <c r="AS136">
        <v>0.51369166666666699</v>
      </c>
      <c r="AT136">
        <v>33.581490000000002</v>
      </c>
      <c r="AU136">
        <v>0.41303611111111099</v>
      </c>
      <c r="AV136">
        <v>28.045960000000001</v>
      </c>
      <c r="AW136">
        <v>0.388311111111111</v>
      </c>
      <c r="AX136">
        <v>26.019780000000001</v>
      </c>
      <c r="AY136">
        <v>0.37780000000000002</v>
      </c>
      <c r="AZ136">
        <v>24.463360000000002</v>
      </c>
      <c r="BA136">
        <v>0.36279166666666701</v>
      </c>
      <c r="BB136">
        <v>23.880389999999998</v>
      </c>
      <c r="BC136">
        <v>0.369247222222222</v>
      </c>
      <c r="BD136">
        <v>21.425650000000001</v>
      </c>
      <c r="BE136">
        <v>0.26688888888888901</v>
      </c>
      <c r="BF136">
        <v>14.94018</v>
      </c>
      <c r="BG136">
        <v>0.28654166666666703</v>
      </c>
      <c r="BH136">
        <v>14.57568</v>
      </c>
      <c r="BI136">
        <v>0.26972499999999999</v>
      </c>
      <c r="BJ136">
        <v>10.007300000000001</v>
      </c>
      <c r="BK136">
        <v>0.256397222222222</v>
      </c>
      <c r="BL136">
        <v>8.9811099999999993</v>
      </c>
      <c r="BM136">
        <v>0.22582222222222201</v>
      </c>
      <c r="BN136">
        <v>7.6762199999999998</v>
      </c>
      <c r="BO136">
        <f t="shared" si="68"/>
        <v>0.22582222222222201</v>
      </c>
      <c r="BP136">
        <v>18</v>
      </c>
      <c r="BQ136">
        <v>7.6762199999999998</v>
      </c>
      <c r="BR136">
        <f t="shared" si="69"/>
        <v>0</v>
      </c>
      <c r="BS136">
        <f t="shared" si="70"/>
        <v>0.22582222222222201</v>
      </c>
      <c r="BT136">
        <f t="shared" si="71"/>
        <v>18</v>
      </c>
      <c r="BU136">
        <f t="shared" si="72"/>
        <v>7.6762199999999998</v>
      </c>
      <c r="BV136">
        <f t="shared" si="73"/>
        <v>0</v>
      </c>
      <c r="BW136">
        <f t="shared" si="74"/>
        <v>0.22582222222222201</v>
      </c>
      <c r="BX136">
        <f t="shared" si="75"/>
        <v>18</v>
      </c>
      <c r="BY136">
        <f t="shared" si="76"/>
        <v>7.6762199999999998</v>
      </c>
      <c r="BZ136">
        <f t="shared" si="77"/>
        <v>0</v>
      </c>
      <c r="CA136">
        <f t="shared" si="78"/>
        <v>0.22582222222222201</v>
      </c>
      <c r="CB136">
        <f>IF(CA136=BO136,BP136,IF(CA136=BS136,BT136,IF(CA136=BW136,BX136,0)))</f>
        <v>18</v>
      </c>
      <c r="CC136">
        <f>IF(CA136=BO136,BQ136,IF(CA136=BS136,BU136,IF(CA136=BW136,BY136,0)))</f>
        <v>7.6762199999999998</v>
      </c>
      <c r="CD136">
        <f t="shared" si="79"/>
        <v>0</v>
      </c>
      <c r="CE136">
        <f t="shared" si="80"/>
        <v>0.22582222222222201</v>
      </c>
      <c r="CF136">
        <f>IF(CE136=BO136,BP136,IF(CE136=BS136,BT136,IF(CE136=BW136,BX136,IF(CE136=CA136,CB136,0))))</f>
        <v>18</v>
      </c>
      <c r="CG136">
        <f>IF(CE136=BO136,BQ136,IF(CE136=BS136,BU136,IF(CE136=BW136,BY136,IF(CE136=CA136,CC136,0))))</f>
        <v>7.6762199999999998</v>
      </c>
      <c r="CH136">
        <f t="shared" si="81"/>
        <v>0</v>
      </c>
      <c r="CI136">
        <f t="shared" si="82"/>
        <v>0.22582222222222201</v>
      </c>
      <c r="CJ136">
        <f>IF(CI136=BO136,BP136,IF(CI136=BS136,BT136,IF(CI136=BW136,BX136,IF(CI136=CA136,CB136,IF(CI136=CE136,CF136,0)))))</f>
        <v>18</v>
      </c>
      <c r="CK136">
        <f>IF(CI136=BO136,BQ136,IF(CI136=BS136,BU136,IF(CI136=BW136,BY136,IF(CI136=CA136,CC136,IF(CI136=CE136,CG136,0)))))</f>
        <v>7.6762199999999998</v>
      </c>
      <c r="CL136">
        <f t="shared" si="83"/>
        <v>0</v>
      </c>
      <c r="CM136">
        <f t="shared" si="84"/>
        <v>0.22582222222222201</v>
      </c>
      <c r="CN136">
        <f>IF(CM136=BO136,BP136,IF(CM136=BS136,BT136,IF(CM136=BW136,BX136,IF(CM136=CA136,CB136,IF(CM136=CE136,CF136,IF(CM136=CI136,CJ136,0))))))</f>
        <v>18</v>
      </c>
      <c r="CO136">
        <f>IF(CM136=BO136,BQ136,IF(CM136=BS136,BU136,IF(CM136=BW136,BY136,IF(CM136=CA136,CC136,IF(CM136=CE136,CG136,IF(CM136=CI136,CK136,0))))))</f>
        <v>7.6762199999999998</v>
      </c>
      <c r="CP136">
        <f t="shared" si="85"/>
        <v>0</v>
      </c>
      <c r="CQ136">
        <f t="shared" si="86"/>
        <v>0.22582222222222201</v>
      </c>
      <c r="CR136">
        <f>IF(CQ136=BO136,BP136,IF(CQ136=BS136,BT136,IF(CQ136=BW136,BX136,IF(CQ136=CA136,CB136,IF(CQ136=CE136,CF136,IF(CQ136=CI136,CJ136,IF(CQ136=CM136,CN136,0)))))))</f>
        <v>18</v>
      </c>
      <c r="CS136">
        <f>IF(CQ136=BO136,BQ136,IF(CQ136=BS136,BU136,IF(CQ136=BW136,BY136,IF(CQ136=CA136,CC136,IF(CQ136=CE136,CG136,IF(CQ136=CI136,CK136,IF(CQ136=CM136,CO136,0)))))))</f>
        <v>7.6762199999999998</v>
      </c>
      <c r="CT136">
        <f t="shared" si="87"/>
        <v>0</v>
      </c>
      <c r="CU136">
        <f t="shared" si="88"/>
        <v>0.22582222222222201</v>
      </c>
      <c r="CV136">
        <f>IF(CU136=BO136,BP136,IF(CU136=BS136,BT136,IF(CU136=BW136,BX136,IF(CU136=CA136,CB136,IF(CU136=CE136,CF136,IF(CU136=CI136,CJ136,IF(CU136=CM136,CN136,IF(CU136=CQ136,CR136,0))))))))</f>
        <v>18</v>
      </c>
      <c r="CW136">
        <f>IF(CU136=BO136,BQ136,IF(CU136=BS136,BU136,IF(CU136=BW136,BY136,IF(CU136=CA136,CC136,IF(CU136=CE136,CG136,IF(CU136=CI136,CK136,IF(CU136=CM136,CO136,IF(CU136=CQ136,CS136,0))))))))</f>
        <v>7.6762199999999998</v>
      </c>
      <c r="CX136">
        <f t="shared" si="89"/>
        <v>0</v>
      </c>
      <c r="CY136">
        <f t="shared" si="90"/>
        <v>0.22582222222222201</v>
      </c>
      <c r="CZ136">
        <f>IF(CY136=BO136,BP136,IF(CY136=BS136,BT136,IF(CY136=BW136,BX136,IF(CY136=CA136,CB136,IF(CY136=CE136,CF136,IF(CY136=CI136,CJ136,IF(CY136=CM136,CN136,IF(CY136=CQ136,CR136,IF(CY136=CU136,CV136,0)))))))))</f>
        <v>18</v>
      </c>
      <c r="DA136">
        <f>IF(CY136=BO136,BQ136,IF(CY136=BS136,BU136,IF(CY136=BW136,BY136,IF(CY136=CA136,CC136,IF(CY136=CE136,CG136,IF(CY136=CI136,CK136,IF(CY136=CM136,CO136,IF(CY136=CQ136,CS136,IF(CY136=CU136,CW136,0)))))))))</f>
        <v>7.6762199999999998</v>
      </c>
      <c r="DB136">
        <f t="shared" si="91"/>
        <v>0</v>
      </c>
      <c r="DC136">
        <f t="shared" si="92"/>
        <v>0.22582222222222201</v>
      </c>
      <c r="DD136">
        <f>IF(DC136=BO136,BP136,IF(DC136=BS136,BT136,IF(DC136=BW136,BX136,IF(DC136=CA136,CB136,IF(DC136=CE136,CF136,IF(DC136=CI136,CJ136,IF(DC136=CM136,CN136,IF(DC136=CQ136,CR136,IF(DC136=CU136,CV136,IF(DC136=CY136,CZ136,0))))))))))</f>
        <v>18</v>
      </c>
      <c r="DE136">
        <f>IF(DC136=BO136,BQ136,IF(DC136=BS136,BU136,IF(DC136=BW136,BY136,IF(DC136=CA136,CC136,IF(DC136=CE136,CG136,IF(DC136=CI136,CK136,IF(DC136=CM136,CO136,IF(DC136=CQ136,CS136,IF(DC136=CU136,CW136,IF(DC136=CY136,DA136,0))))))))))</f>
        <v>7.6762199999999998</v>
      </c>
      <c r="DF136">
        <f t="shared" si="93"/>
        <v>0</v>
      </c>
      <c r="DG136">
        <f t="shared" si="94"/>
        <v>0.22582222222222201</v>
      </c>
      <c r="DH136">
        <f>IF(DG136=BO136,BP136,IF(DG136=BS136,BT136,IF(DG136=BW136,BX136,IF(DG136=CA136,CB136,IF(DG136=CE136,CF136,IF(DG136=CI136,CJ136,IF(DG136=CM136,CN136,IF(DG136=CQ136,CR136,IF(DG136=CU136,CV136,IF(DG136=CY136,CZ136,IF(DG136=DC136,DD136,0)))))))))))</f>
        <v>18</v>
      </c>
      <c r="DI136">
        <f>IF(DG136=BO136,BQ136,IF(DG136=BS136,BU136,IF(DG136=BW136,BY136,IF(DG136=CA136,CC136,IF(DG136=CE136,CG136,IF(DG136=CI136,CK136,IF(DG136=CM136,CO136,IF(DG136=CQ136,CS136,IF(DG136=CU136,CW136,IF(DG136=CY136,DA136,IF(DG136=DC136,DE136,0)))))))))))</f>
        <v>7.6762199999999998</v>
      </c>
      <c r="DJ136">
        <f t="shared" si="95"/>
        <v>0</v>
      </c>
      <c r="DK136">
        <f t="shared" si="96"/>
        <v>0.22582222222222201</v>
      </c>
      <c r="DL136">
        <f>IF(DK136=BO136,BP136,IF(DK136=BS136,BT136,IF(DK136=BW136,BX136,IF(DK136=CA136,CB136,IF(DK136=CE136,CF136,IF(DK136=CI136,CJ136,IF(DK136=CM136,CN136,IF(DK136=CQ136,CR136,IF(DK136=CU136,CV136,IF(DK136=CY136,CZ136,IF(DK136=DC136,DD136,IF(DK136=DG136,DH136,0))))))))))))</f>
        <v>18</v>
      </c>
      <c r="DM136">
        <f>IF(DK136=BO136,BQ136,IF(DK136=BS136,BU136,IF(DK136=BW136,BY136,IF(DK136=CA136,CC136,IF(DK136=CE136,CG136,IF(DK136=CI136,CK136,IF(DK136=CM136,CO136,IF(DK136=CQ136,CS136,IF(DK136=CU136,CW136,IF(DK136=CY136,DA136,IF(DK136=DC136,DE136,IF(DK136=DG136,DI136,0))))))))))))</f>
        <v>7.6762199999999998</v>
      </c>
      <c r="DN136">
        <f t="shared" si="97"/>
        <v>0</v>
      </c>
      <c r="DO136">
        <f t="shared" si="98"/>
        <v>0.22582222222222201</v>
      </c>
      <c r="DP136">
        <f>IF(DO136=BO136,BP136,IF(DO136=BS136,BT136,IF(DO136=BW136,BX136,IF(DO136=CA136,CB136,IF(DO136=CE136,CF136,IF(DO136=CI136,CJ136,IF(DO136=CM136,CN136,IF(DO136=CQ136,CR136,IF(DO136=CU136,CV136,IF(DO136=CY136,CZ136,IF(DO136=DC136,DD136,IF(DO136=DG136,DH136,IF(DO136=DK136,DL136,0)))))))))))))</f>
        <v>18</v>
      </c>
      <c r="DQ136">
        <f>IF(DO136=BO136,BQ136,IF(DO136=BS136,BU136,IF(DO136=BW136,BY136,IF(DO136=CA136,CC136,IF(DO136=CE136,CG136,IF(DO136=CI136,CK136,IF(DO136=CM136,CO136,IF(DO136=CQ136,CS136,IF(DO136=CU136,CW136,IF(DO136=CY136,DA136,IF(DO136=DC136,DE136,IF(DO136=DG136,DI136,IF(DO136=DK136,DM136,0)))))))))))))</f>
        <v>7.6762199999999998</v>
      </c>
      <c r="DR136">
        <f t="shared" si="99"/>
        <v>0</v>
      </c>
      <c r="DS136">
        <f t="shared" si="100"/>
        <v>0.256397222222222</v>
      </c>
      <c r="DT136">
        <v>17</v>
      </c>
      <c r="DU136">
        <v>8.9811099999999993</v>
      </c>
      <c r="DV136">
        <f t="shared" si="101"/>
        <v>0</v>
      </c>
      <c r="DW136">
        <v>22500.5</v>
      </c>
      <c r="DX136">
        <v>6</v>
      </c>
      <c r="DY136">
        <v>28</v>
      </c>
      <c r="EA136">
        <v>4</v>
      </c>
      <c r="EB136">
        <v>10.114099490560401</v>
      </c>
      <c r="EC136">
        <v>0.66666666666666696</v>
      </c>
      <c r="ED136">
        <v>2.48232813333333</v>
      </c>
      <c r="EE136">
        <v>0.22582222222222201</v>
      </c>
      <c r="EF136">
        <v>7.6762199999999998</v>
      </c>
      <c r="EG136">
        <v>8.6211164007514096</v>
      </c>
      <c r="EH136">
        <v>18</v>
      </c>
      <c r="EI136">
        <v>0</v>
      </c>
      <c r="EJ136">
        <v>0.66527239999999999</v>
      </c>
      <c r="EK136">
        <v>1</v>
      </c>
      <c r="EL136">
        <v>0</v>
      </c>
      <c r="EM136">
        <v>40</v>
      </c>
      <c r="EN136">
        <v>0</v>
      </c>
      <c r="EO136">
        <v>2</v>
      </c>
      <c r="EP136">
        <v>6</v>
      </c>
      <c r="EQ136">
        <v>4</v>
      </c>
      <c r="ER136">
        <v>14.1987814663817</v>
      </c>
      <c r="ES136">
        <v>10.155284033233199</v>
      </c>
      <c r="ET136">
        <v>12.6376121665665</v>
      </c>
      <c r="EU136">
        <v>6.41280076717202</v>
      </c>
      <c r="EV136">
        <v>7.0780731671720201</v>
      </c>
      <c r="EW136">
        <v>2.1201578666666698</v>
      </c>
      <c r="EX136">
        <v>10.728599275998</v>
      </c>
      <c r="EY136">
        <v>12.8487571426647</v>
      </c>
      <c r="EZ136">
        <v>0.66527239999999999</v>
      </c>
      <c r="FA136">
        <v>6.41280076717202</v>
      </c>
      <c r="FB136">
        <v>7.0780731671720201</v>
      </c>
      <c r="FC136">
        <v>3.1852998666666701</v>
      </c>
      <c r="FD136">
        <v>14.9145578165258</v>
      </c>
      <c r="FE136">
        <v>18.0998576831925</v>
      </c>
      <c r="FF136">
        <v>0.66527239999999999</v>
      </c>
      <c r="FG136">
        <v>6.41280076717202</v>
      </c>
      <c r="FH136">
        <v>7.0780731671720201</v>
      </c>
    </row>
    <row r="137" spans="1:164" x14ac:dyDescent="0.2">
      <c r="A137">
        <v>136</v>
      </c>
      <c r="B137">
        <v>149</v>
      </c>
      <c r="C137">
        <v>244</v>
      </c>
      <c r="D137">
        <v>2</v>
      </c>
      <c r="E137">
        <v>13</v>
      </c>
      <c r="F137" t="s">
        <v>352</v>
      </c>
      <c r="G137" t="s">
        <v>353</v>
      </c>
      <c r="H137">
        <v>3</v>
      </c>
      <c r="I137">
        <v>5</v>
      </c>
      <c r="K137" t="s">
        <v>142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6</v>
      </c>
      <c r="W137">
        <v>0</v>
      </c>
      <c r="X137">
        <v>0</v>
      </c>
      <c r="Y137">
        <v>0</v>
      </c>
      <c r="Z137">
        <v>2</v>
      </c>
      <c r="AA137">
        <v>0</v>
      </c>
      <c r="AB137">
        <v>2</v>
      </c>
      <c r="AC137">
        <v>0</v>
      </c>
      <c r="AD137">
        <v>10</v>
      </c>
      <c r="AE137">
        <v>20</v>
      </c>
      <c r="AF137">
        <v>10</v>
      </c>
      <c r="AG137">
        <v>14</v>
      </c>
      <c r="AH137">
        <v>6</v>
      </c>
      <c r="AI137">
        <v>0.32812222222222198</v>
      </c>
      <c r="AJ137">
        <v>21.280999999999999</v>
      </c>
      <c r="AK137">
        <v>0.60546111111111101</v>
      </c>
      <c r="AL137">
        <v>41.928159999999998</v>
      </c>
      <c r="AM137">
        <v>0.49956944444444401</v>
      </c>
      <c r="AN137">
        <v>39.458019999999998</v>
      </c>
      <c r="AO137">
        <v>0.49571388888888901</v>
      </c>
      <c r="AP137">
        <v>37.084519999999998</v>
      </c>
      <c r="AQ137">
        <v>0.519013888888889</v>
      </c>
      <c r="AR137">
        <v>37.412410000000001</v>
      </c>
      <c r="AS137">
        <v>0.48420000000000002</v>
      </c>
      <c r="AT137">
        <v>33.912550000000003</v>
      </c>
      <c r="AU137">
        <v>0.38354444444444402</v>
      </c>
      <c r="AV137">
        <v>28.377009999999999</v>
      </c>
      <c r="AW137">
        <v>0.35881944444444402</v>
      </c>
      <c r="AX137">
        <v>26.350840000000002</v>
      </c>
      <c r="AY137">
        <v>0.348308333333333</v>
      </c>
      <c r="AZ137">
        <v>24.794419999999999</v>
      </c>
      <c r="BA137">
        <v>0.33329999999999999</v>
      </c>
      <c r="BB137">
        <v>24.211449999999999</v>
      </c>
      <c r="BC137">
        <v>0.33975555555555598</v>
      </c>
      <c r="BD137">
        <v>21.756710000000002</v>
      </c>
      <c r="BE137">
        <v>0.23739722222222201</v>
      </c>
      <c r="BF137">
        <v>15.271240000000001</v>
      </c>
      <c r="BG137">
        <v>0.25705</v>
      </c>
      <c r="BH137">
        <v>14.906739999999999</v>
      </c>
      <c r="BI137">
        <v>0.24815000000000001</v>
      </c>
      <c r="BJ137">
        <v>9.8687299999999993</v>
      </c>
      <c r="BK137">
        <v>0.23482222222222199</v>
      </c>
      <c r="BL137">
        <v>8.8425399999999996</v>
      </c>
      <c r="BM137">
        <v>0.20424444444444401</v>
      </c>
      <c r="BN137">
        <v>7.5376500000000002</v>
      </c>
      <c r="BO137">
        <f t="shared" si="68"/>
        <v>0.20424444444444401</v>
      </c>
      <c r="BP137">
        <v>18</v>
      </c>
      <c r="BQ137">
        <v>7.5376500000000002</v>
      </c>
      <c r="BR137">
        <f t="shared" si="69"/>
        <v>0</v>
      </c>
      <c r="BS137">
        <f t="shared" si="70"/>
        <v>0.20424444444444401</v>
      </c>
      <c r="BT137">
        <f t="shared" si="71"/>
        <v>18</v>
      </c>
      <c r="BU137">
        <f t="shared" si="72"/>
        <v>7.5376500000000002</v>
      </c>
      <c r="BV137">
        <f t="shared" si="73"/>
        <v>0</v>
      </c>
      <c r="BW137">
        <f t="shared" si="74"/>
        <v>0.20424444444444401</v>
      </c>
      <c r="BX137">
        <f t="shared" si="75"/>
        <v>18</v>
      </c>
      <c r="BY137">
        <f t="shared" si="76"/>
        <v>7.5376500000000002</v>
      </c>
      <c r="BZ137">
        <f t="shared" si="77"/>
        <v>0</v>
      </c>
      <c r="CA137">
        <f t="shared" si="78"/>
        <v>0.20424444444444401</v>
      </c>
      <c r="CB137">
        <f>IF(CA137=BO137,BP137,IF(CA137=BS137,BT137,IF(CA137=BW137,BX137,0)))</f>
        <v>18</v>
      </c>
      <c r="CC137">
        <f>IF(CA137=BO137,BQ137,IF(CA137=BS137,BU137,IF(CA137=BW137,BY137,0)))</f>
        <v>7.5376500000000002</v>
      </c>
      <c r="CD137">
        <f t="shared" si="79"/>
        <v>0</v>
      </c>
      <c r="CE137">
        <f t="shared" si="80"/>
        <v>0.20424444444444401</v>
      </c>
      <c r="CF137">
        <f>IF(CE137=BO137,BP137,IF(CE137=BS137,BT137,IF(CE137=BW137,BX137,IF(CE137=CA137,CB137,0))))</f>
        <v>18</v>
      </c>
      <c r="CG137">
        <f>IF(CE137=BO137,BQ137,IF(CE137=BS137,BU137,IF(CE137=BW137,BY137,IF(CE137=CA137,CC137,0))))</f>
        <v>7.5376500000000002</v>
      </c>
      <c r="CH137">
        <f t="shared" si="81"/>
        <v>0</v>
      </c>
      <c r="CI137">
        <f t="shared" si="82"/>
        <v>0.20424444444444401</v>
      </c>
      <c r="CJ137">
        <f>IF(CI137=BO137,BP137,IF(CI137=BS137,BT137,IF(CI137=BW137,BX137,IF(CI137=CA137,CB137,IF(CI137=CE137,CF137,0)))))</f>
        <v>18</v>
      </c>
      <c r="CK137">
        <f>IF(CI137=BO137,BQ137,IF(CI137=BS137,BU137,IF(CI137=BW137,BY137,IF(CI137=CA137,CC137,IF(CI137=CE137,CG137,0)))))</f>
        <v>7.5376500000000002</v>
      </c>
      <c r="CL137">
        <f t="shared" si="83"/>
        <v>0</v>
      </c>
      <c r="CM137">
        <f t="shared" si="84"/>
        <v>0.20424444444444401</v>
      </c>
      <c r="CN137">
        <f>IF(CM137=BO137,BP137,IF(CM137=BS137,BT137,IF(CM137=BW137,BX137,IF(CM137=CA137,CB137,IF(CM137=CE137,CF137,IF(CM137=CI137,CJ137,0))))))</f>
        <v>18</v>
      </c>
      <c r="CO137">
        <f>IF(CM137=BO137,BQ137,IF(CM137=BS137,BU137,IF(CM137=BW137,BY137,IF(CM137=CA137,CC137,IF(CM137=CE137,CG137,IF(CM137=CI137,CK137,0))))))</f>
        <v>7.5376500000000002</v>
      </c>
      <c r="CP137">
        <f t="shared" si="85"/>
        <v>0</v>
      </c>
      <c r="CQ137">
        <f t="shared" si="86"/>
        <v>0.20424444444444401</v>
      </c>
      <c r="CR137">
        <f>IF(CQ137=BO137,BP137,IF(CQ137=BS137,BT137,IF(CQ137=BW137,BX137,IF(CQ137=CA137,CB137,IF(CQ137=CE137,CF137,IF(CQ137=CI137,CJ137,IF(CQ137=CM137,CN137,0)))))))</f>
        <v>18</v>
      </c>
      <c r="CS137">
        <f>IF(CQ137=BO137,BQ137,IF(CQ137=BS137,BU137,IF(CQ137=BW137,BY137,IF(CQ137=CA137,CC137,IF(CQ137=CE137,CG137,IF(CQ137=CI137,CK137,IF(CQ137=CM137,CO137,0)))))))</f>
        <v>7.5376500000000002</v>
      </c>
      <c r="CT137">
        <f t="shared" si="87"/>
        <v>0</v>
      </c>
      <c r="CU137">
        <f t="shared" si="88"/>
        <v>0.20424444444444401</v>
      </c>
      <c r="CV137">
        <f>IF(CU137=BO137,BP137,IF(CU137=BS137,BT137,IF(CU137=BW137,BX137,IF(CU137=CA137,CB137,IF(CU137=CE137,CF137,IF(CU137=CI137,CJ137,IF(CU137=CM137,CN137,IF(CU137=CQ137,CR137,0))))))))</f>
        <v>18</v>
      </c>
      <c r="CW137">
        <f>IF(CU137=BO137,BQ137,IF(CU137=BS137,BU137,IF(CU137=BW137,BY137,IF(CU137=CA137,CC137,IF(CU137=CE137,CG137,IF(CU137=CI137,CK137,IF(CU137=CM137,CO137,IF(CU137=CQ137,CS137,0))))))))</f>
        <v>7.5376500000000002</v>
      </c>
      <c r="CX137">
        <f t="shared" si="89"/>
        <v>0</v>
      </c>
      <c r="CY137">
        <f t="shared" si="90"/>
        <v>0.20424444444444401</v>
      </c>
      <c r="CZ137">
        <f>IF(CY137=BO137,BP137,IF(CY137=BS137,BT137,IF(CY137=BW137,BX137,IF(CY137=CA137,CB137,IF(CY137=CE137,CF137,IF(CY137=CI137,CJ137,IF(CY137=CM137,CN137,IF(CY137=CQ137,CR137,IF(CY137=CU137,CV137,0)))))))))</f>
        <v>18</v>
      </c>
      <c r="DA137">
        <f>IF(CY137=BO137,BQ137,IF(CY137=BS137,BU137,IF(CY137=BW137,BY137,IF(CY137=CA137,CC137,IF(CY137=CE137,CG137,IF(CY137=CI137,CK137,IF(CY137=CM137,CO137,IF(CY137=CQ137,CS137,IF(CY137=CU137,CW137,0)))))))))</f>
        <v>7.5376500000000002</v>
      </c>
      <c r="DB137">
        <f t="shared" si="91"/>
        <v>0</v>
      </c>
      <c r="DC137">
        <f t="shared" si="92"/>
        <v>0.20424444444444401</v>
      </c>
      <c r="DD137">
        <f>IF(DC137=BO137,BP137,IF(DC137=BS137,BT137,IF(DC137=BW137,BX137,IF(DC137=CA137,CB137,IF(DC137=CE137,CF137,IF(DC137=CI137,CJ137,IF(DC137=CM137,CN137,IF(DC137=CQ137,CR137,IF(DC137=CU137,CV137,IF(DC137=CY137,CZ137,0))))))))))</f>
        <v>18</v>
      </c>
      <c r="DE137">
        <f>IF(DC137=BO137,BQ137,IF(DC137=BS137,BU137,IF(DC137=BW137,BY137,IF(DC137=CA137,CC137,IF(DC137=CE137,CG137,IF(DC137=CI137,CK137,IF(DC137=CM137,CO137,IF(DC137=CQ137,CS137,IF(DC137=CU137,CW137,IF(DC137=CY137,DA137,0))))))))))</f>
        <v>7.5376500000000002</v>
      </c>
      <c r="DF137">
        <f t="shared" si="93"/>
        <v>0</v>
      </c>
      <c r="DG137">
        <f t="shared" si="94"/>
        <v>0.20424444444444401</v>
      </c>
      <c r="DH137">
        <f>IF(DG137=BO137,BP137,IF(DG137=BS137,BT137,IF(DG137=BW137,BX137,IF(DG137=CA137,CB137,IF(DG137=CE137,CF137,IF(DG137=CI137,CJ137,IF(DG137=CM137,CN137,IF(DG137=CQ137,CR137,IF(DG137=CU137,CV137,IF(DG137=CY137,CZ137,IF(DG137=DC137,DD137,0)))))))))))</f>
        <v>18</v>
      </c>
      <c r="DI137">
        <f>IF(DG137=BO137,BQ137,IF(DG137=BS137,BU137,IF(DG137=BW137,BY137,IF(DG137=CA137,CC137,IF(DG137=CE137,CG137,IF(DG137=CI137,CK137,IF(DG137=CM137,CO137,IF(DG137=CQ137,CS137,IF(DG137=CU137,CW137,IF(DG137=CY137,DA137,IF(DG137=DC137,DE137,0)))))))))))</f>
        <v>7.5376500000000002</v>
      </c>
      <c r="DJ137">
        <f t="shared" si="95"/>
        <v>0</v>
      </c>
      <c r="DK137">
        <f t="shared" si="96"/>
        <v>0.20424444444444401</v>
      </c>
      <c r="DL137">
        <f>IF(DK137=BO137,BP137,IF(DK137=BS137,BT137,IF(DK137=BW137,BX137,IF(DK137=CA137,CB137,IF(DK137=CE137,CF137,IF(DK137=CI137,CJ137,IF(DK137=CM137,CN137,IF(DK137=CQ137,CR137,IF(DK137=CU137,CV137,IF(DK137=CY137,CZ137,IF(DK137=DC137,DD137,IF(DK137=DG137,DH137,0))))))))))))</f>
        <v>18</v>
      </c>
      <c r="DM137">
        <f>IF(DK137=BO137,BQ137,IF(DK137=BS137,BU137,IF(DK137=BW137,BY137,IF(DK137=CA137,CC137,IF(DK137=CE137,CG137,IF(DK137=CI137,CK137,IF(DK137=CM137,CO137,IF(DK137=CQ137,CS137,IF(DK137=CU137,CW137,IF(DK137=CY137,DA137,IF(DK137=DC137,DE137,IF(DK137=DG137,DI137,0))))))))))))</f>
        <v>7.5376500000000002</v>
      </c>
      <c r="DN137">
        <f t="shared" si="97"/>
        <v>0</v>
      </c>
      <c r="DO137">
        <f t="shared" si="98"/>
        <v>0.20424444444444401</v>
      </c>
      <c r="DP137">
        <f>IF(DO137=BO137,BP137,IF(DO137=BS137,BT137,IF(DO137=BW137,BX137,IF(DO137=CA137,CB137,IF(DO137=CE137,CF137,IF(DO137=CI137,CJ137,IF(DO137=CM137,CN137,IF(DO137=CQ137,CR137,IF(DO137=CU137,CV137,IF(DO137=CY137,CZ137,IF(DO137=DC137,DD137,IF(DO137=DG137,DH137,IF(DO137=DK137,DL137,0)))))))))))))</f>
        <v>18</v>
      </c>
      <c r="DQ137">
        <f>IF(DO137=BO137,BQ137,IF(DO137=BS137,BU137,IF(DO137=BW137,BY137,IF(DO137=CA137,CC137,IF(DO137=CE137,CG137,IF(DO137=CI137,CK137,IF(DO137=CM137,CO137,IF(DO137=CQ137,CS137,IF(DO137=CU137,CW137,IF(DO137=CY137,DA137,IF(DO137=DC137,DE137,IF(DO137=DG137,DI137,IF(DO137=DK137,DM137,0)))))))))))))</f>
        <v>7.5376500000000002</v>
      </c>
      <c r="DR137">
        <f t="shared" si="99"/>
        <v>0</v>
      </c>
      <c r="DS137">
        <f t="shared" si="100"/>
        <v>0.23482222222222199</v>
      </c>
      <c r="DT137">
        <v>17</v>
      </c>
      <c r="DU137">
        <v>8.8425399999999996</v>
      </c>
      <c r="DV137">
        <f t="shared" si="101"/>
        <v>0</v>
      </c>
      <c r="DW137">
        <v>22500.5</v>
      </c>
      <c r="DX137">
        <v>6</v>
      </c>
      <c r="DY137">
        <v>30</v>
      </c>
      <c r="EA137">
        <v>4</v>
      </c>
      <c r="EB137">
        <v>10.114099490560401</v>
      </c>
      <c r="EC137">
        <v>0.66666666666666696</v>
      </c>
      <c r="ED137">
        <v>2.5110199999999998</v>
      </c>
      <c r="EE137">
        <v>0.20424444444444401</v>
      </c>
      <c r="EF137">
        <v>7.5376500000000002</v>
      </c>
      <c r="EG137">
        <v>8.0359968531741703</v>
      </c>
      <c r="EH137">
        <v>18</v>
      </c>
      <c r="EI137">
        <v>0</v>
      </c>
      <c r="EJ137">
        <v>0.65326300000000004</v>
      </c>
      <c r="EK137">
        <v>1</v>
      </c>
      <c r="EL137">
        <v>5</v>
      </c>
      <c r="EM137">
        <v>33</v>
      </c>
      <c r="EN137">
        <v>0</v>
      </c>
      <c r="EO137">
        <v>2</v>
      </c>
      <c r="EP137">
        <v>6</v>
      </c>
      <c r="EQ137">
        <v>10</v>
      </c>
      <c r="ER137">
        <v>14.1987814663817</v>
      </c>
      <c r="ES137">
        <v>9.3178714551937105</v>
      </c>
      <c r="ET137">
        <v>11.8288914551937</v>
      </c>
      <c r="EU137">
        <v>5.8000444647783898</v>
      </c>
      <c r="EV137">
        <v>6.4533074647783897</v>
      </c>
      <c r="EW137">
        <v>2.1488497333333298</v>
      </c>
      <c r="EX137">
        <v>9.8911078158392396</v>
      </c>
      <c r="EY137">
        <v>12.0399575491726</v>
      </c>
      <c r="EZ137">
        <v>0.65326300000000004</v>
      </c>
      <c r="FA137">
        <v>5.8000444647783898</v>
      </c>
      <c r="FB137">
        <v>6.4533074647783897</v>
      </c>
      <c r="FC137">
        <v>3.2139917333333301</v>
      </c>
      <c r="FD137">
        <v>14.0770663563671</v>
      </c>
      <c r="FE137">
        <v>17.2910580897004</v>
      </c>
      <c r="FF137">
        <v>0.65326300000000004</v>
      </c>
      <c r="FG137">
        <v>5.8000444647783898</v>
      </c>
      <c r="FH137">
        <v>6.4533074647783897</v>
      </c>
    </row>
    <row r="138" spans="1:164" x14ac:dyDescent="0.2">
      <c r="A138">
        <v>137</v>
      </c>
      <c r="B138">
        <v>150</v>
      </c>
      <c r="C138">
        <v>245</v>
      </c>
      <c r="D138">
        <v>2</v>
      </c>
      <c r="E138">
        <v>13</v>
      </c>
      <c r="F138" t="s">
        <v>210</v>
      </c>
      <c r="G138" t="s">
        <v>211</v>
      </c>
      <c r="H138">
        <v>3</v>
      </c>
      <c r="I138">
        <v>5</v>
      </c>
      <c r="K138" t="s">
        <v>267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5</v>
      </c>
      <c r="AE138">
        <v>6</v>
      </c>
      <c r="AF138">
        <v>3</v>
      </c>
      <c r="AG138">
        <v>6</v>
      </c>
      <c r="AH138">
        <v>6</v>
      </c>
      <c r="AI138">
        <v>0.6</v>
      </c>
      <c r="AJ138">
        <v>32.799999999999997</v>
      </c>
      <c r="AK138">
        <v>0.53333333333333299</v>
      </c>
      <c r="AL138">
        <v>25</v>
      </c>
      <c r="AM138">
        <v>0.5</v>
      </c>
      <c r="AN138">
        <v>23</v>
      </c>
      <c r="AO138">
        <v>0.46666666666666701</v>
      </c>
      <c r="AP138">
        <v>21.6</v>
      </c>
      <c r="AQ138">
        <v>0.53333333333333299</v>
      </c>
      <c r="AR138">
        <v>22.8</v>
      </c>
      <c r="AS138">
        <v>0.5</v>
      </c>
      <c r="AT138">
        <v>24.9</v>
      </c>
      <c r="AU138">
        <v>0.51666666666666705</v>
      </c>
      <c r="AV138">
        <v>25.2</v>
      </c>
      <c r="AW138">
        <v>0.53333333333333299</v>
      </c>
      <c r="AX138">
        <v>28.3</v>
      </c>
      <c r="AY138">
        <v>0.56666666666666698</v>
      </c>
      <c r="AZ138">
        <v>31.4</v>
      </c>
      <c r="BA138">
        <v>0.55000000000000004</v>
      </c>
      <c r="BB138">
        <v>30.8</v>
      </c>
      <c r="BC138">
        <v>0.61666666666666703</v>
      </c>
      <c r="BD138">
        <v>33.5</v>
      </c>
      <c r="BE138">
        <v>0.61666666666666703</v>
      </c>
      <c r="BF138">
        <v>38.5</v>
      </c>
      <c r="BG138">
        <v>0.65</v>
      </c>
      <c r="BH138">
        <v>43.2</v>
      </c>
      <c r="BI138">
        <v>0.7</v>
      </c>
      <c r="BJ138">
        <v>45.1</v>
      </c>
      <c r="BK138">
        <v>0.73333333333333295</v>
      </c>
      <c r="BL138">
        <v>50.7</v>
      </c>
      <c r="BM138">
        <v>0.76666666666666705</v>
      </c>
      <c r="BN138">
        <v>52.7</v>
      </c>
      <c r="BO138">
        <f t="shared" si="68"/>
        <v>0.46666666666666701</v>
      </c>
      <c r="BP138">
        <v>3</v>
      </c>
      <c r="BQ138">
        <v>21.6</v>
      </c>
      <c r="BR138">
        <f t="shared" si="69"/>
        <v>0</v>
      </c>
      <c r="BS138">
        <f t="shared" si="70"/>
        <v>0.46666666666666701</v>
      </c>
      <c r="BT138">
        <f t="shared" si="71"/>
        <v>3</v>
      </c>
      <c r="BU138">
        <f t="shared" si="72"/>
        <v>21.6</v>
      </c>
      <c r="BV138">
        <f t="shared" si="73"/>
        <v>0</v>
      </c>
      <c r="BW138">
        <f t="shared" si="74"/>
        <v>0.5</v>
      </c>
      <c r="BX138">
        <v>5</v>
      </c>
      <c r="BY138">
        <v>24.9</v>
      </c>
      <c r="BZ138">
        <f t="shared" si="77"/>
        <v>0</v>
      </c>
      <c r="CA138">
        <f t="shared" si="78"/>
        <v>0.46666666666666701</v>
      </c>
      <c r="CB138">
        <f>IF(CA138=BO138,BP138,IF(CA138=BS138,BT138,IF(CA138=BW138,BX138,0)))</f>
        <v>3</v>
      </c>
      <c r="CC138">
        <f>IF(CA138=BO138,BQ138,IF(CA138=BS138,BU138,IF(CA138=BW138,BY138,0)))</f>
        <v>21.6</v>
      </c>
      <c r="CD138">
        <f t="shared" si="79"/>
        <v>0</v>
      </c>
      <c r="CE138">
        <f t="shared" si="80"/>
        <v>0.46666666666666701</v>
      </c>
      <c r="CF138">
        <f>IF(CE138=BO138,BP138,IF(CE138=BS138,BT138,IF(CE138=BW138,BX138,IF(CE138=CA138,CB138,0))))</f>
        <v>3</v>
      </c>
      <c r="CG138">
        <f>IF(CE138=BO138,BQ138,IF(CE138=BS138,BU138,IF(CE138=BW138,BY138,IF(CE138=CA138,CC138,0))))</f>
        <v>21.6</v>
      </c>
      <c r="CH138">
        <f t="shared" si="81"/>
        <v>0</v>
      </c>
      <c r="CI138">
        <f t="shared" si="82"/>
        <v>0.46666666666666701</v>
      </c>
      <c r="CJ138">
        <f>IF(CI138=BO138,BP138,IF(CI138=BS138,BT138,IF(CI138=BW138,BX138,IF(CI138=CA138,CB138,IF(CI138=CE138,CF138,0)))))</f>
        <v>3</v>
      </c>
      <c r="CK138">
        <f>IF(CI138=BO138,BQ138,IF(CI138=BS138,BU138,IF(CI138=BW138,BY138,IF(CI138=CA138,CC138,IF(CI138=CE138,CG138,0)))))</f>
        <v>21.6</v>
      </c>
      <c r="CL138">
        <f t="shared" si="83"/>
        <v>0</v>
      </c>
      <c r="CM138">
        <f t="shared" si="84"/>
        <v>0.46666666666666701</v>
      </c>
      <c r="CN138">
        <f>IF(CM138=BO138,BP138,IF(CM138=BS138,BT138,IF(CM138=BW138,BX138,IF(CM138=CA138,CB138,IF(CM138=CE138,CF138,IF(CM138=CI138,CJ138,0))))))</f>
        <v>3</v>
      </c>
      <c r="CO138">
        <f>IF(CM138=BO138,BQ138,IF(CM138=BS138,BU138,IF(CM138=BW138,BY138,IF(CM138=CA138,CC138,IF(CM138=CE138,CG138,IF(CM138=CI138,CK138,0))))))</f>
        <v>21.6</v>
      </c>
      <c r="CP138">
        <f t="shared" si="85"/>
        <v>0</v>
      </c>
      <c r="CQ138">
        <f t="shared" si="86"/>
        <v>0.46666666666666701</v>
      </c>
      <c r="CR138">
        <f>IF(CQ138=BO138,BP138,IF(CQ138=BS138,BT138,IF(CQ138=BW138,BX138,IF(CQ138=CA138,CB138,IF(CQ138=CE138,CF138,IF(CQ138=CI138,CJ138,IF(CQ138=CM138,CN138,0)))))))</f>
        <v>3</v>
      </c>
      <c r="CS138">
        <f>IF(CQ138=BO138,BQ138,IF(CQ138=BS138,BU138,IF(CQ138=BW138,BY138,IF(CQ138=CA138,CC138,IF(CQ138=CE138,CG138,IF(CQ138=CI138,CK138,IF(CQ138=CM138,CO138,0)))))))</f>
        <v>21.6</v>
      </c>
      <c r="CT138">
        <f t="shared" si="87"/>
        <v>0</v>
      </c>
      <c r="CU138">
        <f t="shared" si="88"/>
        <v>0.46666666666666701</v>
      </c>
      <c r="CV138">
        <f>IF(CU138=BO138,BP138,IF(CU138=BS138,BT138,IF(CU138=BW138,BX138,IF(CU138=CA138,CB138,IF(CU138=CE138,CF138,IF(CU138=CI138,CJ138,IF(CU138=CM138,CN138,IF(CU138=CQ138,CR138,0))))))))</f>
        <v>3</v>
      </c>
      <c r="CW138">
        <f>IF(CU138=BO138,BQ138,IF(CU138=BS138,BU138,IF(CU138=BW138,BY138,IF(CU138=CA138,CC138,IF(CU138=CE138,CG138,IF(CU138=CI138,CK138,IF(CU138=CM138,CO138,IF(CU138=CQ138,CS138,0))))))))</f>
        <v>21.6</v>
      </c>
      <c r="CX138">
        <f t="shared" si="89"/>
        <v>0</v>
      </c>
      <c r="CY138">
        <f t="shared" si="90"/>
        <v>0.46666666666666701</v>
      </c>
      <c r="CZ138">
        <f>IF(CY138=BO138,BP138,IF(CY138=BS138,BT138,IF(CY138=BW138,BX138,IF(CY138=CA138,CB138,IF(CY138=CE138,CF138,IF(CY138=CI138,CJ138,IF(CY138=CM138,CN138,IF(CY138=CQ138,CR138,IF(CY138=CU138,CV138,0)))))))))</f>
        <v>3</v>
      </c>
      <c r="DA138">
        <f>IF(CY138=BO138,BQ138,IF(CY138=BS138,BU138,IF(CY138=BW138,BY138,IF(CY138=CA138,CC138,IF(CY138=CE138,CG138,IF(CY138=CI138,CK138,IF(CY138=CM138,CO138,IF(CY138=CQ138,CS138,IF(CY138=CU138,CW138,0)))))))))</f>
        <v>21.6</v>
      </c>
      <c r="DB138">
        <f t="shared" si="91"/>
        <v>0</v>
      </c>
      <c r="DC138">
        <f t="shared" si="92"/>
        <v>0.46666666666666701</v>
      </c>
      <c r="DD138">
        <f>IF(DC138=BO138,BP138,IF(DC138=BS138,BT138,IF(DC138=BW138,BX138,IF(DC138=CA138,CB138,IF(DC138=CE138,CF138,IF(DC138=CI138,CJ138,IF(DC138=CM138,CN138,IF(DC138=CQ138,CR138,IF(DC138=CU138,CV138,IF(DC138=CY138,CZ138,0))))))))))</f>
        <v>3</v>
      </c>
      <c r="DE138">
        <f>IF(DC138=BO138,BQ138,IF(DC138=BS138,BU138,IF(DC138=BW138,BY138,IF(DC138=CA138,CC138,IF(DC138=CE138,CG138,IF(DC138=CI138,CK138,IF(DC138=CM138,CO138,IF(DC138=CQ138,CS138,IF(DC138=CU138,CW138,IF(DC138=CY138,DA138,0))))))))))</f>
        <v>21.6</v>
      </c>
      <c r="DF138">
        <f t="shared" si="93"/>
        <v>0</v>
      </c>
      <c r="DG138">
        <f t="shared" si="94"/>
        <v>0.46666666666666701</v>
      </c>
      <c r="DH138">
        <f>IF(DG138=BO138,BP138,IF(DG138=BS138,BT138,IF(DG138=BW138,BX138,IF(DG138=CA138,CB138,IF(DG138=CE138,CF138,IF(DG138=CI138,CJ138,IF(DG138=CM138,CN138,IF(DG138=CQ138,CR138,IF(DG138=CU138,CV138,IF(DG138=CY138,CZ138,IF(DG138=DC138,DD138,0)))))))))))</f>
        <v>3</v>
      </c>
      <c r="DI138">
        <f>IF(DG138=BO138,BQ138,IF(DG138=BS138,BU138,IF(DG138=BW138,BY138,IF(DG138=CA138,CC138,IF(DG138=CE138,CG138,IF(DG138=CI138,CK138,IF(DG138=CM138,CO138,IF(DG138=CQ138,CS138,IF(DG138=CU138,CW138,IF(DG138=CY138,DA138,IF(DG138=DC138,DE138,0)))))))))))</f>
        <v>21.6</v>
      </c>
      <c r="DJ138">
        <f t="shared" si="95"/>
        <v>0</v>
      </c>
      <c r="DK138">
        <f t="shared" si="96"/>
        <v>0.46666666666666701</v>
      </c>
      <c r="DL138">
        <f>IF(DK138=BO138,BP138,IF(DK138=BS138,BT138,IF(DK138=BW138,BX138,IF(DK138=CA138,CB138,IF(DK138=CE138,CF138,IF(DK138=CI138,CJ138,IF(DK138=CM138,CN138,IF(DK138=CQ138,CR138,IF(DK138=CU138,CV138,IF(DK138=CY138,CZ138,IF(DK138=DC138,DD138,IF(DK138=DG138,DH138,0))))))))))))</f>
        <v>3</v>
      </c>
      <c r="DM138">
        <f>IF(DK138=BO138,BQ138,IF(DK138=BS138,BU138,IF(DK138=BW138,BY138,IF(DK138=CA138,CC138,IF(DK138=CE138,CG138,IF(DK138=CI138,CK138,IF(DK138=CM138,CO138,IF(DK138=CQ138,CS138,IF(DK138=CU138,CW138,IF(DK138=CY138,DA138,IF(DK138=DC138,DE138,IF(DK138=DG138,DI138,0))))))))))))</f>
        <v>21.6</v>
      </c>
      <c r="DN138">
        <f t="shared" si="97"/>
        <v>0</v>
      </c>
      <c r="DO138">
        <f t="shared" si="98"/>
        <v>0.46666666666666701</v>
      </c>
      <c r="DP138">
        <f>IF(DO138=BO138,BP138,IF(DO138=BS138,BT138,IF(DO138=BW138,BX138,IF(DO138=CA138,CB138,IF(DO138=CE138,CF138,IF(DO138=CI138,CJ138,IF(DO138=CM138,CN138,IF(DO138=CQ138,CR138,IF(DO138=CU138,CV138,IF(DO138=CY138,CZ138,IF(DO138=DC138,DD138,IF(DO138=DG138,DH138,IF(DO138=DK138,DL138,0)))))))))))))</f>
        <v>3</v>
      </c>
      <c r="DQ138">
        <f>IF(DO138=BO138,BQ138,IF(DO138=BS138,BU138,IF(DO138=BW138,BY138,IF(DO138=CA138,CC138,IF(DO138=CE138,CG138,IF(DO138=CI138,CK138,IF(DO138=CM138,CO138,IF(DO138=CQ138,CS138,IF(DO138=CU138,CW138,IF(DO138=CY138,DA138,IF(DO138=DC138,DE138,IF(DO138=DG138,DI138,IF(DO138=DK138,DM138,0)))))))))))))</f>
        <v>21.6</v>
      </c>
      <c r="DR138">
        <f t="shared" si="99"/>
        <v>0</v>
      </c>
      <c r="DS138">
        <f t="shared" si="100"/>
        <v>0.46666666666666701</v>
      </c>
      <c r="DT138">
        <f>IF(DS138=BO138,BP138,IF(DS138=BS138,BT138,IF(DS138=BW138,BX138,IF(DS138=CA138,CB138,IF(DS138=CE138,CF138,IF(DS138=CI138,CJ138,IF(DS138=CM138,CN138,IF(DS138=CQ138,CR138,IF(DS138=CU138,CV138,IF(DS138=CY138,CZ138,IF(DS138=DC138,DD138,IF(DS138=DG138,DH138,IF(DS138=DK138,DL138,IF(DS138=DO138,DP138,0))))))))))))))</f>
        <v>3</v>
      </c>
      <c r="DU138">
        <f>IF(DS138=BO138,BQ138,IF(DS138=BS138,BU138,IF(DS138=BW138,BY138,IF(DS138=CA138,CC138,IF(DS138=CE138,CG138,IF(DS138=CI138,CK138,IF(DS138=CM138,CO138,IF(DS138=CQ138,CS138,IF(DS138=CU138,CW138,IF(DS138=CY138,DA138,IF(DS138=DC138,DE138,IF(DS138=DG138,DI138,IF(DS138=DK138,DM138,IF(DS138=DO138,DQ138,0))))))))))))))</f>
        <v>21.6</v>
      </c>
      <c r="DV138">
        <f t="shared" si="101"/>
        <v>0</v>
      </c>
      <c r="DW138">
        <v>22500.5</v>
      </c>
      <c r="DX138">
        <v>6</v>
      </c>
      <c r="DY138">
        <v>30</v>
      </c>
      <c r="EA138">
        <v>4</v>
      </c>
      <c r="EB138">
        <v>10.114099490560401</v>
      </c>
      <c r="EC138">
        <v>0.66666666666666696</v>
      </c>
      <c r="ED138">
        <v>3.5093333333333301</v>
      </c>
      <c r="EE138">
        <v>0.46666666666666701</v>
      </c>
      <c r="EF138">
        <v>21.6</v>
      </c>
      <c r="EG138">
        <v>13.931816946595101</v>
      </c>
      <c r="EH138">
        <v>3</v>
      </c>
      <c r="EI138">
        <v>0</v>
      </c>
      <c r="EJ138">
        <v>1.8720000000000001</v>
      </c>
      <c r="EK138">
        <v>1</v>
      </c>
      <c r="EL138">
        <v>0</v>
      </c>
      <c r="EM138">
        <v>37</v>
      </c>
      <c r="EN138">
        <v>0</v>
      </c>
      <c r="EO138">
        <v>3</v>
      </c>
      <c r="EP138">
        <v>6</v>
      </c>
      <c r="EQ138">
        <v>3</v>
      </c>
      <c r="ER138">
        <v>14.1987814663817</v>
      </c>
      <c r="ES138">
        <v>17.038537759657999</v>
      </c>
      <c r="ET138">
        <v>20.547871092991301</v>
      </c>
      <c r="EU138">
        <v>13.2521960352896</v>
      </c>
      <c r="EV138">
        <v>15.1241960352896</v>
      </c>
      <c r="EW138">
        <v>2.7213333333333298</v>
      </c>
      <c r="EX138">
        <v>16.091952328565899</v>
      </c>
      <c r="EY138">
        <v>18.813285661899201</v>
      </c>
      <c r="EZ138">
        <v>1.8720000000000001</v>
      </c>
      <c r="FA138">
        <v>13.2521960352896</v>
      </c>
      <c r="FB138">
        <v>15.1241960352896</v>
      </c>
      <c r="FC138">
        <v>1.8720000000000001</v>
      </c>
      <c r="FD138">
        <v>13.2521960352896</v>
      </c>
      <c r="FE138">
        <v>15.1241960352896</v>
      </c>
      <c r="FF138">
        <v>2.1579999999999999</v>
      </c>
      <c r="FG138">
        <v>14.1987814663817</v>
      </c>
      <c r="FH138">
        <v>16.356781466381701</v>
      </c>
    </row>
    <row r="139" spans="1:164" x14ac:dyDescent="0.2">
      <c r="A139">
        <v>138</v>
      </c>
      <c r="B139">
        <v>151</v>
      </c>
      <c r="C139">
        <v>246</v>
      </c>
      <c r="D139">
        <v>2</v>
      </c>
      <c r="E139">
        <v>13</v>
      </c>
      <c r="F139" t="s">
        <v>352</v>
      </c>
      <c r="G139" t="s">
        <v>353</v>
      </c>
      <c r="H139">
        <v>3</v>
      </c>
      <c r="I139">
        <v>5</v>
      </c>
      <c r="K139" t="s">
        <v>142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8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12</v>
      </c>
      <c r="AE139">
        <v>20</v>
      </c>
      <c r="AF139">
        <v>10</v>
      </c>
      <c r="AG139">
        <v>14</v>
      </c>
      <c r="AH139">
        <v>6</v>
      </c>
      <c r="AI139">
        <v>0.32812222222222198</v>
      </c>
      <c r="AJ139">
        <v>21.280999999999999</v>
      </c>
      <c r="AK139">
        <v>0.60546111111111101</v>
      </c>
      <c r="AL139">
        <v>41.928159999999998</v>
      </c>
      <c r="AM139">
        <v>0.49956944444444401</v>
      </c>
      <c r="AN139">
        <v>39.458019999999998</v>
      </c>
      <c r="AO139">
        <v>0.49571388888888901</v>
      </c>
      <c r="AP139">
        <v>37.084519999999998</v>
      </c>
      <c r="AQ139">
        <v>0.519013888888889</v>
      </c>
      <c r="AR139">
        <v>37.412410000000001</v>
      </c>
      <c r="AS139">
        <v>0.48420000000000002</v>
      </c>
      <c r="AT139">
        <v>33.912550000000003</v>
      </c>
      <c r="AU139">
        <v>0.38354444444444402</v>
      </c>
      <c r="AV139">
        <v>28.377009999999999</v>
      </c>
      <c r="AW139">
        <v>0.35881944444444402</v>
      </c>
      <c r="AX139">
        <v>26.350840000000002</v>
      </c>
      <c r="AY139">
        <v>0.348308333333333</v>
      </c>
      <c r="AZ139">
        <v>24.794419999999999</v>
      </c>
      <c r="BA139">
        <v>0.33329999999999999</v>
      </c>
      <c r="BB139">
        <v>24.211449999999999</v>
      </c>
      <c r="BC139">
        <v>0.33975555555555598</v>
      </c>
      <c r="BD139">
        <v>21.756710000000002</v>
      </c>
      <c r="BE139">
        <v>0.23739722222222201</v>
      </c>
      <c r="BF139">
        <v>15.271240000000001</v>
      </c>
      <c r="BG139">
        <v>0.25705</v>
      </c>
      <c r="BH139">
        <v>14.906739999999999</v>
      </c>
      <c r="BI139">
        <v>0.24815000000000001</v>
      </c>
      <c r="BJ139">
        <v>9.8687299999999993</v>
      </c>
      <c r="BK139">
        <v>0.23482222222222199</v>
      </c>
      <c r="BL139">
        <v>8.8425399999999996</v>
      </c>
      <c r="BM139">
        <v>0.20424444444444401</v>
      </c>
      <c r="BN139">
        <v>7.5376500000000002</v>
      </c>
      <c r="BO139">
        <f t="shared" si="68"/>
        <v>0.20424444444444401</v>
      </c>
      <c r="BP139">
        <v>18</v>
      </c>
      <c r="BQ139">
        <v>7.5376500000000002</v>
      </c>
      <c r="BR139">
        <f t="shared" si="69"/>
        <v>0</v>
      </c>
      <c r="BS139">
        <f t="shared" si="70"/>
        <v>0.20424444444444401</v>
      </c>
      <c r="BT139">
        <f t="shared" si="71"/>
        <v>18</v>
      </c>
      <c r="BU139">
        <f t="shared" si="72"/>
        <v>7.5376500000000002</v>
      </c>
      <c r="BV139">
        <f t="shared" si="73"/>
        <v>0</v>
      </c>
      <c r="BW139">
        <f t="shared" si="74"/>
        <v>0.20424444444444401</v>
      </c>
      <c r="BX139">
        <f t="shared" si="75"/>
        <v>18</v>
      </c>
      <c r="BY139">
        <f t="shared" si="76"/>
        <v>7.5376500000000002</v>
      </c>
      <c r="BZ139">
        <f t="shared" si="77"/>
        <v>0</v>
      </c>
      <c r="CA139">
        <f t="shared" si="78"/>
        <v>0.20424444444444401</v>
      </c>
      <c r="CB139">
        <f>IF(CA139=BO139,BP139,IF(CA139=BS139,BT139,IF(CA139=BW139,BX139,0)))</f>
        <v>18</v>
      </c>
      <c r="CC139">
        <f>IF(CA139=BO139,BQ139,IF(CA139=BS139,BU139,IF(CA139=BW139,BY139,0)))</f>
        <v>7.5376500000000002</v>
      </c>
      <c r="CD139">
        <f t="shared" si="79"/>
        <v>0</v>
      </c>
      <c r="CE139">
        <f t="shared" si="80"/>
        <v>0.20424444444444401</v>
      </c>
      <c r="CF139">
        <f>IF(CE139=BO139,BP139,IF(CE139=BS139,BT139,IF(CE139=BW139,BX139,IF(CE139=CA139,CB139,0))))</f>
        <v>18</v>
      </c>
      <c r="CG139">
        <f>IF(CE139=BO139,BQ139,IF(CE139=BS139,BU139,IF(CE139=BW139,BY139,IF(CE139=CA139,CC139,0))))</f>
        <v>7.5376500000000002</v>
      </c>
      <c r="CH139">
        <f t="shared" si="81"/>
        <v>0</v>
      </c>
      <c r="CI139">
        <f t="shared" si="82"/>
        <v>0.20424444444444401</v>
      </c>
      <c r="CJ139">
        <f>IF(CI139=BO139,BP139,IF(CI139=BS139,BT139,IF(CI139=BW139,BX139,IF(CI139=CA139,CB139,IF(CI139=CE139,CF139,0)))))</f>
        <v>18</v>
      </c>
      <c r="CK139">
        <f>IF(CI139=BO139,BQ139,IF(CI139=BS139,BU139,IF(CI139=BW139,BY139,IF(CI139=CA139,CC139,IF(CI139=CE139,CG139,0)))))</f>
        <v>7.5376500000000002</v>
      </c>
      <c r="CL139">
        <f t="shared" si="83"/>
        <v>0</v>
      </c>
      <c r="CM139">
        <f t="shared" si="84"/>
        <v>0.20424444444444401</v>
      </c>
      <c r="CN139">
        <f>IF(CM139=BO139,BP139,IF(CM139=BS139,BT139,IF(CM139=BW139,BX139,IF(CM139=CA139,CB139,IF(CM139=CE139,CF139,IF(CM139=CI139,CJ139,0))))))</f>
        <v>18</v>
      </c>
      <c r="CO139">
        <f>IF(CM139=BO139,BQ139,IF(CM139=BS139,BU139,IF(CM139=BW139,BY139,IF(CM139=CA139,CC139,IF(CM139=CE139,CG139,IF(CM139=CI139,CK139,0))))))</f>
        <v>7.5376500000000002</v>
      </c>
      <c r="CP139">
        <f t="shared" si="85"/>
        <v>0</v>
      </c>
      <c r="CQ139">
        <f t="shared" si="86"/>
        <v>0.20424444444444401</v>
      </c>
      <c r="CR139">
        <f>IF(CQ139=BO139,BP139,IF(CQ139=BS139,BT139,IF(CQ139=BW139,BX139,IF(CQ139=CA139,CB139,IF(CQ139=CE139,CF139,IF(CQ139=CI139,CJ139,IF(CQ139=CM139,CN139,0)))))))</f>
        <v>18</v>
      </c>
      <c r="CS139">
        <f>IF(CQ139=BO139,BQ139,IF(CQ139=BS139,BU139,IF(CQ139=BW139,BY139,IF(CQ139=CA139,CC139,IF(CQ139=CE139,CG139,IF(CQ139=CI139,CK139,IF(CQ139=CM139,CO139,0)))))))</f>
        <v>7.5376500000000002</v>
      </c>
      <c r="CT139">
        <f t="shared" si="87"/>
        <v>0</v>
      </c>
      <c r="CU139">
        <f t="shared" si="88"/>
        <v>0.20424444444444401</v>
      </c>
      <c r="CV139">
        <f>IF(CU139=BO139,BP139,IF(CU139=BS139,BT139,IF(CU139=BW139,BX139,IF(CU139=CA139,CB139,IF(CU139=CE139,CF139,IF(CU139=CI139,CJ139,IF(CU139=CM139,CN139,IF(CU139=CQ139,CR139,0))))))))</f>
        <v>18</v>
      </c>
      <c r="CW139">
        <f>IF(CU139=BO139,BQ139,IF(CU139=BS139,BU139,IF(CU139=BW139,BY139,IF(CU139=CA139,CC139,IF(CU139=CE139,CG139,IF(CU139=CI139,CK139,IF(CU139=CM139,CO139,IF(CU139=CQ139,CS139,0))))))))</f>
        <v>7.5376500000000002</v>
      </c>
      <c r="CX139">
        <f t="shared" si="89"/>
        <v>0</v>
      </c>
      <c r="CY139">
        <f t="shared" si="90"/>
        <v>0.20424444444444401</v>
      </c>
      <c r="CZ139">
        <f>IF(CY139=BO139,BP139,IF(CY139=BS139,BT139,IF(CY139=BW139,BX139,IF(CY139=CA139,CB139,IF(CY139=CE139,CF139,IF(CY139=CI139,CJ139,IF(CY139=CM139,CN139,IF(CY139=CQ139,CR139,IF(CY139=CU139,CV139,0)))))))))</f>
        <v>18</v>
      </c>
      <c r="DA139">
        <f>IF(CY139=BO139,BQ139,IF(CY139=BS139,BU139,IF(CY139=BW139,BY139,IF(CY139=CA139,CC139,IF(CY139=CE139,CG139,IF(CY139=CI139,CK139,IF(CY139=CM139,CO139,IF(CY139=CQ139,CS139,IF(CY139=CU139,CW139,0)))))))))</f>
        <v>7.5376500000000002</v>
      </c>
      <c r="DB139">
        <f t="shared" si="91"/>
        <v>0</v>
      </c>
      <c r="DC139">
        <f t="shared" si="92"/>
        <v>0.20424444444444401</v>
      </c>
      <c r="DD139">
        <f>IF(DC139=BO139,BP139,IF(DC139=BS139,BT139,IF(DC139=BW139,BX139,IF(DC139=CA139,CB139,IF(DC139=CE139,CF139,IF(DC139=CI139,CJ139,IF(DC139=CM139,CN139,IF(DC139=CQ139,CR139,IF(DC139=CU139,CV139,IF(DC139=CY139,CZ139,0))))))))))</f>
        <v>18</v>
      </c>
      <c r="DE139">
        <f>IF(DC139=BO139,BQ139,IF(DC139=BS139,BU139,IF(DC139=BW139,BY139,IF(DC139=CA139,CC139,IF(DC139=CE139,CG139,IF(DC139=CI139,CK139,IF(DC139=CM139,CO139,IF(DC139=CQ139,CS139,IF(DC139=CU139,CW139,IF(DC139=CY139,DA139,0))))))))))</f>
        <v>7.5376500000000002</v>
      </c>
      <c r="DF139">
        <f t="shared" si="93"/>
        <v>0</v>
      </c>
      <c r="DG139">
        <f t="shared" si="94"/>
        <v>0.20424444444444401</v>
      </c>
      <c r="DH139">
        <f>IF(DG139=BO139,BP139,IF(DG139=BS139,BT139,IF(DG139=BW139,BX139,IF(DG139=CA139,CB139,IF(DG139=CE139,CF139,IF(DG139=CI139,CJ139,IF(DG139=CM139,CN139,IF(DG139=CQ139,CR139,IF(DG139=CU139,CV139,IF(DG139=CY139,CZ139,IF(DG139=DC139,DD139,0)))))))))))</f>
        <v>18</v>
      </c>
      <c r="DI139">
        <f>IF(DG139=BO139,BQ139,IF(DG139=BS139,BU139,IF(DG139=BW139,BY139,IF(DG139=CA139,CC139,IF(DG139=CE139,CG139,IF(DG139=CI139,CK139,IF(DG139=CM139,CO139,IF(DG139=CQ139,CS139,IF(DG139=CU139,CW139,IF(DG139=CY139,DA139,IF(DG139=DC139,DE139,0)))))))))))</f>
        <v>7.5376500000000002</v>
      </c>
      <c r="DJ139">
        <f t="shared" si="95"/>
        <v>0</v>
      </c>
      <c r="DK139">
        <f t="shared" si="96"/>
        <v>0.20424444444444401</v>
      </c>
      <c r="DL139">
        <f>IF(DK139=BO139,BP139,IF(DK139=BS139,BT139,IF(DK139=BW139,BX139,IF(DK139=CA139,CB139,IF(DK139=CE139,CF139,IF(DK139=CI139,CJ139,IF(DK139=CM139,CN139,IF(DK139=CQ139,CR139,IF(DK139=CU139,CV139,IF(DK139=CY139,CZ139,IF(DK139=DC139,DD139,IF(DK139=DG139,DH139,0))))))))))))</f>
        <v>18</v>
      </c>
      <c r="DM139">
        <f>IF(DK139=BO139,BQ139,IF(DK139=BS139,BU139,IF(DK139=BW139,BY139,IF(DK139=CA139,CC139,IF(DK139=CE139,CG139,IF(DK139=CI139,CK139,IF(DK139=CM139,CO139,IF(DK139=CQ139,CS139,IF(DK139=CU139,CW139,IF(DK139=CY139,DA139,IF(DK139=DC139,DE139,IF(DK139=DG139,DI139,0))))))))))))</f>
        <v>7.5376500000000002</v>
      </c>
      <c r="DN139">
        <f t="shared" si="97"/>
        <v>0</v>
      </c>
      <c r="DO139">
        <f t="shared" si="98"/>
        <v>0.20424444444444401</v>
      </c>
      <c r="DP139">
        <f>IF(DO139=BO139,BP139,IF(DO139=BS139,BT139,IF(DO139=BW139,BX139,IF(DO139=CA139,CB139,IF(DO139=CE139,CF139,IF(DO139=CI139,CJ139,IF(DO139=CM139,CN139,IF(DO139=CQ139,CR139,IF(DO139=CU139,CV139,IF(DO139=CY139,CZ139,IF(DO139=DC139,DD139,IF(DO139=DG139,DH139,IF(DO139=DK139,DL139,0)))))))))))))</f>
        <v>18</v>
      </c>
      <c r="DQ139">
        <f>IF(DO139=BO139,BQ139,IF(DO139=BS139,BU139,IF(DO139=BW139,BY139,IF(DO139=CA139,CC139,IF(DO139=CE139,CG139,IF(DO139=CI139,CK139,IF(DO139=CM139,CO139,IF(DO139=CQ139,CS139,IF(DO139=CU139,CW139,IF(DO139=CY139,DA139,IF(DO139=DC139,DE139,IF(DO139=DG139,DI139,IF(DO139=DK139,DM139,0)))))))))))))</f>
        <v>7.5376500000000002</v>
      </c>
      <c r="DR139">
        <f t="shared" si="99"/>
        <v>0</v>
      </c>
      <c r="DS139">
        <f t="shared" si="100"/>
        <v>0.23482222222222199</v>
      </c>
      <c r="DT139">
        <f>IF(DS139=BO139,BP139,IF(DS139=BS139,BT139,IF(DS139=BW139,BX139,IF(DS139=CA139,CB139,IF(DS139=CE139,CF139,IF(DS139=CI139,CJ139,IF(DS139=CM139,CN139,IF(DS139=CQ139,CR139,IF(DS139=CU139,CV139,IF(DS139=CY139,CZ139,IF(DS139=DC139,DD139,IF(DS139=DG139,DH139,IF(DS139=DK139,DL139,IF(DS139=DO139,DP139,0))))))))))))))</f>
        <v>0</v>
      </c>
      <c r="DU139">
        <f>IF(DS139=BO139,BQ139,IF(DS139=BS139,BU139,IF(DS139=BW139,BY139,IF(DS139=CA139,CC139,IF(DS139=CE139,CG139,IF(DS139=CI139,CK139,IF(DS139=CM139,CO139,IF(DS139=CQ139,CS139,IF(DS139=CU139,CW139,IF(DS139=CY139,DA139,IF(DS139=DC139,DE139,IF(DS139=DG139,DI139,IF(DS139=DK139,DM139,IF(DS139=DO139,DQ139,0))))))))))))))</f>
        <v>0</v>
      </c>
      <c r="DV139">
        <f t="shared" si="101"/>
        <v>0</v>
      </c>
      <c r="DW139">
        <v>22500.5</v>
      </c>
      <c r="DX139">
        <v>6</v>
      </c>
      <c r="DY139">
        <v>30</v>
      </c>
      <c r="EA139">
        <v>4</v>
      </c>
      <c r="EB139">
        <v>10.114099490560401</v>
      </c>
      <c r="EC139">
        <v>0.66666666666666696</v>
      </c>
      <c r="ED139">
        <v>2.5110199999999998</v>
      </c>
      <c r="EE139">
        <v>0.20424444444444401</v>
      </c>
      <c r="EF139">
        <v>7.5376500000000002</v>
      </c>
      <c r="EG139">
        <v>8.0359968531741703</v>
      </c>
      <c r="EH139">
        <v>18</v>
      </c>
      <c r="EI139">
        <v>0</v>
      </c>
      <c r="EJ139">
        <v>0.65326300000000004</v>
      </c>
      <c r="EK139">
        <v>1</v>
      </c>
      <c r="EL139">
        <v>7</v>
      </c>
      <c r="EM139">
        <v>35</v>
      </c>
      <c r="EN139">
        <v>1</v>
      </c>
      <c r="EO139">
        <v>4</v>
      </c>
      <c r="EP139">
        <v>6</v>
      </c>
      <c r="EQ139">
        <v>10</v>
      </c>
      <c r="ER139">
        <v>14.1987814663817</v>
      </c>
      <c r="ES139">
        <v>9.3178714551937105</v>
      </c>
      <c r="ET139">
        <v>11.8288914551937</v>
      </c>
      <c r="EU139">
        <v>5.8000444647783898</v>
      </c>
      <c r="EV139">
        <v>6.4533074647783897</v>
      </c>
      <c r="EW139">
        <v>2.1488497333333298</v>
      </c>
      <c r="EX139">
        <v>9.8911078158392396</v>
      </c>
      <c r="EY139">
        <v>12.0399575491726</v>
      </c>
      <c r="EZ139">
        <v>0.65326300000000004</v>
      </c>
      <c r="FA139">
        <v>5.8000444647783898</v>
      </c>
      <c r="FB139">
        <v>6.4533074647783897</v>
      </c>
      <c r="FC139">
        <v>3.2139917333333301</v>
      </c>
      <c r="FD139">
        <v>14.0770663563671</v>
      </c>
      <c r="FE139">
        <v>17.2910580897004</v>
      </c>
      <c r="FF139">
        <v>0.65326300000000004</v>
      </c>
      <c r="FG139">
        <v>5.8000444647783898</v>
      </c>
      <c r="FH139">
        <v>6.4533074647783897</v>
      </c>
    </row>
    <row r="140" spans="1:164" x14ac:dyDescent="0.2">
      <c r="A140">
        <v>139</v>
      </c>
      <c r="B140">
        <v>152</v>
      </c>
      <c r="C140">
        <v>247</v>
      </c>
      <c r="D140">
        <v>2</v>
      </c>
      <c r="E140">
        <v>13</v>
      </c>
      <c r="F140" t="s">
        <v>210</v>
      </c>
      <c r="G140" t="s">
        <v>211</v>
      </c>
      <c r="H140">
        <v>3</v>
      </c>
      <c r="I140">
        <v>5</v>
      </c>
      <c r="K140" t="s">
        <v>267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</v>
      </c>
      <c r="AD140">
        <v>4</v>
      </c>
      <c r="AE140">
        <v>6</v>
      </c>
      <c r="AF140">
        <v>3</v>
      </c>
      <c r="AG140">
        <v>6</v>
      </c>
      <c r="AH140">
        <v>6</v>
      </c>
      <c r="AI140">
        <v>0.6</v>
      </c>
      <c r="AJ140">
        <v>32.799999999999997</v>
      </c>
      <c r="AK140">
        <v>0.53333333333333299</v>
      </c>
      <c r="AL140">
        <v>25</v>
      </c>
      <c r="AM140">
        <v>0.5</v>
      </c>
      <c r="AN140">
        <v>23</v>
      </c>
      <c r="AO140">
        <v>0.46666666666666701</v>
      </c>
      <c r="AP140">
        <v>21.6</v>
      </c>
      <c r="AQ140">
        <v>0.53333333333333299</v>
      </c>
      <c r="AR140">
        <v>22.8</v>
      </c>
      <c r="AS140">
        <v>0.5</v>
      </c>
      <c r="AT140">
        <v>24.9</v>
      </c>
      <c r="AU140">
        <v>0.51666666666666705</v>
      </c>
      <c r="AV140">
        <v>25.2</v>
      </c>
      <c r="AW140">
        <v>0.53333333333333299</v>
      </c>
      <c r="AX140">
        <v>28.3</v>
      </c>
      <c r="AY140">
        <v>0.56666666666666698</v>
      </c>
      <c r="AZ140">
        <v>31.4</v>
      </c>
      <c r="BA140">
        <v>0.55000000000000004</v>
      </c>
      <c r="BB140">
        <v>30.8</v>
      </c>
      <c r="BC140">
        <v>0.61666666666666703</v>
      </c>
      <c r="BD140">
        <v>33.5</v>
      </c>
      <c r="BE140">
        <v>0.61666666666666703</v>
      </c>
      <c r="BF140">
        <v>38.5</v>
      </c>
      <c r="BG140">
        <v>0.65</v>
      </c>
      <c r="BH140">
        <v>43.2</v>
      </c>
      <c r="BI140">
        <v>0.7</v>
      </c>
      <c r="BJ140">
        <v>45.1</v>
      </c>
      <c r="BK140">
        <v>0.73333333333333295</v>
      </c>
      <c r="BL140">
        <v>50.7</v>
      </c>
      <c r="BM140">
        <v>0.76666666666666705</v>
      </c>
      <c r="BN140">
        <v>52.7</v>
      </c>
      <c r="BO140">
        <f t="shared" si="68"/>
        <v>0.46666666666666701</v>
      </c>
      <c r="BP140">
        <v>3</v>
      </c>
      <c r="BQ140">
        <v>21.6</v>
      </c>
      <c r="BR140">
        <f t="shared" si="69"/>
        <v>0</v>
      </c>
      <c r="BS140">
        <f t="shared" si="70"/>
        <v>0.46666666666666701</v>
      </c>
      <c r="BT140">
        <f t="shared" si="71"/>
        <v>3</v>
      </c>
      <c r="BU140">
        <f t="shared" si="72"/>
        <v>21.6</v>
      </c>
      <c r="BV140">
        <f t="shared" si="73"/>
        <v>0</v>
      </c>
      <c r="BW140">
        <f t="shared" si="74"/>
        <v>0.5</v>
      </c>
      <c r="BX140">
        <v>5</v>
      </c>
      <c r="BY140">
        <v>24.9</v>
      </c>
      <c r="BZ140">
        <f t="shared" si="77"/>
        <v>0</v>
      </c>
      <c r="CA140">
        <f t="shared" si="78"/>
        <v>0.46666666666666701</v>
      </c>
      <c r="CB140">
        <f>IF(CA140=BO140,BP140,IF(CA140=BS140,BT140,IF(CA140=BW140,BX140,0)))</f>
        <v>3</v>
      </c>
      <c r="CC140">
        <f>IF(CA140=BO140,BQ140,IF(CA140=BS140,BU140,IF(CA140=BW140,BY140,0)))</f>
        <v>21.6</v>
      </c>
      <c r="CD140">
        <f t="shared" si="79"/>
        <v>0</v>
      </c>
      <c r="CE140">
        <f t="shared" si="80"/>
        <v>0.46666666666666701</v>
      </c>
      <c r="CF140">
        <f>IF(CE140=BO140,BP140,IF(CE140=BS140,BT140,IF(CE140=BW140,BX140,IF(CE140=CA140,CB140,0))))</f>
        <v>3</v>
      </c>
      <c r="CG140">
        <f>IF(CE140=BO140,BQ140,IF(CE140=BS140,BU140,IF(CE140=BW140,BY140,IF(CE140=CA140,CC140,0))))</f>
        <v>21.6</v>
      </c>
      <c r="CH140">
        <f t="shared" si="81"/>
        <v>0</v>
      </c>
      <c r="CI140">
        <f t="shared" si="82"/>
        <v>0.46666666666666701</v>
      </c>
      <c r="CJ140">
        <f>IF(CI140=BO140,BP140,IF(CI140=BS140,BT140,IF(CI140=BW140,BX140,IF(CI140=CA140,CB140,IF(CI140=CE140,CF140,0)))))</f>
        <v>3</v>
      </c>
      <c r="CK140">
        <f>IF(CI140=BO140,BQ140,IF(CI140=BS140,BU140,IF(CI140=BW140,BY140,IF(CI140=CA140,CC140,IF(CI140=CE140,CG140,0)))))</f>
        <v>21.6</v>
      </c>
      <c r="CL140">
        <f t="shared" si="83"/>
        <v>0</v>
      </c>
      <c r="CM140">
        <f t="shared" si="84"/>
        <v>0.46666666666666701</v>
      </c>
      <c r="CN140">
        <f>IF(CM140=BO140,BP140,IF(CM140=BS140,BT140,IF(CM140=BW140,BX140,IF(CM140=CA140,CB140,IF(CM140=CE140,CF140,IF(CM140=CI140,CJ140,0))))))</f>
        <v>3</v>
      </c>
      <c r="CO140">
        <f>IF(CM140=BO140,BQ140,IF(CM140=BS140,BU140,IF(CM140=BW140,BY140,IF(CM140=CA140,CC140,IF(CM140=CE140,CG140,IF(CM140=CI140,CK140,0))))))</f>
        <v>21.6</v>
      </c>
      <c r="CP140">
        <f t="shared" si="85"/>
        <v>0</v>
      </c>
      <c r="CQ140">
        <f t="shared" si="86"/>
        <v>0.46666666666666701</v>
      </c>
      <c r="CR140">
        <f>IF(CQ140=BO140,BP140,IF(CQ140=BS140,BT140,IF(CQ140=BW140,BX140,IF(CQ140=CA140,CB140,IF(CQ140=CE140,CF140,IF(CQ140=CI140,CJ140,IF(CQ140=CM140,CN140,0)))))))</f>
        <v>3</v>
      </c>
      <c r="CS140">
        <f>IF(CQ140=BO140,BQ140,IF(CQ140=BS140,BU140,IF(CQ140=BW140,BY140,IF(CQ140=CA140,CC140,IF(CQ140=CE140,CG140,IF(CQ140=CI140,CK140,IF(CQ140=CM140,CO140,0)))))))</f>
        <v>21.6</v>
      </c>
      <c r="CT140">
        <f t="shared" si="87"/>
        <v>0</v>
      </c>
      <c r="CU140">
        <f t="shared" si="88"/>
        <v>0.46666666666666701</v>
      </c>
      <c r="CV140">
        <f>IF(CU140=BO140,BP140,IF(CU140=BS140,BT140,IF(CU140=BW140,BX140,IF(CU140=CA140,CB140,IF(CU140=CE140,CF140,IF(CU140=CI140,CJ140,IF(CU140=CM140,CN140,IF(CU140=CQ140,CR140,0))))))))</f>
        <v>3</v>
      </c>
      <c r="CW140">
        <f>IF(CU140=BO140,BQ140,IF(CU140=BS140,BU140,IF(CU140=BW140,BY140,IF(CU140=CA140,CC140,IF(CU140=CE140,CG140,IF(CU140=CI140,CK140,IF(CU140=CM140,CO140,IF(CU140=CQ140,CS140,0))))))))</f>
        <v>21.6</v>
      </c>
      <c r="CX140">
        <f t="shared" si="89"/>
        <v>0</v>
      </c>
      <c r="CY140">
        <f t="shared" si="90"/>
        <v>0.46666666666666701</v>
      </c>
      <c r="CZ140">
        <f>IF(CY140=BO140,BP140,IF(CY140=BS140,BT140,IF(CY140=BW140,BX140,IF(CY140=CA140,CB140,IF(CY140=CE140,CF140,IF(CY140=CI140,CJ140,IF(CY140=CM140,CN140,IF(CY140=CQ140,CR140,IF(CY140=CU140,CV140,0)))))))))</f>
        <v>3</v>
      </c>
      <c r="DA140">
        <f>IF(CY140=BO140,BQ140,IF(CY140=BS140,BU140,IF(CY140=BW140,BY140,IF(CY140=CA140,CC140,IF(CY140=CE140,CG140,IF(CY140=CI140,CK140,IF(CY140=CM140,CO140,IF(CY140=CQ140,CS140,IF(CY140=CU140,CW140,0)))))))))</f>
        <v>21.6</v>
      </c>
      <c r="DB140">
        <f t="shared" si="91"/>
        <v>0</v>
      </c>
      <c r="DC140">
        <f t="shared" si="92"/>
        <v>0.46666666666666701</v>
      </c>
      <c r="DD140">
        <f>IF(DC140=BO140,BP140,IF(DC140=BS140,BT140,IF(DC140=BW140,BX140,IF(DC140=CA140,CB140,IF(DC140=CE140,CF140,IF(DC140=CI140,CJ140,IF(DC140=CM140,CN140,IF(DC140=CQ140,CR140,IF(DC140=CU140,CV140,IF(DC140=CY140,CZ140,0))))))))))</f>
        <v>3</v>
      </c>
      <c r="DE140">
        <f>IF(DC140=BO140,BQ140,IF(DC140=BS140,BU140,IF(DC140=BW140,BY140,IF(DC140=CA140,CC140,IF(DC140=CE140,CG140,IF(DC140=CI140,CK140,IF(DC140=CM140,CO140,IF(DC140=CQ140,CS140,IF(DC140=CU140,CW140,IF(DC140=CY140,DA140,0))))))))))</f>
        <v>21.6</v>
      </c>
      <c r="DF140">
        <f t="shared" si="93"/>
        <v>0</v>
      </c>
      <c r="DG140">
        <f t="shared" si="94"/>
        <v>0.46666666666666701</v>
      </c>
      <c r="DH140">
        <f>IF(DG140=BO140,BP140,IF(DG140=BS140,BT140,IF(DG140=BW140,BX140,IF(DG140=CA140,CB140,IF(DG140=CE140,CF140,IF(DG140=CI140,CJ140,IF(DG140=CM140,CN140,IF(DG140=CQ140,CR140,IF(DG140=CU140,CV140,IF(DG140=CY140,CZ140,IF(DG140=DC140,DD140,0)))))))))))</f>
        <v>3</v>
      </c>
      <c r="DI140">
        <f>IF(DG140=BO140,BQ140,IF(DG140=BS140,BU140,IF(DG140=BW140,BY140,IF(DG140=CA140,CC140,IF(DG140=CE140,CG140,IF(DG140=CI140,CK140,IF(DG140=CM140,CO140,IF(DG140=CQ140,CS140,IF(DG140=CU140,CW140,IF(DG140=CY140,DA140,IF(DG140=DC140,DE140,0)))))))))))</f>
        <v>21.6</v>
      </c>
      <c r="DJ140">
        <f t="shared" si="95"/>
        <v>0</v>
      </c>
      <c r="DK140">
        <f t="shared" si="96"/>
        <v>0.46666666666666701</v>
      </c>
      <c r="DL140">
        <f>IF(DK140=BO140,BP140,IF(DK140=BS140,BT140,IF(DK140=BW140,BX140,IF(DK140=CA140,CB140,IF(DK140=CE140,CF140,IF(DK140=CI140,CJ140,IF(DK140=CM140,CN140,IF(DK140=CQ140,CR140,IF(DK140=CU140,CV140,IF(DK140=CY140,CZ140,IF(DK140=DC140,DD140,IF(DK140=DG140,DH140,0))))))))))))</f>
        <v>3</v>
      </c>
      <c r="DM140">
        <f>IF(DK140=BO140,BQ140,IF(DK140=BS140,BU140,IF(DK140=BW140,BY140,IF(DK140=CA140,CC140,IF(DK140=CE140,CG140,IF(DK140=CI140,CK140,IF(DK140=CM140,CO140,IF(DK140=CQ140,CS140,IF(DK140=CU140,CW140,IF(DK140=CY140,DA140,IF(DK140=DC140,DE140,IF(DK140=DG140,DI140,0))))))))))))</f>
        <v>21.6</v>
      </c>
      <c r="DN140">
        <f t="shared" si="97"/>
        <v>0</v>
      </c>
      <c r="DO140">
        <f t="shared" si="98"/>
        <v>0.46666666666666701</v>
      </c>
      <c r="DP140">
        <f>IF(DO140=BO140,BP140,IF(DO140=BS140,BT140,IF(DO140=BW140,BX140,IF(DO140=CA140,CB140,IF(DO140=CE140,CF140,IF(DO140=CI140,CJ140,IF(DO140=CM140,CN140,IF(DO140=CQ140,CR140,IF(DO140=CU140,CV140,IF(DO140=CY140,CZ140,IF(DO140=DC140,DD140,IF(DO140=DG140,DH140,IF(DO140=DK140,DL140,0)))))))))))))</f>
        <v>3</v>
      </c>
      <c r="DQ140">
        <f>IF(DO140=BO140,BQ140,IF(DO140=BS140,BU140,IF(DO140=BW140,BY140,IF(DO140=CA140,CC140,IF(DO140=CE140,CG140,IF(DO140=CI140,CK140,IF(DO140=CM140,CO140,IF(DO140=CQ140,CS140,IF(DO140=CU140,CW140,IF(DO140=CY140,DA140,IF(DO140=DC140,DE140,IF(DO140=DG140,DI140,IF(DO140=DK140,DM140,0)))))))))))))</f>
        <v>21.6</v>
      </c>
      <c r="DR140">
        <f t="shared" si="99"/>
        <v>0</v>
      </c>
      <c r="DS140">
        <f t="shared" si="100"/>
        <v>0.46666666666666701</v>
      </c>
      <c r="DT140">
        <f>IF(DS140=BO140,BP140,IF(DS140=BS140,BT140,IF(DS140=BW140,BX140,IF(DS140=CA140,CB140,IF(DS140=CE140,CF140,IF(DS140=CI140,CJ140,IF(DS140=CM140,CN140,IF(DS140=CQ140,CR140,IF(DS140=CU140,CV140,IF(DS140=CY140,CZ140,IF(DS140=DC140,DD140,IF(DS140=DG140,DH140,IF(DS140=DK140,DL140,IF(DS140=DO140,DP140,0))))))))))))))</f>
        <v>3</v>
      </c>
      <c r="DU140">
        <f>IF(DS140=BO140,BQ140,IF(DS140=BS140,BU140,IF(DS140=BW140,BY140,IF(DS140=CA140,CC140,IF(DS140=CE140,CG140,IF(DS140=CI140,CK140,IF(DS140=CM140,CO140,IF(DS140=CQ140,CS140,IF(DS140=CU140,CW140,IF(DS140=CY140,DA140,IF(DS140=DC140,DE140,IF(DS140=DG140,DI140,IF(DS140=DK140,DM140,IF(DS140=DO140,DQ140,0))))))))))))))</f>
        <v>21.6</v>
      </c>
      <c r="DV140">
        <f t="shared" si="101"/>
        <v>0</v>
      </c>
      <c r="DW140">
        <v>37501</v>
      </c>
      <c r="DX140">
        <v>6</v>
      </c>
      <c r="DY140">
        <v>30</v>
      </c>
      <c r="EA140">
        <v>4</v>
      </c>
      <c r="EB140">
        <v>16.856907401857999</v>
      </c>
      <c r="EC140">
        <v>0.66666666666666696</v>
      </c>
      <c r="ED140">
        <v>3.5093333333333301</v>
      </c>
      <c r="EE140">
        <v>0.46666666666666701</v>
      </c>
      <c r="EF140">
        <v>21.6</v>
      </c>
      <c r="EG140">
        <v>22.023186440152202</v>
      </c>
      <c r="EH140">
        <v>3</v>
      </c>
      <c r="EI140">
        <v>0</v>
      </c>
      <c r="EJ140">
        <v>1.8720000000000001</v>
      </c>
      <c r="EK140">
        <v>1</v>
      </c>
      <c r="EL140">
        <v>0</v>
      </c>
      <c r="EM140">
        <v>32</v>
      </c>
      <c r="EN140">
        <v>1</v>
      </c>
      <c r="EO140">
        <v>4</v>
      </c>
      <c r="EP140">
        <v>6</v>
      </c>
      <c r="EQ140">
        <v>3</v>
      </c>
      <c r="ER140">
        <v>14.1987814663817</v>
      </c>
      <c r="ES140">
        <v>17.038537759657999</v>
      </c>
      <c r="ET140">
        <v>20.547871092991301</v>
      </c>
      <c r="EU140">
        <v>13.2521960352896</v>
      </c>
      <c r="EV140">
        <v>15.1241960352896</v>
      </c>
      <c r="EW140">
        <v>2.7213333333333298</v>
      </c>
      <c r="EX140">
        <v>16.091952328565899</v>
      </c>
      <c r="EY140">
        <v>18.813285661899201</v>
      </c>
      <c r="EZ140">
        <v>1.8720000000000001</v>
      </c>
      <c r="FA140">
        <v>13.2521960352896</v>
      </c>
      <c r="FB140">
        <v>15.1241960352896</v>
      </c>
      <c r="FC140">
        <v>1.8720000000000001</v>
      </c>
      <c r="FD140">
        <v>13.2521960352896</v>
      </c>
      <c r="FE140">
        <v>15.1241960352896</v>
      </c>
      <c r="FF140">
        <v>2.1579999999999999</v>
      </c>
      <c r="FG140">
        <v>14.1987814663817</v>
      </c>
      <c r="FH140">
        <v>16.356781466381701</v>
      </c>
    </row>
    <row r="141" spans="1:164" x14ac:dyDescent="0.2">
      <c r="A141">
        <v>140</v>
      </c>
      <c r="B141">
        <v>153</v>
      </c>
      <c r="C141">
        <v>249</v>
      </c>
      <c r="D141">
        <v>2</v>
      </c>
      <c r="E141">
        <v>13</v>
      </c>
      <c r="F141" t="s">
        <v>118</v>
      </c>
      <c r="G141" t="s">
        <v>354</v>
      </c>
      <c r="H141">
        <v>3</v>
      </c>
      <c r="I141">
        <v>5</v>
      </c>
      <c r="K141" t="s">
        <v>355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2</v>
      </c>
      <c r="AE141">
        <v>4</v>
      </c>
      <c r="AF141">
        <v>2</v>
      </c>
      <c r="AG141">
        <v>2</v>
      </c>
      <c r="AH141">
        <v>5</v>
      </c>
      <c r="AI141">
        <v>0.43811944444444401</v>
      </c>
      <c r="AJ141">
        <v>18.17531</v>
      </c>
      <c r="AK141">
        <v>0.62086944444444403</v>
      </c>
      <c r="AL141">
        <v>22.297450000000001</v>
      </c>
      <c r="AM141">
        <v>0.52401666666666702</v>
      </c>
      <c r="AN141">
        <v>21.499289999999998</v>
      </c>
      <c r="AO141">
        <v>0.50930833333333303</v>
      </c>
      <c r="AP141">
        <v>20.03847</v>
      </c>
      <c r="AQ141">
        <v>0.55198055555555603</v>
      </c>
      <c r="AR141">
        <v>21.940850000000001</v>
      </c>
      <c r="AS141">
        <v>0.51957777777777803</v>
      </c>
      <c r="AT141">
        <v>22.912780000000001</v>
      </c>
      <c r="AU141">
        <v>0.40334444444444401</v>
      </c>
      <c r="AV141">
        <v>16.749009999999998</v>
      </c>
      <c r="AW141">
        <v>0.41952499999999998</v>
      </c>
      <c r="AX141">
        <v>18.12556</v>
      </c>
      <c r="AY141">
        <v>0.41048333333333298</v>
      </c>
      <c r="AZ141">
        <v>18.3171</v>
      </c>
      <c r="BA141">
        <v>0.39547500000000002</v>
      </c>
      <c r="BB141">
        <v>17.73413</v>
      </c>
      <c r="BC141">
        <v>0.45070277777777801</v>
      </c>
      <c r="BD141">
        <v>18.686350000000001</v>
      </c>
      <c r="BE141">
        <v>0.47998333333333298</v>
      </c>
      <c r="BF141">
        <v>24.072659999999999</v>
      </c>
      <c r="BG141">
        <v>0.537333333333333</v>
      </c>
      <c r="BH141">
        <v>25.09545</v>
      </c>
      <c r="BI141">
        <v>0.58116111111111102</v>
      </c>
      <c r="BJ141">
        <v>27.069369999999999</v>
      </c>
      <c r="BK141">
        <v>0.65582499999999999</v>
      </c>
      <c r="BL141">
        <v>36.265070000000001</v>
      </c>
      <c r="BM141">
        <v>0.69240833333333296</v>
      </c>
      <c r="BN141">
        <v>31.593209999999999</v>
      </c>
      <c r="BO141">
        <f t="shared" si="68"/>
        <v>0.39547500000000002</v>
      </c>
      <c r="BP141">
        <v>9</v>
      </c>
      <c r="BQ141">
        <v>17.73413</v>
      </c>
      <c r="BR141">
        <f t="shared" si="69"/>
        <v>0</v>
      </c>
      <c r="BS141">
        <f t="shared" si="70"/>
        <v>0.39547500000000002</v>
      </c>
      <c r="BT141">
        <f t="shared" si="71"/>
        <v>9</v>
      </c>
      <c r="BU141">
        <f t="shared" si="72"/>
        <v>17.73413</v>
      </c>
      <c r="BV141">
        <f t="shared" si="73"/>
        <v>0</v>
      </c>
      <c r="BW141">
        <f t="shared" si="74"/>
        <v>0.39547500000000002</v>
      </c>
      <c r="BX141">
        <f t="shared" si="75"/>
        <v>9</v>
      </c>
      <c r="BY141">
        <f t="shared" si="76"/>
        <v>17.73413</v>
      </c>
      <c r="BZ141">
        <f t="shared" si="77"/>
        <v>0</v>
      </c>
      <c r="CA141">
        <f t="shared" si="78"/>
        <v>0.39547500000000002</v>
      </c>
      <c r="CB141">
        <f>IF(CA141=BO141,BP141,IF(CA141=BS141,BT141,IF(CA141=BW141,BX141,0)))</f>
        <v>9</v>
      </c>
      <c r="CC141">
        <f>IF(CA141=BO141,BQ141,IF(CA141=BS141,BU141,IF(CA141=BW141,BY141,0)))</f>
        <v>17.73413</v>
      </c>
      <c r="CD141">
        <f t="shared" si="79"/>
        <v>0</v>
      </c>
      <c r="CE141">
        <f t="shared" si="80"/>
        <v>0.39547500000000002</v>
      </c>
      <c r="CF141">
        <f>IF(CE141=BO141,BP141,IF(CE141=BS141,BT141,IF(CE141=BW141,BX141,IF(CE141=CA141,CB141,0))))</f>
        <v>9</v>
      </c>
      <c r="CG141">
        <f>IF(CE141=BO141,BQ141,IF(CE141=BS141,BU141,IF(CE141=BW141,BY141,IF(CE141=CA141,CC141,0))))</f>
        <v>17.73413</v>
      </c>
      <c r="CH141">
        <f t="shared" si="81"/>
        <v>0</v>
      </c>
      <c r="CI141">
        <f t="shared" si="82"/>
        <v>0.39547500000000002</v>
      </c>
      <c r="CJ141">
        <f>IF(CI141=BO141,BP141,IF(CI141=BS141,BT141,IF(CI141=BW141,BX141,IF(CI141=CA141,CB141,IF(CI141=CE141,CF141,0)))))</f>
        <v>9</v>
      </c>
      <c r="CK141">
        <f>IF(CI141=BO141,BQ141,IF(CI141=BS141,BU141,IF(CI141=BW141,BY141,IF(CI141=CA141,CC141,IF(CI141=CE141,CG141,0)))))</f>
        <v>17.73413</v>
      </c>
      <c r="CL141">
        <f t="shared" si="83"/>
        <v>0</v>
      </c>
      <c r="CM141">
        <f t="shared" si="84"/>
        <v>0.39547500000000002</v>
      </c>
      <c r="CN141">
        <f>IF(CM141=BO141,BP141,IF(CM141=BS141,BT141,IF(CM141=BW141,BX141,IF(CM141=CA141,CB141,IF(CM141=CE141,CF141,IF(CM141=CI141,CJ141,0))))))</f>
        <v>9</v>
      </c>
      <c r="CO141">
        <f>IF(CM141=BO141,BQ141,IF(CM141=BS141,BU141,IF(CM141=BW141,BY141,IF(CM141=CA141,CC141,IF(CM141=CE141,CG141,IF(CM141=CI141,CK141,0))))))</f>
        <v>17.73413</v>
      </c>
      <c r="CP141">
        <f t="shared" si="85"/>
        <v>0</v>
      </c>
      <c r="CQ141">
        <f t="shared" si="86"/>
        <v>0.39547500000000002</v>
      </c>
      <c r="CR141">
        <f>IF(CQ141=BO141,BP141,IF(CQ141=BS141,BT141,IF(CQ141=BW141,BX141,IF(CQ141=CA141,CB141,IF(CQ141=CE141,CF141,IF(CQ141=CI141,CJ141,IF(CQ141=CM141,CN141,0)))))))</f>
        <v>9</v>
      </c>
      <c r="CS141">
        <f>IF(CQ141=BO141,BQ141,IF(CQ141=BS141,BU141,IF(CQ141=BW141,BY141,IF(CQ141=CA141,CC141,IF(CQ141=CE141,CG141,IF(CQ141=CI141,CK141,IF(CQ141=CM141,CO141,0)))))))</f>
        <v>17.73413</v>
      </c>
      <c r="CT141">
        <f t="shared" si="87"/>
        <v>0</v>
      </c>
      <c r="CU141">
        <f t="shared" si="88"/>
        <v>0.40334444444444401</v>
      </c>
      <c r="CV141">
        <v>6</v>
      </c>
      <c r="CW141">
        <v>16.749009999999998</v>
      </c>
      <c r="CX141">
        <f t="shared" si="89"/>
        <v>0</v>
      </c>
      <c r="CY141">
        <f t="shared" si="90"/>
        <v>0.39547500000000002</v>
      </c>
      <c r="CZ141">
        <f>IF(CY141=BO141,BP141,IF(CY141=BS141,BT141,IF(CY141=BW141,BX141,IF(CY141=CA141,CB141,IF(CY141=CE141,CF141,IF(CY141=CI141,CJ141,IF(CY141=CM141,CN141,IF(CY141=CQ141,CR141,IF(CY141=CU141,CV141,0)))))))))</f>
        <v>9</v>
      </c>
      <c r="DA141">
        <f>IF(CY141=BO141,BQ141,IF(CY141=BS141,BU141,IF(CY141=BW141,BY141,IF(CY141=CA141,CC141,IF(CY141=CE141,CG141,IF(CY141=CI141,CK141,IF(CY141=CM141,CO141,IF(CY141=CQ141,CS141,IF(CY141=CU141,CW141,0)))))))))</f>
        <v>17.73413</v>
      </c>
      <c r="DB141">
        <f t="shared" si="91"/>
        <v>0</v>
      </c>
      <c r="DC141">
        <f t="shared" si="92"/>
        <v>0.39547500000000002</v>
      </c>
      <c r="DD141">
        <f>IF(DC141=BO141,BP141,IF(DC141=BS141,BT141,IF(DC141=BW141,BX141,IF(DC141=CA141,CB141,IF(DC141=CE141,CF141,IF(DC141=CI141,CJ141,IF(DC141=CM141,CN141,IF(DC141=CQ141,CR141,IF(DC141=CU141,CV141,IF(DC141=CY141,CZ141,0))))))))))</f>
        <v>9</v>
      </c>
      <c r="DE141">
        <f>IF(DC141=BO141,BQ141,IF(DC141=BS141,BU141,IF(DC141=BW141,BY141,IF(DC141=CA141,CC141,IF(DC141=CE141,CG141,IF(DC141=CI141,CK141,IF(DC141=CM141,CO141,IF(DC141=CQ141,CS141,IF(DC141=CU141,CW141,IF(DC141=CY141,DA141,0))))))))))</f>
        <v>17.73413</v>
      </c>
      <c r="DF141">
        <f t="shared" si="93"/>
        <v>0</v>
      </c>
      <c r="DG141">
        <f t="shared" si="94"/>
        <v>0.39547500000000002</v>
      </c>
      <c r="DH141">
        <f>IF(DG141=BO141,BP141,IF(DG141=BS141,BT141,IF(DG141=BW141,BX141,IF(DG141=CA141,CB141,IF(DG141=CE141,CF141,IF(DG141=CI141,CJ141,IF(DG141=CM141,CN141,IF(DG141=CQ141,CR141,IF(DG141=CU141,CV141,IF(DG141=CY141,CZ141,IF(DG141=DC141,DD141,0)))))))))))</f>
        <v>9</v>
      </c>
      <c r="DI141">
        <f>IF(DG141=BO141,BQ141,IF(DG141=BS141,BU141,IF(DG141=BW141,BY141,IF(DG141=CA141,CC141,IF(DG141=CE141,CG141,IF(DG141=CI141,CK141,IF(DG141=CM141,CO141,IF(DG141=CQ141,CS141,IF(DG141=CU141,CW141,IF(DG141=CY141,DA141,IF(DG141=DC141,DE141,0)))))))))))</f>
        <v>17.73413</v>
      </c>
      <c r="DJ141">
        <f t="shared" si="95"/>
        <v>0</v>
      </c>
      <c r="DK141">
        <f t="shared" si="96"/>
        <v>0.39547500000000002</v>
      </c>
      <c r="DL141">
        <f>IF(DK141=BO141,BP141,IF(DK141=BS141,BT141,IF(DK141=BW141,BX141,IF(DK141=CA141,CB141,IF(DK141=CE141,CF141,IF(DK141=CI141,CJ141,IF(DK141=CM141,CN141,IF(DK141=CQ141,CR141,IF(DK141=CU141,CV141,IF(DK141=CY141,CZ141,IF(DK141=DC141,DD141,IF(DK141=DG141,DH141,0))))))))))))</f>
        <v>9</v>
      </c>
      <c r="DM141">
        <f>IF(DK141=BO141,BQ141,IF(DK141=BS141,BU141,IF(DK141=BW141,BY141,IF(DK141=CA141,CC141,IF(DK141=CE141,CG141,IF(DK141=CI141,CK141,IF(DK141=CM141,CO141,IF(DK141=CQ141,CS141,IF(DK141=CU141,CW141,IF(DK141=CY141,DA141,IF(DK141=DC141,DE141,IF(DK141=DG141,DI141,0))))))))))))</f>
        <v>17.73413</v>
      </c>
      <c r="DN141">
        <f t="shared" si="97"/>
        <v>0</v>
      </c>
      <c r="DO141">
        <f t="shared" si="98"/>
        <v>0.39547500000000002</v>
      </c>
      <c r="DP141">
        <f>IF(DO141=BO141,BP141,IF(DO141=BS141,BT141,IF(DO141=BW141,BX141,IF(DO141=CA141,CB141,IF(DO141=CE141,CF141,IF(DO141=CI141,CJ141,IF(DO141=CM141,CN141,IF(DO141=CQ141,CR141,IF(DO141=CU141,CV141,IF(DO141=CY141,CZ141,IF(DO141=DC141,DD141,IF(DO141=DG141,DH141,IF(DO141=DK141,DL141,0)))))))))))))</f>
        <v>9</v>
      </c>
      <c r="DQ141">
        <f>IF(DO141=BO141,BQ141,IF(DO141=BS141,BU141,IF(DO141=BW141,BY141,IF(DO141=CA141,CC141,IF(DO141=CE141,CG141,IF(DO141=CI141,CK141,IF(DO141=CM141,CO141,IF(DO141=CQ141,CS141,IF(DO141=CU141,CW141,IF(DO141=CY141,DA141,IF(DO141=DC141,DE141,IF(DO141=DG141,DI141,IF(DO141=DK141,DM141,0)))))))))))))</f>
        <v>17.73413</v>
      </c>
      <c r="DR141">
        <f t="shared" si="99"/>
        <v>0</v>
      </c>
      <c r="DS141">
        <f t="shared" si="100"/>
        <v>0.39547500000000002</v>
      </c>
      <c r="DT141">
        <f>IF(DS141=BO141,BP141,IF(DS141=BS141,BT141,IF(DS141=BW141,BX141,IF(DS141=CA141,CB141,IF(DS141=CE141,CF141,IF(DS141=CI141,CJ141,IF(DS141=CM141,CN141,IF(DS141=CQ141,CR141,IF(DS141=CU141,CV141,IF(DS141=CY141,CZ141,IF(DS141=DC141,DD141,IF(DS141=DG141,DH141,IF(DS141=DK141,DL141,IF(DS141=DO141,DP141,0))))))))))))))</f>
        <v>9</v>
      </c>
      <c r="DU141">
        <f>IF(DS141=BO141,BQ141,IF(DS141=BS141,BU141,IF(DS141=BW141,BY141,IF(DS141=CA141,CC141,IF(DS141=CE141,CG141,IF(DS141=CI141,CK141,IF(DS141=CM141,CO141,IF(DS141=CQ141,CS141,IF(DS141=CU141,CW141,IF(DS141=CY141,DA141,IF(DS141=DC141,DE141,IF(DS141=DG141,DI141,IF(DS141=DK141,DM141,IF(DS141=DO141,DQ141,0))))))))))))))</f>
        <v>17.73413</v>
      </c>
      <c r="DV141">
        <f t="shared" si="101"/>
        <v>0</v>
      </c>
      <c r="DW141">
        <v>37501</v>
      </c>
      <c r="DX141">
        <v>4</v>
      </c>
      <c r="DY141">
        <v>30</v>
      </c>
      <c r="EA141">
        <v>4</v>
      </c>
      <c r="EB141">
        <v>16.856907401857999</v>
      </c>
      <c r="EC141">
        <v>1</v>
      </c>
      <c r="ED141">
        <v>3.3627902999999999</v>
      </c>
      <c r="EE141">
        <v>0.39547500000000002</v>
      </c>
      <c r="EF141">
        <v>17.73413</v>
      </c>
      <c r="EG141">
        <v>16.708449741791998</v>
      </c>
      <c r="EH141">
        <v>14</v>
      </c>
      <c r="EI141">
        <v>0</v>
      </c>
      <c r="EJ141">
        <v>2.3054369000000001</v>
      </c>
      <c r="EK141">
        <v>1</v>
      </c>
      <c r="EL141">
        <v>1</v>
      </c>
      <c r="EM141">
        <v>47</v>
      </c>
      <c r="EN141">
        <v>0</v>
      </c>
      <c r="EO141">
        <v>4</v>
      </c>
      <c r="EP141">
        <v>5</v>
      </c>
      <c r="EQ141">
        <v>2</v>
      </c>
      <c r="ER141">
        <v>14.1987814663817</v>
      </c>
      <c r="ES141">
        <v>12.441524495678401</v>
      </c>
      <c r="ET141">
        <v>15.804314795678399</v>
      </c>
      <c r="EU141">
        <v>11.2305262008346</v>
      </c>
      <c r="EV141">
        <v>13.5359631008346</v>
      </c>
      <c r="EW141">
        <v>2.3812229999999999</v>
      </c>
      <c r="EX141">
        <v>11.6567262911838</v>
      </c>
      <c r="EY141">
        <v>14.0379492911838</v>
      </c>
      <c r="EZ141">
        <v>2.3054369000000001</v>
      </c>
      <c r="FA141">
        <v>11.2305262008346</v>
      </c>
      <c r="FB141">
        <v>13.5359631008346</v>
      </c>
      <c r="FC141">
        <v>2.6050011</v>
      </c>
      <c r="FD141">
        <v>14.463115448014101</v>
      </c>
      <c r="FE141">
        <v>17.0681165480141</v>
      </c>
      <c r="FF141">
        <v>2.3054369000000001</v>
      </c>
      <c r="FG141">
        <v>11.2305262008346</v>
      </c>
      <c r="FH141">
        <v>13.5359631008346</v>
      </c>
    </row>
    <row r="142" spans="1:164" x14ac:dyDescent="0.2">
      <c r="A142">
        <v>141</v>
      </c>
      <c r="B142">
        <v>154</v>
      </c>
      <c r="C142">
        <v>253</v>
      </c>
      <c r="D142">
        <v>2</v>
      </c>
      <c r="E142">
        <v>13</v>
      </c>
      <c r="F142" t="s">
        <v>271</v>
      </c>
      <c r="G142" t="s">
        <v>122</v>
      </c>
      <c r="H142">
        <v>3</v>
      </c>
      <c r="I142">
        <v>5</v>
      </c>
      <c r="K142" t="s">
        <v>271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2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2</v>
      </c>
      <c r="AC142">
        <v>1</v>
      </c>
      <c r="AD142">
        <v>1</v>
      </c>
      <c r="AE142">
        <v>6</v>
      </c>
      <c r="AF142">
        <v>3</v>
      </c>
      <c r="AG142">
        <v>6</v>
      </c>
      <c r="AH142">
        <v>5</v>
      </c>
      <c r="AI142">
        <v>0.48838888888888898</v>
      </c>
      <c r="AJ142">
        <v>32.428820000000002</v>
      </c>
      <c r="AK142">
        <v>0.76572777777777801</v>
      </c>
      <c r="AL142">
        <v>53.075980000000001</v>
      </c>
      <c r="AM142">
        <v>0.65983888888888897</v>
      </c>
      <c r="AN142">
        <v>50.605840000000001</v>
      </c>
      <c r="AO142">
        <v>0.65598055555555601</v>
      </c>
      <c r="AP142">
        <v>48.232349999999997</v>
      </c>
      <c r="AQ142">
        <v>0.679280555555556</v>
      </c>
      <c r="AR142">
        <v>48.56024</v>
      </c>
      <c r="AS142">
        <v>0.64446666666666697</v>
      </c>
      <c r="AT142">
        <v>45.060380000000002</v>
      </c>
      <c r="AU142">
        <v>0.54381111111111102</v>
      </c>
      <c r="AV142">
        <v>39.524839999999998</v>
      </c>
      <c r="AW142">
        <v>0.51908888888888904</v>
      </c>
      <c r="AX142">
        <v>37.498660000000001</v>
      </c>
      <c r="AY142">
        <v>0.50857777777777802</v>
      </c>
      <c r="AZ142">
        <v>35.942250000000001</v>
      </c>
      <c r="BA142">
        <v>0.49356944444444401</v>
      </c>
      <c r="BB142">
        <v>35.359270000000002</v>
      </c>
      <c r="BC142">
        <v>0.50002500000000005</v>
      </c>
      <c r="BD142">
        <v>32.904539999999997</v>
      </c>
      <c r="BE142">
        <v>0.39766388888888898</v>
      </c>
      <c r="BF142">
        <v>26.419070000000001</v>
      </c>
      <c r="BG142">
        <v>0.41731944444444402</v>
      </c>
      <c r="BH142">
        <v>26.054559999999999</v>
      </c>
      <c r="BI142">
        <v>0.42298333333333299</v>
      </c>
      <c r="BJ142">
        <v>23.23132</v>
      </c>
      <c r="BK142">
        <v>0.40604166666666702</v>
      </c>
      <c r="BL142">
        <v>22.434049999999999</v>
      </c>
      <c r="BM142">
        <v>0.42861388888888902</v>
      </c>
      <c r="BN142">
        <v>22.021280000000001</v>
      </c>
      <c r="BO142">
        <f t="shared" si="68"/>
        <v>0.39766388888888898</v>
      </c>
      <c r="BP142">
        <v>14</v>
      </c>
      <c r="BQ142">
        <v>26.419070000000001</v>
      </c>
      <c r="BR142">
        <f t="shared" si="69"/>
        <v>0</v>
      </c>
      <c r="BS142">
        <f t="shared" si="70"/>
        <v>0.39766388888888898</v>
      </c>
      <c r="BT142">
        <f t="shared" si="71"/>
        <v>14</v>
      </c>
      <c r="BU142">
        <f t="shared" si="72"/>
        <v>26.419070000000001</v>
      </c>
      <c r="BV142">
        <f t="shared" si="73"/>
        <v>0</v>
      </c>
      <c r="BW142">
        <f t="shared" si="74"/>
        <v>0.39766388888888898</v>
      </c>
      <c r="BX142">
        <f t="shared" si="75"/>
        <v>14</v>
      </c>
      <c r="BY142">
        <f t="shared" si="76"/>
        <v>26.419070000000001</v>
      </c>
      <c r="BZ142">
        <f t="shared" si="77"/>
        <v>0</v>
      </c>
      <c r="CA142">
        <f t="shared" si="78"/>
        <v>0.39766388888888898</v>
      </c>
      <c r="CB142">
        <f>IF(CA142=BO142,BP142,IF(CA142=BS142,BT142,IF(CA142=BW142,BX142,0)))</f>
        <v>14</v>
      </c>
      <c r="CC142">
        <f>IF(CA142=BO142,BQ142,IF(CA142=BS142,BU142,IF(CA142=BW142,BY142,0)))</f>
        <v>26.419070000000001</v>
      </c>
      <c r="CD142">
        <f t="shared" si="79"/>
        <v>0</v>
      </c>
      <c r="CE142">
        <f t="shared" si="80"/>
        <v>0.39766388888888898</v>
      </c>
      <c r="CF142">
        <f>IF(CE142=BO142,BP142,IF(CE142=BS142,BT142,IF(CE142=BW142,BX142,IF(CE142=CA142,CB142,0))))</f>
        <v>14</v>
      </c>
      <c r="CG142">
        <f>IF(CE142=BO142,BQ142,IF(CE142=BS142,BU142,IF(CE142=BW142,BY142,IF(CE142=CA142,CC142,0))))</f>
        <v>26.419070000000001</v>
      </c>
      <c r="CH142">
        <f t="shared" si="81"/>
        <v>0</v>
      </c>
      <c r="CI142">
        <f t="shared" si="82"/>
        <v>0.39766388888888898</v>
      </c>
      <c r="CJ142">
        <f>IF(CI142=BO142,BP142,IF(CI142=BS142,BT142,IF(CI142=BW142,BX142,IF(CI142=CA142,CB142,IF(CI142=CE142,CF142,0)))))</f>
        <v>14</v>
      </c>
      <c r="CK142">
        <f>IF(CI142=BO142,BQ142,IF(CI142=BS142,BU142,IF(CI142=BW142,BY142,IF(CI142=CA142,CC142,IF(CI142=CE142,CG142,0)))))</f>
        <v>26.419070000000001</v>
      </c>
      <c r="CL142">
        <f t="shared" si="83"/>
        <v>0</v>
      </c>
      <c r="CM142">
        <f t="shared" si="84"/>
        <v>0.39766388888888898</v>
      </c>
      <c r="CN142">
        <f>IF(CM142=BO142,BP142,IF(CM142=BS142,BT142,IF(CM142=BW142,BX142,IF(CM142=CA142,CB142,IF(CM142=CE142,CF142,IF(CM142=CI142,CJ142,0))))))</f>
        <v>14</v>
      </c>
      <c r="CO142">
        <f>IF(CM142=BO142,BQ142,IF(CM142=BS142,BU142,IF(CM142=BW142,BY142,IF(CM142=CA142,CC142,IF(CM142=CE142,CG142,IF(CM142=CI142,CK142,0))))))</f>
        <v>26.419070000000001</v>
      </c>
      <c r="CP142">
        <f t="shared" si="85"/>
        <v>0</v>
      </c>
      <c r="CQ142">
        <f t="shared" si="86"/>
        <v>0.39766388888888898</v>
      </c>
      <c r="CR142">
        <f>IF(CQ142=BO142,BP142,IF(CQ142=BS142,BT142,IF(CQ142=BW142,BX142,IF(CQ142=CA142,CB142,IF(CQ142=CE142,CF142,IF(CQ142=CI142,CJ142,IF(CQ142=CM142,CN142,0)))))))</f>
        <v>14</v>
      </c>
      <c r="CS142">
        <f>IF(CQ142=BO142,BQ142,IF(CQ142=BS142,BU142,IF(CQ142=BW142,BY142,IF(CQ142=CA142,CC142,IF(CQ142=CE142,CG142,IF(CQ142=CI142,CK142,IF(CQ142=CM142,CO142,0)))))))</f>
        <v>26.419070000000001</v>
      </c>
      <c r="CT142">
        <f t="shared" si="87"/>
        <v>0</v>
      </c>
      <c r="CU142">
        <f t="shared" si="88"/>
        <v>0.39766388888888898</v>
      </c>
      <c r="CV142">
        <f>IF(CU142=BO142,BP142,IF(CU142=BS142,BT142,IF(CU142=BW142,BX142,IF(CU142=CA142,CB142,IF(CU142=CE142,CF142,IF(CU142=CI142,CJ142,IF(CU142=CM142,CN142,IF(CU142=CQ142,CR142,0))))))))</f>
        <v>14</v>
      </c>
      <c r="CW142">
        <f>IF(CU142=BO142,BQ142,IF(CU142=BS142,BU142,IF(CU142=BW142,BY142,IF(CU142=CA142,CC142,IF(CU142=CE142,CG142,IF(CU142=CI142,CK142,IF(CU142=CM142,CO142,IF(CU142=CQ142,CS142,0))))))))</f>
        <v>26.419070000000001</v>
      </c>
      <c r="CX142">
        <f t="shared" si="89"/>
        <v>0</v>
      </c>
      <c r="CY142">
        <f t="shared" si="90"/>
        <v>0.39766388888888898</v>
      </c>
      <c r="CZ142">
        <f>IF(CY142=BO142,BP142,IF(CY142=BS142,BT142,IF(CY142=BW142,BX142,IF(CY142=CA142,CB142,IF(CY142=CE142,CF142,IF(CY142=CI142,CJ142,IF(CY142=CM142,CN142,IF(CY142=CQ142,CR142,IF(CY142=CU142,CV142,0)))))))))</f>
        <v>14</v>
      </c>
      <c r="DA142">
        <f>IF(CY142=BO142,BQ142,IF(CY142=BS142,BU142,IF(CY142=BW142,BY142,IF(CY142=CA142,CC142,IF(CY142=CE142,CG142,IF(CY142=CI142,CK142,IF(CY142=CM142,CO142,IF(CY142=CQ142,CS142,IF(CY142=CU142,CW142,0)))))))))</f>
        <v>26.419070000000001</v>
      </c>
      <c r="DB142">
        <f t="shared" si="91"/>
        <v>0</v>
      </c>
      <c r="DC142">
        <f t="shared" si="92"/>
        <v>0.40604166666666702</v>
      </c>
      <c r="DD142">
        <v>17</v>
      </c>
      <c r="DE142">
        <v>22.434049999999999</v>
      </c>
      <c r="DF142">
        <f t="shared" si="93"/>
        <v>0</v>
      </c>
      <c r="DG142">
        <f t="shared" si="94"/>
        <v>0.39766388888888898</v>
      </c>
      <c r="DH142">
        <f>IF(DG142=BO142,BP142,IF(DG142=BS142,BT142,IF(DG142=BW142,BX142,IF(DG142=CA142,CB142,IF(DG142=CE142,CF142,IF(DG142=CI142,CJ142,IF(DG142=CM142,CN142,IF(DG142=CQ142,CR142,IF(DG142=CU142,CV142,IF(DG142=CY142,CZ142,IF(DG142=DC142,DD142,0)))))))))))</f>
        <v>14</v>
      </c>
      <c r="DI142">
        <f>IF(DG142=BO142,BQ142,IF(DG142=BS142,BU142,IF(DG142=BW142,BY142,IF(DG142=CA142,CC142,IF(DG142=CE142,CG142,IF(DG142=CI142,CK142,IF(DG142=CM142,CO142,IF(DG142=CQ142,CS142,IF(DG142=CU142,CW142,IF(DG142=CY142,DA142,IF(DG142=DC142,DE142,0)))))))))))</f>
        <v>26.419070000000001</v>
      </c>
      <c r="DJ142">
        <f t="shared" si="95"/>
        <v>0</v>
      </c>
      <c r="DK142">
        <f t="shared" si="96"/>
        <v>0.39766388888888898</v>
      </c>
      <c r="DL142">
        <f>IF(DK142=BO142,BP142,IF(DK142=BS142,BT142,IF(DK142=BW142,BX142,IF(DK142=CA142,CB142,IF(DK142=CE142,CF142,IF(DK142=CI142,CJ142,IF(DK142=CM142,CN142,IF(DK142=CQ142,CR142,IF(DK142=CU142,CV142,IF(DK142=CY142,CZ142,IF(DK142=DC142,DD142,IF(DK142=DG142,DH142,0))))))))))))</f>
        <v>14</v>
      </c>
      <c r="DM142">
        <f>IF(DK142=BO142,BQ142,IF(DK142=BS142,BU142,IF(DK142=BW142,BY142,IF(DK142=CA142,CC142,IF(DK142=CE142,CG142,IF(DK142=CI142,CK142,IF(DK142=CM142,CO142,IF(DK142=CQ142,CS142,IF(DK142=CU142,CW142,IF(DK142=CY142,DA142,IF(DK142=DC142,DE142,IF(DK142=DG142,DI142,0))))))))))))</f>
        <v>26.419070000000001</v>
      </c>
      <c r="DN142">
        <f t="shared" si="97"/>
        <v>0</v>
      </c>
      <c r="DO142">
        <f t="shared" si="98"/>
        <v>0.39766388888888898</v>
      </c>
      <c r="DP142">
        <f>IF(DO142=BO142,BP142,IF(DO142=BS142,BT142,IF(DO142=BW142,BX142,IF(DO142=CA142,CB142,IF(DO142=CE142,CF142,IF(DO142=CI142,CJ142,IF(DO142=CM142,CN142,IF(DO142=CQ142,CR142,IF(DO142=CU142,CV142,IF(DO142=CY142,CZ142,IF(DO142=DC142,DD142,IF(DO142=DG142,DH142,IF(DO142=DK142,DL142,0)))))))))))))</f>
        <v>14</v>
      </c>
      <c r="DQ142">
        <f>IF(DO142=BO142,BQ142,IF(DO142=BS142,BU142,IF(DO142=BW142,BY142,IF(DO142=CA142,CC142,IF(DO142=CE142,CG142,IF(DO142=CI142,CK142,IF(DO142=CM142,CO142,IF(DO142=CQ142,CS142,IF(DO142=CU142,CW142,IF(DO142=CY142,DA142,IF(DO142=DC142,DE142,IF(DO142=DG142,DI142,IF(DO142=DK142,DM142,0)))))))))))))</f>
        <v>26.419070000000001</v>
      </c>
      <c r="DR142">
        <f t="shared" si="99"/>
        <v>0</v>
      </c>
      <c r="DS142">
        <f t="shared" si="100"/>
        <v>0.39766388888888898</v>
      </c>
      <c r="DT142">
        <f>IF(DS142=BO142,BP142,IF(DS142=BS142,BT142,IF(DS142=BW142,BX142,IF(DS142=CA142,CB142,IF(DS142=CE142,CF142,IF(DS142=CI142,CJ142,IF(DS142=CM142,CN142,IF(DS142=CQ142,CR142,IF(DS142=CU142,CV142,IF(DS142=CY142,CZ142,IF(DS142=DC142,DD142,IF(DS142=DG142,DH142,IF(DS142=DK142,DL142,IF(DS142=DO142,DP142,0))))))))))))))</f>
        <v>14</v>
      </c>
      <c r="DU142">
        <f>IF(DS142=BO142,BQ142,IF(DS142=BS142,BU142,IF(DS142=BW142,BY142,IF(DS142=CA142,CC142,IF(DS142=CE142,CG142,IF(DS142=CI142,CK142,IF(DS142=CM142,CO142,IF(DS142=CQ142,CS142,IF(DS142=CU142,CW142,IF(DS142=CY142,DA142,IF(DS142=DC142,DE142,IF(DS142=DG142,DI142,IF(DS142=DK142,DM142,IF(DS142=DO142,DQ142,0))))))))))))))</f>
        <v>26.419070000000001</v>
      </c>
      <c r="DV142">
        <f t="shared" si="101"/>
        <v>0</v>
      </c>
      <c r="DW142">
        <v>31226.480769230799</v>
      </c>
      <c r="DX142">
        <v>3</v>
      </c>
      <c r="DY142">
        <v>8</v>
      </c>
      <c r="DZ142">
        <v>3</v>
      </c>
      <c r="EA142">
        <v>3</v>
      </c>
      <c r="EB142">
        <v>14.0364762223093</v>
      </c>
      <c r="EC142">
        <v>1</v>
      </c>
      <c r="ED142">
        <v>6.6209954666666704</v>
      </c>
      <c r="EE142">
        <v>0.39766388888888898</v>
      </c>
      <c r="EF142">
        <v>26.419070000000001</v>
      </c>
      <c r="EG142">
        <v>16.941444667561601</v>
      </c>
      <c r="EH142">
        <v>9</v>
      </c>
      <c r="EI142">
        <v>0</v>
      </c>
      <c r="EJ142">
        <v>4.5793054666666704</v>
      </c>
      <c r="EK142">
        <v>1</v>
      </c>
      <c r="EL142">
        <v>1</v>
      </c>
      <c r="EM142">
        <v>50</v>
      </c>
      <c r="EN142">
        <v>0</v>
      </c>
      <c r="EO142">
        <v>4</v>
      </c>
      <c r="EP142">
        <v>5</v>
      </c>
      <c r="EQ142">
        <v>3</v>
      </c>
      <c r="ER142">
        <v>14.1987814663817</v>
      </c>
      <c r="ES142">
        <v>13.8690542078846</v>
      </c>
      <c r="ET142">
        <v>20.490049674551301</v>
      </c>
      <c r="EU142">
        <v>11.292685310809601</v>
      </c>
      <c r="EV142">
        <v>15.8719907774763</v>
      </c>
      <c r="EW142">
        <v>6.2299899999999999</v>
      </c>
      <c r="EX142">
        <v>14.4423694506494</v>
      </c>
      <c r="EY142">
        <v>20.672359450649399</v>
      </c>
      <c r="EZ142">
        <v>4.5793054666666704</v>
      </c>
      <c r="FA142">
        <v>11.292685310809601</v>
      </c>
      <c r="FB142">
        <v>15.8719907774763</v>
      </c>
      <c r="FC142">
        <v>8.3602740000000004</v>
      </c>
      <c r="FD142">
        <v>18.628249109058</v>
      </c>
      <c r="FE142">
        <v>26.988523109058001</v>
      </c>
      <c r="FF142">
        <v>4.5793054666666704</v>
      </c>
      <c r="FG142">
        <v>11.292685310809601</v>
      </c>
      <c r="FH142">
        <v>15.8719907774763</v>
      </c>
    </row>
    <row r="143" spans="1:164" x14ac:dyDescent="0.2">
      <c r="A143">
        <v>142</v>
      </c>
      <c r="B143">
        <v>155</v>
      </c>
      <c r="C143">
        <v>254</v>
      </c>
      <c r="D143">
        <v>2</v>
      </c>
      <c r="E143">
        <v>13</v>
      </c>
      <c r="F143" t="s">
        <v>142</v>
      </c>
      <c r="G143" t="s">
        <v>156</v>
      </c>
      <c r="H143">
        <v>3</v>
      </c>
      <c r="I143">
        <v>5</v>
      </c>
      <c r="K143" t="s">
        <v>142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3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2</v>
      </c>
      <c r="AC143">
        <v>0</v>
      </c>
      <c r="AD143">
        <v>2</v>
      </c>
      <c r="AE143">
        <v>8</v>
      </c>
      <c r="AF143">
        <v>4</v>
      </c>
      <c r="AG143">
        <v>15</v>
      </c>
      <c r="AH143">
        <v>6</v>
      </c>
      <c r="AI143">
        <v>0.33450000000000002</v>
      </c>
      <c r="AJ143">
        <v>20.582550000000001</v>
      </c>
      <c r="AK143">
        <v>0.61183888888888904</v>
      </c>
      <c r="AL143">
        <v>41.229709999999997</v>
      </c>
      <c r="AM143">
        <v>0.50595000000000001</v>
      </c>
      <c r="AN143">
        <v>38.759569999999997</v>
      </c>
      <c r="AO143">
        <v>0.50209166666666705</v>
      </c>
      <c r="AP143">
        <v>36.38608</v>
      </c>
      <c r="AQ143">
        <v>0.52539166666666703</v>
      </c>
      <c r="AR143">
        <v>36.713970000000003</v>
      </c>
      <c r="AS143">
        <v>0.490577777777778</v>
      </c>
      <c r="AT143">
        <v>33.214109999999998</v>
      </c>
      <c r="AU143">
        <v>0.389922222222222</v>
      </c>
      <c r="AV143">
        <v>27.678570000000001</v>
      </c>
      <c r="AW143">
        <v>0.36519722222222201</v>
      </c>
      <c r="AX143">
        <v>25.65239</v>
      </c>
      <c r="AY143">
        <v>0.35468611111111098</v>
      </c>
      <c r="AZ143">
        <v>24.095980000000001</v>
      </c>
      <c r="BA143">
        <v>0.33967777777777802</v>
      </c>
      <c r="BB143">
        <v>23.513000000000002</v>
      </c>
      <c r="BC143">
        <v>0.34613333333333302</v>
      </c>
      <c r="BD143">
        <v>21.05827</v>
      </c>
      <c r="BE143">
        <v>0.24377499999999999</v>
      </c>
      <c r="BF143">
        <v>14.572800000000001</v>
      </c>
      <c r="BG143">
        <v>0.26342777777777798</v>
      </c>
      <c r="BH143">
        <v>14.208299999999999</v>
      </c>
      <c r="BI143">
        <v>0.246611111111111</v>
      </c>
      <c r="BJ143">
        <v>9.6399100000000004</v>
      </c>
      <c r="BK143">
        <v>0.233286111111111</v>
      </c>
      <c r="BL143">
        <v>8.6137200000000007</v>
      </c>
      <c r="BM143">
        <v>0.20270833333333299</v>
      </c>
      <c r="BN143">
        <v>7.30884</v>
      </c>
      <c r="BO143">
        <f t="shared" si="68"/>
        <v>0.20270833333333299</v>
      </c>
      <c r="BP143">
        <v>18</v>
      </c>
      <c r="BQ143">
        <v>7.30884</v>
      </c>
      <c r="BR143">
        <f t="shared" si="69"/>
        <v>0</v>
      </c>
      <c r="BS143">
        <f t="shared" si="70"/>
        <v>0.20270833333333299</v>
      </c>
      <c r="BT143">
        <f t="shared" si="71"/>
        <v>18</v>
      </c>
      <c r="BU143">
        <f t="shared" si="72"/>
        <v>7.30884</v>
      </c>
      <c r="BV143">
        <f t="shared" si="73"/>
        <v>0</v>
      </c>
      <c r="BW143">
        <f t="shared" si="74"/>
        <v>0.20270833333333299</v>
      </c>
      <c r="BX143">
        <f t="shared" si="75"/>
        <v>18</v>
      </c>
      <c r="BY143">
        <f t="shared" si="76"/>
        <v>7.30884</v>
      </c>
      <c r="BZ143">
        <f t="shared" si="77"/>
        <v>0</v>
      </c>
      <c r="CA143">
        <f t="shared" si="78"/>
        <v>0.20270833333333299</v>
      </c>
      <c r="CB143">
        <f>IF(CA143=BO143,BP143,IF(CA143=BS143,BT143,IF(CA143=BW143,BX143,0)))</f>
        <v>18</v>
      </c>
      <c r="CC143">
        <f>IF(CA143=BO143,BQ143,IF(CA143=BS143,BU143,IF(CA143=BW143,BY143,0)))</f>
        <v>7.30884</v>
      </c>
      <c r="CD143">
        <f t="shared" si="79"/>
        <v>0</v>
      </c>
      <c r="CE143">
        <f t="shared" si="80"/>
        <v>0.20270833333333299</v>
      </c>
      <c r="CF143">
        <f>IF(CE143=BO143,BP143,IF(CE143=BS143,BT143,IF(CE143=BW143,BX143,IF(CE143=CA143,CB143,0))))</f>
        <v>18</v>
      </c>
      <c r="CG143">
        <f>IF(CE143=BO143,BQ143,IF(CE143=BS143,BU143,IF(CE143=BW143,BY143,IF(CE143=CA143,CC143,0))))</f>
        <v>7.30884</v>
      </c>
      <c r="CH143">
        <f t="shared" si="81"/>
        <v>0</v>
      </c>
      <c r="CI143">
        <f t="shared" si="82"/>
        <v>0.20270833333333299</v>
      </c>
      <c r="CJ143">
        <f>IF(CI143=BO143,BP143,IF(CI143=BS143,BT143,IF(CI143=BW143,BX143,IF(CI143=CA143,CB143,IF(CI143=CE143,CF143,0)))))</f>
        <v>18</v>
      </c>
      <c r="CK143">
        <f>IF(CI143=BO143,BQ143,IF(CI143=BS143,BU143,IF(CI143=BW143,BY143,IF(CI143=CA143,CC143,IF(CI143=CE143,CG143,0)))))</f>
        <v>7.30884</v>
      </c>
      <c r="CL143">
        <f t="shared" si="83"/>
        <v>0</v>
      </c>
      <c r="CM143">
        <f t="shared" si="84"/>
        <v>0.20270833333333299</v>
      </c>
      <c r="CN143">
        <f>IF(CM143=BO143,BP143,IF(CM143=BS143,BT143,IF(CM143=BW143,BX143,IF(CM143=CA143,CB143,IF(CM143=CE143,CF143,IF(CM143=CI143,CJ143,0))))))</f>
        <v>18</v>
      </c>
      <c r="CO143">
        <f>IF(CM143=BO143,BQ143,IF(CM143=BS143,BU143,IF(CM143=BW143,BY143,IF(CM143=CA143,CC143,IF(CM143=CE143,CG143,IF(CM143=CI143,CK143,0))))))</f>
        <v>7.30884</v>
      </c>
      <c r="CP143">
        <f t="shared" si="85"/>
        <v>0</v>
      </c>
      <c r="CQ143">
        <f t="shared" si="86"/>
        <v>0.20270833333333299</v>
      </c>
      <c r="CR143">
        <f>IF(CQ143=BO143,BP143,IF(CQ143=BS143,BT143,IF(CQ143=BW143,BX143,IF(CQ143=CA143,CB143,IF(CQ143=CE143,CF143,IF(CQ143=CI143,CJ143,IF(CQ143=CM143,CN143,0)))))))</f>
        <v>18</v>
      </c>
      <c r="CS143">
        <f>IF(CQ143=BO143,BQ143,IF(CQ143=BS143,BU143,IF(CQ143=BW143,BY143,IF(CQ143=CA143,CC143,IF(CQ143=CE143,CG143,IF(CQ143=CI143,CK143,IF(CQ143=CM143,CO143,0)))))))</f>
        <v>7.30884</v>
      </c>
      <c r="CT143">
        <f t="shared" si="87"/>
        <v>0</v>
      </c>
      <c r="CU143">
        <f t="shared" si="88"/>
        <v>0.20270833333333299</v>
      </c>
      <c r="CV143">
        <f>IF(CU143=BO143,BP143,IF(CU143=BS143,BT143,IF(CU143=BW143,BX143,IF(CU143=CA143,CB143,IF(CU143=CE143,CF143,IF(CU143=CI143,CJ143,IF(CU143=CM143,CN143,IF(CU143=CQ143,CR143,0))))))))</f>
        <v>18</v>
      </c>
      <c r="CW143">
        <f>IF(CU143=BO143,BQ143,IF(CU143=BS143,BU143,IF(CU143=BW143,BY143,IF(CU143=CA143,CC143,IF(CU143=CE143,CG143,IF(CU143=CI143,CK143,IF(CU143=CM143,CO143,IF(CU143=CQ143,CS143,0))))))))</f>
        <v>7.30884</v>
      </c>
      <c r="CX143">
        <f t="shared" si="89"/>
        <v>0</v>
      </c>
      <c r="CY143">
        <f t="shared" si="90"/>
        <v>0.20270833333333299</v>
      </c>
      <c r="CZ143">
        <f>IF(CY143=BO143,BP143,IF(CY143=BS143,BT143,IF(CY143=BW143,BX143,IF(CY143=CA143,CB143,IF(CY143=CE143,CF143,IF(CY143=CI143,CJ143,IF(CY143=CM143,CN143,IF(CY143=CQ143,CR143,IF(CY143=CU143,CV143,0)))))))))</f>
        <v>18</v>
      </c>
      <c r="DA143">
        <f>IF(CY143=BO143,BQ143,IF(CY143=BS143,BU143,IF(CY143=BW143,BY143,IF(CY143=CA143,CC143,IF(CY143=CE143,CG143,IF(CY143=CI143,CK143,IF(CY143=CM143,CO143,IF(CY143=CQ143,CS143,IF(CY143=CU143,CW143,0)))))))))</f>
        <v>7.30884</v>
      </c>
      <c r="DB143">
        <f t="shared" si="91"/>
        <v>0</v>
      </c>
      <c r="DC143">
        <f t="shared" si="92"/>
        <v>0.20270833333333299</v>
      </c>
      <c r="DD143">
        <f>IF(DC143=BO143,BP143,IF(DC143=BS143,BT143,IF(DC143=BW143,BX143,IF(DC143=CA143,CB143,IF(DC143=CE143,CF143,IF(DC143=CI143,CJ143,IF(DC143=CM143,CN143,IF(DC143=CQ143,CR143,IF(DC143=CU143,CV143,IF(DC143=CY143,CZ143,0))))))))))</f>
        <v>18</v>
      </c>
      <c r="DE143">
        <f>IF(DC143=BO143,BQ143,IF(DC143=BS143,BU143,IF(DC143=BW143,BY143,IF(DC143=CA143,CC143,IF(DC143=CE143,CG143,IF(DC143=CI143,CK143,IF(DC143=CM143,CO143,IF(DC143=CQ143,CS143,IF(DC143=CU143,CW143,IF(DC143=CY143,DA143,0))))))))))</f>
        <v>7.30884</v>
      </c>
      <c r="DF143">
        <f t="shared" si="93"/>
        <v>0</v>
      </c>
      <c r="DG143">
        <f t="shared" si="94"/>
        <v>0.20270833333333299</v>
      </c>
      <c r="DH143">
        <f>IF(DG143=BO143,BP143,IF(DG143=BS143,BT143,IF(DG143=BW143,BX143,IF(DG143=CA143,CB143,IF(DG143=CE143,CF143,IF(DG143=CI143,CJ143,IF(DG143=CM143,CN143,IF(DG143=CQ143,CR143,IF(DG143=CU143,CV143,IF(DG143=CY143,CZ143,IF(DG143=DC143,DD143,0)))))))))))</f>
        <v>18</v>
      </c>
      <c r="DI143">
        <f>IF(DG143=BO143,BQ143,IF(DG143=BS143,BU143,IF(DG143=BW143,BY143,IF(DG143=CA143,CC143,IF(DG143=CE143,CG143,IF(DG143=CI143,CK143,IF(DG143=CM143,CO143,IF(DG143=CQ143,CS143,IF(DG143=CU143,CW143,IF(DG143=CY143,DA143,IF(DG143=DC143,DE143,0)))))))))))</f>
        <v>7.30884</v>
      </c>
      <c r="DJ143">
        <f t="shared" si="95"/>
        <v>0</v>
      </c>
      <c r="DK143">
        <f t="shared" si="96"/>
        <v>0.20270833333333299</v>
      </c>
      <c r="DL143">
        <f>IF(DK143=BO143,BP143,IF(DK143=BS143,BT143,IF(DK143=BW143,BX143,IF(DK143=CA143,CB143,IF(DK143=CE143,CF143,IF(DK143=CI143,CJ143,IF(DK143=CM143,CN143,IF(DK143=CQ143,CR143,IF(DK143=CU143,CV143,IF(DK143=CY143,CZ143,IF(DK143=DC143,DD143,IF(DK143=DG143,DH143,0))))))))))))</f>
        <v>18</v>
      </c>
      <c r="DM143">
        <f>IF(DK143=BO143,BQ143,IF(DK143=BS143,BU143,IF(DK143=BW143,BY143,IF(DK143=CA143,CC143,IF(DK143=CE143,CG143,IF(DK143=CI143,CK143,IF(DK143=CM143,CO143,IF(DK143=CQ143,CS143,IF(DK143=CU143,CW143,IF(DK143=CY143,DA143,IF(DK143=DC143,DE143,IF(DK143=DG143,DI143,0))))))))))))</f>
        <v>7.30884</v>
      </c>
      <c r="DN143">
        <f t="shared" si="97"/>
        <v>0</v>
      </c>
      <c r="DO143">
        <f t="shared" si="98"/>
        <v>0.20270833333333299</v>
      </c>
      <c r="DP143">
        <f>IF(DO143=BO143,BP143,IF(DO143=BS143,BT143,IF(DO143=BW143,BX143,IF(DO143=CA143,CB143,IF(DO143=CE143,CF143,IF(DO143=CI143,CJ143,IF(DO143=CM143,CN143,IF(DO143=CQ143,CR143,IF(DO143=CU143,CV143,IF(DO143=CY143,CZ143,IF(DO143=DC143,DD143,IF(DO143=DG143,DH143,IF(DO143=DK143,DL143,0)))))))))))))</f>
        <v>18</v>
      </c>
      <c r="DQ143">
        <f>IF(DO143=BO143,BQ143,IF(DO143=BS143,BU143,IF(DO143=BW143,BY143,IF(DO143=CA143,CC143,IF(DO143=CE143,CG143,IF(DO143=CI143,CK143,IF(DO143=CM143,CO143,IF(DO143=CQ143,CS143,IF(DO143=CU143,CW143,IF(DO143=CY143,DA143,IF(DO143=DC143,DE143,IF(DO143=DG143,DI143,IF(DO143=DK143,DM143,0)))))))))))))</f>
        <v>7.30884</v>
      </c>
      <c r="DR143">
        <f t="shared" si="99"/>
        <v>0</v>
      </c>
      <c r="DS143">
        <f t="shared" si="100"/>
        <v>0.233286111111111</v>
      </c>
      <c r="DT143">
        <v>17</v>
      </c>
      <c r="DU143">
        <v>8.6137200000000007</v>
      </c>
      <c r="DV143">
        <f t="shared" si="101"/>
        <v>0</v>
      </c>
      <c r="DW143">
        <v>31226.480769230799</v>
      </c>
      <c r="DX143">
        <v>4</v>
      </c>
      <c r="DY143">
        <v>9</v>
      </c>
      <c r="DZ143">
        <v>3</v>
      </c>
      <c r="EA143">
        <v>3</v>
      </c>
      <c r="EB143">
        <v>14.0364762223093</v>
      </c>
      <c r="EC143">
        <v>0.75</v>
      </c>
      <c r="ED143">
        <v>3.4257314999999999</v>
      </c>
      <c r="EE143">
        <v>0.20270833333333299</v>
      </c>
      <c r="EF143">
        <v>7.30884</v>
      </c>
      <c r="EG143">
        <v>11.202378296878299</v>
      </c>
      <c r="EH143">
        <v>18</v>
      </c>
      <c r="EI143">
        <v>0</v>
      </c>
      <c r="EJ143">
        <v>0.95014920000000003</v>
      </c>
      <c r="EK143">
        <v>1</v>
      </c>
      <c r="EL143">
        <v>2</v>
      </c>
      <c r="EM143">
        <v>43</v>
      </c>
      <c r="EN143">
        <v>1</v>
      </c>
      <c r="EO143">
        <v>2</v>
      </c>
      <c r="EP143">
        <v>6</v>
      </c>
      <c r="EQ143">
        <v>4</v>
      </c>
      <c r="ER143">
        <v>14.1987814663817</v>
      </c>
      <c r="ES143">
        <v>9.4989848010093407</v>
      </c>
      <c r="ET143">
        <v>12.924716301009299</v>
      </c>
      <c r="EU143">
        <v>5.7564226528289</v>
      </c>
      <c r="EV143">
        <v>6.7065718528289002</v>
      </c>
      <c r="EW143">
        <v>3.1324774</v>
      </c>
      <c r="EX143">
        <v>10.0722211616549</v>
      </c>
      <c r="EY143">
        <v>13.204698561654901</v>
      </c>
      <c r="EZ143">
        <v>3.4344790999999999</v>
      </c>
      <c r="FA143">
        <v>5.7564226528289</v>
      </c>
      <c r="FB143">
        <v>9.1909017528288999</v>
      </c>
      <c r="FC143">
        <v>4.7301903999999997</v>
      </c>
      <c r="FD143">
        <v>14.2581797021827</v>
      </c>
      <c r="FE143">
        <v>18.988370102182699</v>
      </c>
      <c r="FF143">
        <v>0.95014920000000003</v>
      </c>
      <c r="FG143">
        <v>5.7564226528289</v>
      </c>
      <c r="FH143">
        <v>6.7065718528289002</v>
      </c>
    </row>
    <row r="144" spans="1:164" x14ac:dyDescent="0.2">
      <c r="A144">
        <v>143</v>
      </c>
      <c r="B144">
        <v>156</v>
      </c>
      <c r="C144">
        <v>259</v>
      </c>
      <c r="D144">
        <v>3</v>
      </c>
      <c r="E144">
        <v>12</v>
      </c>
      <c r="F144" t="s">
        <v>146</v>
      </c>
      <c r="G144" t="s">
        <v>122</v>
      </c>
      <c r="H144">
        <v>3</v>
      </c>
      <c r="I144">
        <v>4</v>
      </c>
      <c r="K144" t="s">
        <v>170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2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7</v>
      </c>
      <c r="AE144">
        <v>10</v>
      </c>
      <c r="AF144">
        <v>5</v>
      </c>
      <c r="AG144">
        <v>10</v>
      </c>
      <c r="AH144">
        <v>6</v>
      </c>
      <c r="AI144">
        <v>0.40377222222222198</v>
      </c>
      <c r="AJ144">
        <v>21.68085</v>
      </c>
      <c r="AK144">
        <v>0.37228611111111098</v>
      </c>
      <c r="AL144">
        <v>11.58466</v>
      </c>
      <c r="AM144">
        <v>0.26991111111111099</v>
      </c>
      <c r="AN144">
        <v>10.12307</v>
      </c>
      <c r="AO144">
        <v>0.255202777777778</v>
      </c>
      <c r="AP144">
        <v>8.6622500000000002</v>
      </c>
      <c r="AQ144">
        <v>0.31812777777777801</v>
      </c>
      <c r="AR144">
        <v>10.73414</v>
      </c>
      <c r="AS144">
        <v>0.31245000000000001</v>
      </c>
      <c r="AT144">
        <v>10.14893</v>
      </c>
      <c r="AU144">
        <v>0.30712499999999998</v>
      </c>
      <c r="AV144">
        <v>12.55533</v>
      </c>
      <c r="AW144">
        <v>0.32870277777777801</v>
      </c>
      <c r="AX144">
        <v>16.930879999999998</v>
      </c>
      <c r="AY144">
        <v>0.33868888888888898</v>
      </c>
      <c r="AZ144">
        <v>18.169609999999999</v>
      </c>
      <c r="BA144">
        <v>0.35203888888888901</v>
      </c>
      <c r="BB144">
        <v>19.490320000000001</v>
      </c>
      <c r="BC144">
        <v>0.41286666666666699</v>
      </c>
      <c r="BD144">
        <v>20.815020000000001</v>
      </c>
      <c r="BE144">
        <v>0.42388611111111102</v>
      </c>
      <c r="BF144">
        <v>27.191980000000001</v>
      </c>
      <c r="BG144">
        <v>0.48776111111111098</v>
      </c>
      <c r="BH144">
        <v>30.594830000000002</v>
      </c>
      <c r="BI144">
        <v>0.53158611111111098</v>
      </c>
      <c r="BJ144">
        <v>32.568750000000001</v>
      </c>
      <c r="BK144">
        <v>0.59972777777777797</v>
      </c>
      <c r="BL144">
        <v>39.384390000000003</v>
      </c>
      <c r="BM144">
        <v>0.64123055555555597</v>
      </c>
      <c r="BN144">
        <v>41.377070000000003</v>
      </c>
      <c r="BO144">
        <f t="shared" si="68"/>
        <v>0.255202777777778</v>
      </c>
      <c r="BP144">
        <v>3</v>
      </c>
      <c r="BQ144">
        <v>8.6622500000000002</v>
      </c>
      <c r="BR144">
        <f t="shared" si="69"/>
        <v>0</v>
      </c>
      <c r="BS144">
        <f t="shared" si="70"/>
        <v>0.255202777777778</v>
      </c>
      <c r="BT144">
        <f t="shared" si="71"/>
        <v>3</v>
      </c>
      <c r="BU144">
        <f t="shared" si="72"/>
        <v>8.6622500000000002</v>
      </c>
      <c r="BV144">
        <f t="shared" si="73"/>
        <v>0</v>
      </c>
      <c r="BW144">
        <f t="shared" si="74"/>
        <v>0.26991111111111099</v>
      </c>
      <c r="BX144">
        <v>2</v>
      </c>
      <c r="BY144">
        <v>10.12307</v>
      </c>
      <c r="BZ144">
        <f t="shared" si="77"/>
        <v>0</v>
      </c>
      <c r="CA144">
        <f t="shared" si="78"/>
        <v>0.255202777777778</v>
      </c>
      <c r="CB144">
        <f>IF(CA144=BO144,BP144,IF(CA144=BS144,BT144,IF(CA144=BW144,BX144,0)))</f>
        <v>3</v>
      </c>
      <c r="CC144">
        <f>IF(CA144=BO144,BQ144,IF(CA144=BS144,BU144,IF(CA144=BW144,BY144,0)))</f>
        <v>8.6622500000000002</v>
      </c>
      <c r="CD144">
        <f t="shared" si="79"/>
        <v>0</v>
      </c>
      <c r="CE144">
        <f t="shared" si="80"/>
        <v>0.255202777777778</v>
      </c>
      <c r="CF144">
        <f>IF(CE144=BO144,BP144,IF(CE144=BS144,BT144,IF(CE144=BW144,BX144,IF(CE144=CA144,CB144,0))))</f>
        <v>3</v>
      </c>
      <c r="CG144">
        <f>IF(CE144=BO144,BQ144,IF(CE144=BS144,BU144,IF(CE144=BW144,BY144,IF(CE144=CA144,CC144,0))))</f>
        <v>8.6622500000000002</v>
      </c>
      <c r="CH144">
        <f t="shared" si="81"/>
        <v>0</v>
      </c>
      <c r="CI144">
        <f t="shared" si="82"/>
        <v>0.255202777777778</v>
      </c>
      <c r="CJ144">
        <f>IF(CI144=BO144,BP144,IF(CI144=BS144,BT144,IF(CI144=BW144,BX144,IF(CI144=CA144,CB144,IF(CI144=CE144,CF144,0)))))</f>
        <v>3</v>
      </c>
      <c r="CK144">
        <f>IF(CI144=BO144,BQ144,IF(CI144=BS144,BU144,IF(CI144=BW144,BY144,IF(CI144=CA144,CC144,IF(CI144=CE144,CG144,0)))))</f>
        <v>8.6622500000000002</v>
      </c>
      <c r="CL144">
        <f t="shared" si="83"/>
        <v>0</v>
      </c>
      <c r="CM144">
        <f t="shared" si="84"/>
        <v>0.255202777777778</v>
      </c>
      <c r="CN144">
        <f>IF(CM144=BO144,BP144,IF(CM144=BS144,BT144,IF(CM144=BW144,BX144,IF(CM144=CA144,CB144,IF(CM144=CE144,CF144,IF(CM144=CI144,CJ144,0))))))</f>
        <v>3</v>
      </c>
      <c r="CO144">
        <f>IF(CM144=BO144,BQ144,IF(CM144=BS144,BU144,IF(CM144=BW144,BY144,IF(CM144=CA144,CC144,IF(CM144=CE144,CG144,IF(CM144=CI144,CK144,0))))))</f>
        <v>8.6622500000000002</v>
      </c>
      <c r="CP144">
        <f t="shared" si="85"/>
        <v>0</v>
      </c>
      <c r="CQ144">
        <f t="shared" si="86"/>
        <v>0.255202777777778</v>
      </c>
      <c r="CR144">
        <f>IF(CQ144=BO144,BP144,IF(CQ144=BS144,BT144,IF(CQ144=BW144,BX144,IF(CQ144=CA144,CB144,IF(CQ144=CE144,CF144,IF(CQ144=CI144,CJ144,IF(CQ144=CM144,CN144,0)))))))</f>
        <v>3</v>
      </c>
      <c r="CS144">
        <f>IF(CQ144=BO144,BQ144,IF(CQ144=BS144,BU144,IF(CQ144=BW144,BY144,IF(CQ144=CA144,CC144,IF(CQ144=CE144,CG144,IF(CQ144=CI144,CK144,IF(CQ144=CM144,CO144,0)))))))</f>
        <v>8.6622500000000002</v>
      </c>
      <c r="CT144">
        <f t="shared" si="87"/>
        <v>0</v>
      </c>
      <c r="CU144">
        <f t="shared" si="88"/>
        <v>0.255202777777778</v>
      </c>
      <c r="CV144">
        <f>IF(CU144=BO144,BP144,IF(CU144=BS144,BT144,IF(CU144=BW144,BX144,IF(CU144=CA144,CB144,IF(CU144=CE144,CF144,IF(CU144=CI144,CJ144,IF(CU144=CM144,CN144,IF(CU144=CQ144,CR144,0))))))))</f>
        <v>3</v>
      </c>
      <c r="CW144">
        <f>IF(CU144=BO144,BQ144,IF(CU144=BS144,BU144,IF(CU144=BW144,BY144,IF(CU144=CA144,CC144,IF(CU144=CE144,CG144,IF(CU144=CI144,CK144,IF(CU144=CM144,CO144,IF(CU144=CQ144,CS144,0))))))))</f>
        <v>8.6622500000000002</v>
      </c>
      <c r="CX144">
        <f t="shared" si="89"/>
        <v>0</v>
      </c>
      <c r="CY144">
        <f t="shared" si="90"/>
        <v>0.255202777777778</v>
      </c>
      <c r="CZ144">
        <f>IF(CY144=BO144,BP144,IF(CY144=BS144,BT144,IF(CY144=BW144,BX144,IF(CY144=CA144,CB144,IF(CY144=CE144,CF144,IF(CY144=CI144,CJ144,IF(CY144=CM144,CN144,IF(CY144=CQ144,CR144,IF(CY144=CU144,CV144,0)))))))))</f>
        <v>3</v>
      </c>
      <c r="DA144">
        <f>IF(CY144=BO144,BQ144,IF(CY144=BS144,BU144,IF(CY144=BW144,BY144,IF(CY144=CA144,CC144,IF(CY144=CE144,CG144,IF(CY144=CI144,CK144,IF(CY144=CM144,CO144,IF(CY144=CQ144,CS144,IF(CY144=CU144,CW144,0)))))))))</f>
        <v>8.6622500000000002</v>
      </c>
      <c r="DB144">
        <f t="shared" si="91"/>
        <v>0</v>
      </c>
      <c r="DC144">
        <f t="shared" si="92"/>
        <v>0.255202777777778</v>
      </c>
      <c r="DD144">
        <f>IF(DC144=BO144,BP144,IF(DC144=BS144,BT144,IF(DC144=BW144,BX144,IF(DC144=CA144,CB144,IF(DC144=CE144,CF144,IF(DC144=CI144,CJ144,IF(DC144=CM144,CN144,IF(DC144=CQ144,CR144,IF(DC144=CU144,CV144,IF(DC144=CY144,CZ144,0))))))))))</f>
        <v>3</v>
      </c>
      <c r="DE144">
        <f>IF(DC144=BO144,BQ144,IF(DC144=BS144,BU144,IF(DC144=BW144,BY144,IF(DC144=CA144,CC144,IF(DC144=CE144,CG144,IF(DC144=CI144,CK144,IF(DC144=CM144,CO144,IF(DC144=CQ144,CS144,IF(DC144=CU144,CW144,IF(DC144=CY144,DA144,0))))))))))</f>
        <v>8.6622500000000002</v>
      </c>
      <c r="DF144">
        <f t="shared" si="93"/>
        <v>0</v>
      </c>
      <c r="DG144">
        <f t="shared" si="94"/>
        <v>0.255202777777778</v>
      </c>
      <c r="DH144">
        <f>IF(DG144=BO144,BP144,IF(DG144=BS144,BT144,IF(DG144=BW144,BX144,IF(DG144=CA144,CB144,IF(DG144=CE144,CF144,IF(DG144=CI144,CJ144,IF(DG144=CM144,CN144,IF(DG144=CQ144,CR144,IF(DG144=CU144,CV144,IF(DG144=CY144,CZ144,IF(DG144=DC144,DD144,0)))))))))))</f>
        <v>3</v>
      </c>
      <c r="DI144">
        <f>IF(DG144=BO144,BQ144,IF(DG144=BS144,BU144,IF(DG144=BW144,BY144,IF(DG144=CA144,CC144,IF(DG144=CE144,CG144,IF(DG144=CI144,CK144,IF(DG144=CM144,CO144,IF(DG144=CQ144,CS144,IF(DG144=CU144,CW144,IF(DG144=CY144,DA144,IF(DG144=DC144,DE144,0)))))))))))</f>
        <v>8.6622500000000002</v>
      </c>
      <c r="DJ144">
        <f t="shared" si="95"/>
        <v>0</v>
      </c>
      <c r="DK144">
        <f t="shared" si="96"/>
        <v>0.255202777777778</v>
      </c>
      <c r="DL144">
        <f>IF(DK144=BO144,BP144,IF(DK144=BS144,BT144,IF(DK144=BW144,BX144,IF(DK144=CA144,CB144,IF(DK144=CE144,CF144,IF(DK144=CI144,CJ144,IF(DK144=CM144,CN144,IF(DK144=CQ144,CR144,IF(DK144=CU144,CV144,IF(DK144=CY144,CZ144,IF(DK144=DC144,DD144,IF(DK144=DG144,DH144,0))))))))))))</f>
        <v>3</v>
      </c>
      <c r="DM144">
        <f>IF(DK144=BO144,BQ144,IF(DK144=BS144,BU144,IF(DK144=BW144,BY144,IF(DK144=CA144,CC144,IF(DK144=CE144,CG144,IF(DK144=CI144,CK144,IF(DK144=CM144,CO144,IF(DK144=CQ144,CS144,IF(DK144=CU144,CW144,IF(DK144=CY144,DA144,IF(DK144=DC144,DE144,IF(DK144=DG144,DI144,0))))))))))))</f>
        <v>8.6622500000000002</v>
      </c>
      <c r="DN144">
        <f t="shared" si="97"/>
        <v>0</v>
      </c>
      <c r="DO144">
        <f t="shared" si="98"/>
        <v>0.255202777777778</v>
      </c>
      <c r="DP144">
        <f>IF(DO144=BO144,BP144,IF(DO144=BS144,BT144,IF(DO144=BW144,BX144,IF(DO144=CA144,CB144,IF(DO144=CE144,CF144,IF(DO144=CI144,CJ144,IF(DO144=CM144,CN144,IF(DO144=CQ144,CR144,IF(DO144=CU144,CV144,IF(DO144=CY144,CZ144,IF(DO144=DC144,DD144,IF(DO144=DG144,DH144,IF(DO144=DK144,DL144,0)))))))))))))</f>
        <v>3</v>
      </c>
      <c r="DQ144">
        <f>IF(DO144=BO144,BQ144,IF(DO144=BS144,BU144,IF(DO144=BW144,BY144,IF(DO144=CA144,CC144,IF(DO144=CE144,CG144,IF(DO144=CI144,CK144,IF(DO144=CM144,CO144,IF(DO144=CQ144,CS144,IF(DO144=CU144,CW144,IF(DO144=CY144,DA144,IF(DO144=DC144,DE144,IF(DO144=DG144,DI144,IF(DO144=DK144,DM144,0)))))))))))))</f>
        <v>8.6622500000000002</v>
      </c>
      <c r="DR144">
        <f t="shared" si="99"/>
        <v>0</v>
      </c>
      <c r="DS144">
        <f t="shared" si="100"/>
        <v>0.255202777777778</v>
      </c>
      <c r="DT144">
        <f>IF(DS144=BO144,BP144,IF(DS144=BS144,BT144,IF(DS144=BW144,BX144,IF(DS144=CA144,CB144,IF(DS144=CE144,CF144,IF(DS144=CI144,CJ144,IF(DS144=CM144,CN144,IF(DS144=CQ144,CR144,IF(DS144=CU144,CV144,IF(DS144=CY144,CZ144,IF(DS144=DC144,DD144,IF(DS144=DG144,DH144,IF(DS144=DK144,DL144,IF(DS144=DO144,DP144,0))))))))))))))</f>
        <v>3</v>
      </c>
      <c r="DU144">
        <f>IF(DS144=BO144,BQ144,IF(DS144=BS144,BU144,IF(DS144=BW144,BY144,IF(DS144=CA144,CC144,IF(DS144=CE144,CG144,IF(DS144=CI144,CK144,IF(DS144=CM144,CO144,IF(DS144=CQ144,CS144,IF(DS144=CU144,CW144,IF(DS144=CY144,DA144,IF(DS144=DC144,DE144,IF(DS144=DG144,DI144,IF(DS144=DK144,DM144,IF(DS144=DO144,DQ144,0))))))))))))))</f>
        <v>8.6622500000000002</v>
      </c>
      <c r="DV144">
        <f t="shared" si="101"/>
        <v>0</v>
      </c>
      <c r="DW144">
        <v>22500.5</v>
      </c>
      <c r="DX144">
        <v>4</v>
      </c>
      <c r="DY144">
        <v>0</v>
      </c>
      <c r="DZ144">
        <v>6</v>
      </c>
      <c r="EA144">
        <v>6</v>
      </c>
      <c r="EB144">
        <v>10.114099490560401</v>
      </c>
      <c r="EC144">
        <v>1.5</v>
      </c>
      <c r="ED144">
        <v>4.3185105000000004</v>
      </c>
      <c r="EE144">
        <v>0.255202777777778</v>
      </c>
      <c r="EF144">
        <v>8.6622500000000002</v>
      </c>
      <c r="EG144">
        <v>10.786228362637001</v>
      </c>
      <c r="EH144">
        <v>3</v>
      </c>
      <c r="EI144">
        <v>0</v>
      </c>
      <c r="EJ144">
        <v>1.1260924999999999</v>
      </c>
      <c r="EK144">
        <v>1</v>
      </c>
      <c r="EL144">
        <v>1</v>
      </c>
      <c r="EM144">
        <v>45</v>
      </c>
      <c r="EN144">
        <v>1</v>
      </c>
      <c r="EO144">
        <v>4</v>
      </c>
      <c r="EP144">
        <v>6</v>
      </c>
      <c r="EQ144">
        <v>5</v>
      </c>
      <c r="ER144">
        <v>14.1987814663817</v>
      </c>
      <c r="ES144">
        <v>11.4661470910573</v>
      </c>
      <c r="ET144">
        <v>15.7846575910573</v>
      </c>
      <c r="EU144">
        <v>7.2471369425604699</v>
      </c>
      <c r="EV144">
        <v>8.3732294425604703</v>
      </c>
      <c r="EW144">
        <v>2.3620492999999998</v>
      </c>
      <c r="EX144">
        <v>9.6179390368499202</v>
      </c>
      <c r="EY144">
        <v>11.9799883368499</v>
      </c>
      <c r="EZ144">
        <v>1.1260924999999999</v>
      </c>
      <c r="FA144">
        <v>7.2471369425604699</v>
      </c>
      <c r="FB144">
        <v>8.3732294425604703</v>
      </c>
      <c r="FC144">
        <v>1.1260924999999999</v>
      </c>
      <c r="FD144">
        <v>7.2471369425604699</v>
      </c>
      <c r="FE144">
        <v>8.3732294425604703</v>
      </c>
      <c r="FF144">
        <v>1.3159991</v>
      </c>
      <c r="FG144">
        <v>7.66481776402986</v>
      </c>
      <c r="FH144">
        <v>8.98081686402986</v>
      </c>
    </row>
    <row r="145" spans="1:164" x14ac:dyDescent="0.2">
      <c r="A145">
        <v>144</v>
      </c>
      <c r="B145">
        <v>157</v>
      </c>
      <c r="C145">
        <v>260</v>
      </c>
      <c r="D145">
        <v>3</v>
      </c>
      <c r="E145">
        <v>12</v>
      </c>
      <c r="F145" t="s">
        <v>155</v>
      </c>
      <c r="G145" t="s">
        <v>156</v>
      </c>
      <c r="H145">
        <v>3</v>
      </c>
      <c r="I145">
        <v>4</v>
      </c>
      <c r="K145" t="s">
        <v>117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1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4</v>
      </c>
      <c r="AF145">
        <v>2</v>
      </c>
      <c r="AG145">
        <v>4</v>
      </c>
      <c r="AH145">
        <v>5</v>
      </c>
      <c r="AI145">
        <v>0.28987777777777801</v>
      </c>
      <c r="AJ145">
        <v>12.136799999999999</v>
      </c>
      <c r="AK145">
        <v>0.45840277777777799</v>
      </c>
      <c r="AL145">
        <v>23.175879999999999</v>
      </c>
      <c r="AM145">
        <v>0.35251388888888902</v>
      </c>
      <c r="AN145">
        <v>20.705739999999999</v>
      </c>
      <c r="AO145">
        <v>0.348655555555556</v>
      </c>
      <c r="AP145">
        <v>18.332239999999999</v>
      </c>
      <c r="AQ145">
        <v>0.37195555555555598</v>
      </c>
      <c r="AR145">
        <v>18.660139999999998</v>
      </c>
      <c r="AS145">
        <v>0.33714166666666701</v>
      </c>
      <c r="AT145">
        <v>15.160270000000001</v>
      </c>
      <c r="AU145">
        <v>0.22090833333333301</v>
      </c>
      <c r="AV145">
        <v>8.9964999999999993</v>
      </c>
      <c r="AW145">
        <v>0.23708888888888899</v>
      </c>
      <c r="AX145">
        <v>10.373049999999999</v>
      </c>
      <c r="AY145">
        <v>0.22804722222222201</v>
      </c>
      <c r="AZ145">
        <v>10.564590000000001</v>
      </c>
      <c r="BA145">
        <v>0.213038888888889</v>
      </c>
      <c r="BB145">
        <v>9.9816199999999995</v>
      </c>
      <c r="BC145">
        <v>0.29693611111111101</v>
      </c>
      <c r="BD145">
        <v>12.423389999999999</v>
      </c>
      <c r="BE145">
        <v>0.32260555555555598</v>
      </c>
      <c r="BF145">
        <v>17.779039999999998</v>
      </c>
      <c r="BG145">
        <v>0.38647777777777798</v>
      </c>
      <c r="BH145">
        <v>21.181889999999999</v>
      </c>
      <c r="BI145">
        <v>0.430305555555556</v>
      </c>
      <c r="BJ145">
        <v>23.155809999999999</v>
      </c>
      <c r="BK145">
        <v>0.49844444444444402</v>
      </c>
      <c r="BL145">
        <v>29.97146</v>
      </c>
      <c r="BM145">
        <v>0.53995000000000004</v>
      </c>
      <c r="BN145">
        <v>31.96414</v>
      </c>
      <c r="BO145">
        <f t="shared" si="68"/>
        <v>0.213038888888889</v>
      </c>
      <c r="BP145">
        <v>9</v>
      </c>
      <c r="BQ145">
        <v>9.9816199999999995</v>
      </c>
      <c r="BR145">
        <f t="shared" si="69"/>
        <v>0</v>
      </c>
      <c r="BS145">
        <f t="shared" si="70"/>
        <v>0.213038888888889</v>
      </c>
      <c r="BT145">
        <f t="shared" si="71"/>
        <v>9</v>
      </c>
      <c r="BU145">
        <f t="shared" si="72"/>
        <v>9.9816199999999995</v>
      </c>
      <c r="BV145">
        <f t="shared" si="73"/>
        <v>0</v>
      </c>
      <c r="BW145">
        <f t="shared" si="74"/>
        <v>0.213038888888889</v>
      </c>
      <c r="BX145">
        <f t="shared" si="75"/>
        <v>9</v>
      </c>
      <c r="BY145">
        <f t="shared" si="76"/>
        <v>9.9816199999999995</v>
      </c>
      <c r="BZ145">
        <f t="shared" si="77"/>
        <v>0</v>
      </c>
      <c r="CA145">
        <f t="shared" si="78"/>
        <v>0.213038888888889</v>
      </c>
      <c r="CB145">
        <f>IF(CA145=BO145,BP145,IF(CA145=BS145,BT145,IF(CA145=BW145,BX145,0)))</f>
        <v>9</v>
      </c>
      <c r="CC145">
        <f>IF(CA145=BO145,BQ145,IF(CA145=BS145,BU145,IF(CA145=BW145,BY145,0)))</f>
        <v>9.9816199999999995</v>
      </c>
      <c r="CD145">
        <f t="shared" si="79"/>
        <v>0</v>
      </c>
      <c r="CE145">
        <f t="shared" si="80"/>
        <v>0.213038888888889</v>
      </c>
      <c r="CF145">
        <f>IF(CE145=BO145,BP145,IF(CE145=BS145,BT145,IF(CE145=BW145,BX145,IF(CE145=CA145,CB145,0))))</f>
        <v>9</v>
      </c>
      <c r="CG145">
        <f>IF(CE145=BO145,BQ145,IF(CE145=BS145,BU145,IF(CE145=BW145,BY145,IF(CE145=CA145,CC145,0))))</f>
        <v>9.9816199999999995</v>
      </c>
      <c r="CH145">
        <f t="shared" si="81"/>
        <v>0</v>
      </c>
      <c r="CI145">
        <f t="shared" si="82"/>
        <v>0.213038888888889</v>
      </c>
      <c r="CJ145">
        <f>IF(CI145=BO145,BP145,IF(CI145=BS145,BT145,IF(CI145=BW145,BX145,IF(CI145=CA145,CB145,IF(CI145=CE145,CF145,0)))))</f>
        <v>9</v>
      </c>
      <c r="CK145">
        <f>IF(CI145=BO145,BQ145,IF(CI145=BS145,BU145,IF(CI145=BW145,BY145,IF(CI145=CA145,CC145,IF(CI145=CE145,CG145,0)))))</f>
        <v>9.9816199999999995</v>
      </c>
      <c r="CL145">
        <f t="shared" si="83"/>
        <v>0</v>
      </c>
      <c r="CM145">
        <f t="shared" si="84"/>
        <v>0.213038888888889</v>
      </c>
      <c r="CN145">
        <f>IF(CM145=BO145,BP145,IF(CM145=BS145,BT145,IF(CM145=BW145,BX145,IF(CM145=CA145,CB145,IF(CM145=CE145,CF145,IF(CM145=CI145,CJ145,0))))))</f>
        <v>9</v>
      </c>
      <c r="CO145">
        <f>IF(CM145=BO145,BQ145,IF(CM145=BS145,BU145,IF(CM145=BW145,BY145,IF(CM145=CA145,CC145,IF(CM145=CE145,CG145,IF(CM145=CI145,CK145,0))))))</f>
        <v>9.9816199999999995</v>
      </c>
      <c r="CP145">
        <f t="shared" si="85"/>
        <v>0</v>
      </c>
      <c r="CQ145">
        <f t="shared" si="86"/>
        <v>0.213038888888889</v>
      </c>
      <c r="CR145">
        <f>IF(CQ145=BO145,BP145,IF(CQ145=BS145,BT145,IF(CQ145=BW145,BX145,IF(CQ145=CA145,CB145,IF(CQ145=CE145,CF145,IF(CQ145=CI145,CJ145,IF(CQ145=CM145,CN145,0)))))))</f>
        <v>9</v>
      </c>
      <c r="CS145">
        <f>IF(CQ145=BO145,BQ145,IF(CQ145=BS145,BU145,IF(CQ145=BW145,BY145,IF(CQ145=CA145,CC145,IF(CQ145=CE145,CG145,IF(CQ145=CI145,CK145,IF(CQ145=CM145,CO145,0)))))))</f>
        <v>9.9816199999999995</v>
      </c>
      <c r="CT145">
        <f t="shared" si="87"/>
        <v>0</v>
      </c>
      <c r="CU145">
        <f t="shared" si="88"/>
        <v>0.22090833333333301</v>
      </c>
      <c r="CV145">
        <v>6</v>
      </c>
      <c r="CW145">
        <v>8.9964999999999993</v>
      </c>
      <c r="CX145">
        <f t="shared" si="89"/>
        <v>0</v>
      </c>
      <c r="CY145">
        <f t="shared" si="90"/>
        <v>0.213038888888889</v>
      </c>
      <c r="CZ145">
        <f>IF(CY145=BO145,BP145,IF(CY145=BS145,BT145,IF(CY145=BW145,BX145,IF(CY145=CA145,CB145,IF(CY145=CE145,CF145,IF(CY145=CI145,CJ145,IF(CY145=CM145,CN145,IF(CY145=CQ145,CR145,IF(CY145=CU145,CV145,0)))))))))</f>
        <v>9</v>
      </c>
      <c r="DA145">
        <f>IF(CY145=BO145,BQ145,IF(CY145=BS145,BU145,IF(CY145=BW145,BY145,IF(CY145=CA145,CC145,IF(CY145=CE145,CG145,IF(CY145=CI145,CK145,IF(CY145=CM145,CO145,IF(CY145=CQ145,CS145,IF(CY145=CU145,CW145,0)))))))))</f>
        <v>9.9816199999999995</v>
      </c>
      <c r="DB145">
        <f t="shared" si="91"/>
        <v>0</v>
      </c>
      <c r="DC145">
        <f t="shared" si="92"/>
        <v>0.213038888888889</v>
      </c>
      <c r="DD145">
        <f>IF(DC145=BO145,BP145,IF(DC145=BS145,BT145,IF(DC145=BW145,BX145,IF(DC145=CA145,CB145,IF(DC145=CE145,CF145,IF(DC145=CI145,CJ145,IF(DC145=CM145,CN145,IF(DC145=CQ145,CR145,IF(DC145=CU145,CV145,IF(DC145=CY145,CZ145,0))))))))))</f>
        <v>9</v>
      </c>
      <c r="DE145">
        <f>IF(DC145=BO145,BQ145,IF(DC145=BS145,BU145,IF(DC145=BW145,BY145,IF(DC145=CA145,CC145,IF(DC145=CE145,CG145,IF(DC145=CI145,CK145,IF(DC145=CM145,CO145,IF(DC145=CQ145,CS145,IF(DC145=CU145,CW145,IF(DC145=CY145,DA145,0))))))))))</f>
        <v>9.9816199999999995</v>
      </c>
      <c r="DF145">
        <f t="shared" si="93"/>
        <v>0</v>
      </c>
      <c r="DG145">
        <f t="shared" si="94"/>
        <v>0.213038888888889</v>
      </c>
      <c r="DH145">
        <f>IF(DG145=BO145,BP145,IF(DG145=BS145,BT145,IF(DG145=BW145,BX145,IF(DG145=CA145,CB145,IF(DG145=CE145,CF145,IF(DG145=CI145,CJ145,IF(DG145=CM145,CN145,IF(DG145=CQ145,CR145,IF(DG145=CU145,CV145,IF(DG145=CY145,CZ145,IF(DG145=DC145,DD145,0)))))))))))</f>
        <v>9</v>
      </c>
      <c r="DI145">
        <f>IF(DG145=BO145,BQ145,IF(DG145=BS145,BU145,IF(DG145=BW145,BY145,IF(DG145=CA145,CC145,IF(DG145=CE145,CG145,IF(DG145=CI145,CK145,IF(DG145=CM145,CO145,IF(DG145=CQ145,CS145,IF(DG145=CU145,CW145,IF(DG145=CY145,DA145,IF(DG145=DC145,DE145,0)))))))))))</f>
        <v>9.9816199999999995</v>
      </c>
      <c r="DJ145">
        <f t="shared" si="95"/>
        <v>0</v>
      </c>
      <c r="DK145">
        <f t="shared" si="96"/>
        <v>0.213038888888889</v>
      </c>
      <c r="DL145">
        <f>IF(DK145=BO145,BP145,IF(DK145=BS145,BT145,IF(DK145=BW145,BX145,IF(DK145=CA145,CB145,IF(DK145=CE145,CF145,IF(DK145=CI145,CJ145,IF(DK145=CM145,CN145,IF(DK145=CQ145,CR145,IF(DK145=CU145,CV145,IF(DK145=CY145,CZ145,IF(DK145=DC145,DD145,IF(DK145=DG145,DH145,0))))))))))))</f>
        <v>9</v>
      </c>
      <c r="DM145">
        <f>IF(DK145=BO145,BQ145,IF(DK145=BS145,BU145,IF(DK145=BW145,BY145,IF(DK145=CA145,CC145,IF(DK145=CE145,CG145,IF(DK145=CI145,CK145,IF(DK145=CM145,CO145,IF(DK145=CQ145,CS145,IF(DK145=CU145,CW145,IF(DK145=CY145,DA145,IF(DK145=DC145,DE145,IF(DK145=DG145,DI145,0))))))))))))</f>
        <v>9.9816199999999995</v>
      </c>
      <c r="DN145">
        <f t="shared" si="97"/>
        <v>0</v>
      </c>
      <c r="DO145">
        <f t="shared" si="98"/>
        <v>0.213038888888889</v>
      </c>
      <c r="DP145">
        <f>IF(DO145=BO145,BP145,IF(DO145=BS145,BT145,IF(DO145=BW145,BX145,IF(DO145=CA145,CB145,IF(DO145=CE145,CF145,IF(DO145=CI145,CJ145,IF(DO145=CM145,CN145,IF(DO145=CQ145,CR145,IF(DO145=CU145,CV145,IF(DO145=CY145,CZ145,IF(DO145=DC145,DD145,IF(DO145=DG145,DH145,IF(DO145=DK145,DL145,0)))))))))))))</f>
        <v>9</v>
      </c>
      <c r="DQ145">
        <f>IF(DO145=BO145,BQ145,IF(DO145=BS145,BU145,IF(DO145=BW145,BY145,IF(DO145=CA145,CC145,IF(DO145=CE145,CG145,IF(DO145=CI145,CK145,IF(DO145=CM145,CO145,IF(DO145=CQ145,CS145,IF(DO145=CU145,CW145,IF(DO145=CY145,DA145,IF(DO145=DC145,DE145,IF(DO145=DG145,DI145,IF(DO145=DK145,DM145,0)))))))))))))</f>
        <v>9.9816199999999995</v>
      </c>
      <c r="DR145">
        <f t="shared" si="99"/>
        <v>0</v>
      </c>
      <c r="DS145">
        <f t="shared" si="100"/>
        <v>0.213038888888889</v>
      </c>
      <c r="DT145">
        <f>IF(DS145=BO145,BP145,IF(DS145=BS145,BT145,IF(DS145=BW145,BX145,IF(DS145=CA145,CB145,IF(DS145=CE145,CF145,IF(DS145=CI145,CJ145,IF(DS145=CM145,CN145,IF(DS145=CQ145,CR145,IF(DS145=CU145,CV145,IF(DS145=CY145,CZ145,IF(DS145=DC145,DD145,IF(DS145=DG145,DH145,IF(DS145=DK145,DL145,IF(DS145=DO145,DP145,0))))))))))))))</f>
        <v>9</v>
      </c>
      <c r="DU145">
        <f>IF(DS145=BO145,BQ145,IF(DS145=BS145,BU145,IF(DS145=BW145,BY145,IF(DS145=CA145,CC145,IF(DS145=CE145,CG145,IF(DS145=CI145,CK145,IF(DS145=CM145,CO145,IF(DS145=CQ145,CS145,IF(DS145=CU145,CW145,IF(DS145=CY145,DA145,IF(DS145=DC145,DE145,IF(DS145=DG145,DI145,IF(DS145=DK145,DM145,IF(DS145=DO145,DQ145,0))))))))))))))</f>
        <v>9.9816199999999995</v>
      </c>
      <c r="DV145">
        <f t="shared" si="101"/>
        <v>0</v>
      </c>
      <c r="DW145">
        <v>22500.5</v>
      </c>
      <c r="DX145">
        <v>3</v>
      </c>
      <c r="DY145">
        <v>0</v>
      </c>
      <c r="DZ145">
        <v>6</v>
      </c>
      <c r="EA145">
        <v>6</v>
      </c>
      <c r="EB145">
        <v>10.114099490560401</v>
      </c>
      <c r="EC145">
        <v>2</v>
      </c>
      <c r="ED145">
        <v>4.1037119999999998</v>
      </c>
      <c r="EE145">
        <v>0.213038888888889</v>
      </c>
      <c r="EF145">
        <v>9.9816199999999995</v>
      </c>
      <c r="EG145">
        <v>8.6986512642766698</v>
      </c>
      <c r="EH145">
        <v>9</v>
      </c>
      <c r="EI145">
        <v>0</v>
      </c>
      <c r="EJ145">
        <v>1.7301474666666701</v>
      </c>
      <c r="EK145">
        <v>1</v>
      </c>
      <c r="EL145">
        <v>0</v>
      </c>
      <c r="EM145">
        <v>38</v>
      </c>
      <c r="EN145">
        <v>1</v>
      </c>
      <c r="EO145">
        <v>2</v>
      </c>
      <c r="EP145">
        <v>5</v>
      </c>
      <c r="EQ145">
        <v>2</v>
      </c>
      <c r="ER145">
        <v>14.1987814663817</v>
      </c>
      <c r="ES145">
        <v>8.2318224372540403</v>
      </c>
      <c r="ET145">
        <v>12.335534437253999</v>
      </c>
      <c r="EU145">
        <v>6.04978525434821</v>
      </c>
      <c r="EV145">
        <v>7.7799327210148697</v>
      </c>
      <c r="EW145">
        <v>1.8311956</v>
      </c>
      <c r="EX145">
        <v>6.4759853446974196</v>
      </c>
      <c r="EY145">
        <v>8.3071809446974196</v>
      </c>
      <c r="EZ145">
        <v>1.7301474666666701</v>
      </c>
      <c r="FA145">
        <v>6.04978525434821</v>
      </c>
      <c r="FB145">
        <v>7.7799327210148697</v>
      </c>
      <c r="FC145">
        <v>3.1775882666666702</v>
      </c>
      <c r="FD145">
        <v>9.9009680807464697</v>
      </c>
      <c r="FE145">
        <v>13.0785563474131</v>
      </c>
      <c r="FF145">
        <v>1.7301474666666701</v>
      </c>
      <c r="FG145">
        <v>6.04978525434821</v>
      </c>
      <c r="FH145">
        <v>7.7799327210148697</v>
      </c>
    </row>
    <row r="146" spans="1:164" x14ac:dyDescent="0.2">
      <c r="A146">
        <v>145</v>
      </c>
      <c r="B146">
        <v>158</v>
      </c>
      <c r="C146">
        <v>261</v>
      </c>
      <c r="D146">
        <v>3</v>
      </c>
      <c r="E146">
        <v>12</v>
      </c>
      <c r="F146" t="s">
        <v>356</v>
      </c>
      <c r="G146" t="s">
        <v>156</v>
      </c>
      <c r="H146">
        <v>3</v>
      </c>
      <c r="I146">
        <v>3</v>
      </c>
      <c r="K146" t="s">
        <v>170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2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1</v>
      </c>
      <c r="AE146">
        <v>4</v>
      </c>
      <c r="AF146">
        <v>2</v>
      </c>
      <c r="AG146">
        <v>3</v>
      </c>
      <c r="AH146">
        <v>6</v>
      </c>
      <c r="AI146">
        <v>0.40377222222222198</v>
      </c>
      <c r="AJ146">
        <v>21.68085</v>
      </c>
      <c r="AK146">
        <v>0.37228611111111098</v>
      </c>
      <c r="AL146">
        <v>11.58466</v>
      </c>
      <c r="AM146">
        <v>0.26991111111111099</v>
      </c>
      <c r="AN146">
        <v>10.12307</v>
      </c>
      <c r="AO146">
        <v>0.255202777777778</v>
      </c>
      <c r="AP146">
        <v>8.6622500000000002</v>
      </c>
      <c r="AQ146">
        <v>0.31812777777777801</v>
      </c>
      <c r="AR146">
        <v>10.73414</v>
      </c>
      <c r="AS146">
        <v>0.31245000000000001</v>
      </c>
      <c r="AT146">
        <v>10.14893</v>
      </c>
      <c r="AU146">
        <v>0.30712499999999998</v>
      </c>
      <c r="AV146">
        <v>12.55533</v>
      </c>
      <c r="AW146">
        <v>0.32870277777777801</v>
      </c>
      <c r="AX146">
        <v>16.930879999999998</v>
      </c>
      <c r="AY146">
        <v>0.33868888888888898</v>
      </c>
      <c r="AZ146">
        <v>18.169609999999999</v>
      </c>
      <c r="BA146">
        <v>0.35203888888888901</v>
      </c>
      <c r="BB146">
        <v>19.490320000000001</v>
      </c>
      <c r="BC146">
        <v>0.41286666666666699</v>
      </c>
      <c r="BD146">
        <v>20.815020000000001</v>
      </c>
      <c r="BE146">
        <v>0.42388611111111102</v>
      </c>
      <c r="BF146">
        <v>27.191980000000001</v>
      </c>
      <c r="BG146">
        <v>0.48776111111111098</v>
      </c>
      <c r="BH146">
        <v>30.594830000000002</v>
      </c>
      <c r="BI146">
        <v>0.53158611111111098</v>
      </c>
      <c r="BJ146">
        <v>32.568750000000001</v>
      </c>
      <c r="BK146">
        <v>0.59972777777777797</v>
      </c>
      <c r="BL146">
        <v>39.384390000000003</v>
      </c>
      <c r="BM146">
        <v>0.64123055555555597</v>
      </c>
      <c r="BN146">
        <v>41.377070000000003</v>
      </c>
      <c r="BO146">
        <f t="shared" si="68"/>
        <v>0.255202777777778</v>
      </c>
      <c r="BP146">
        <v>3</v>
      </c>
      <c r="BQ146">
        <v>8.6622500000000002</v>
      </c>
      <c r="BR146">
        <f t="shared" si="69"/>
        <v>0</v>
      </c>
      <c r="BS146">
        <f t="shared" si="70"/>
        <v>0.255202777777778</v>
      </c>
      <c r="BT146">
        <f t="shared" si="71"/>
        <v>3</v>
      </c>
      <c r="BU146">
        <f t="shared" si="72"/>
        <v>8.6622500000000002</v>
      </c>
      <c r="BV146">
        <f t="shared" si="73"/>
        <v>0</v>
      </c>
      <c r="BW146">
        <f t="shared" si="74"/>
        <v>0.26991111111111099</v>
      </c>
      <c r="BX146">
        <v>2</v>
      </c>
      <c r="BY146">
        <v>10.12307</v>
      </c>
      <c r="BZ146">
        <f t="shared" si="77"/>
        <v>0</v>
      </c>
      <c r="CA146">
        <f t="shared" si="78"/>
        <v>0.255202777777778</v>
      </c>
      <c r="CB146">
        <f>IF(CA146=BO146,BP146,IF(CA146=BS146,BT146,IF(CA146=BW146,BX146,0)))</f>
        <v>3</v>
      </c>
      <c r="CC146">
        <f>IF(CA146=BO146,BQ146,IF(CA146=BS146,BU146,IF(CA146=BW146,BY146,0)))</f>
        <v>8.6622500000000002</v>
      </c>
      <c r="CD146">
        <f t="shared" si="79"/>
        <v>0</v>
      </c>
      <c r="CE146">
        <f t="shared" si="80"/>
        <v>0.255202777777778</v>
      </c>
      <c r="CF146">
        <f>IF(CE146=BO146,BP146,IF(CE146=BS146,BT146,IF(CE146=BW146,BX146,IF(CE146=CA146,CB146,0))))</f>
        <v>3</v>
      </c>
      <c r="CG146">
        <f>IF(CE146=BO146,BQ146,IF(CE146=BS146,BU146,IF(CE146=BW146,BY146,IF(CE146=CA146,CC146,0))))</f>
        <v>8.6622500000000002</v>
      </c>
      <c r="CH146">
        <f t="shared" si="81"/>
        <v>0</v>
      </c>
      <c r="CI146">
        <f t="shared" si="82"/>
        <v>0.255202777777778</v>
      </c>
      <c r="CJ146">
        <f>IF(CI146=BO146,BP146,IF(CI146=BS146,BT146,IF(CI146=BW146,BX146,IF(CI146=CA146,CB146,IF(CI146=CE146,CF146,0)))))</f>
        <v>3</v>
      </c>
      <c r="CK146">
        <f>IF(CI146=BO146,BQ146,IF(CI146=BS146,BU146,IF(CI146=BW146,BY146,IF(CI146=CA146,CC146,IF(CI146=CE146,CG146,0)))))</f>
        <v>8.6622500000000002</v>
      </c>
      <c r="CL146">
        <f t="shared" si="83"/>
        <v>0</v>
      </c>
      <c r="CM146">
        <f t="shared" si="84"/>
        <v>0.255202777777778</v>
      </c>
      <c r="CN146">
        <f>IF(CM146=BO146,BP146,IF(CM146=BS146,BT146,IF(CM146=BW146,BX146,IF(CM146=CA146,CB146,IF(CM146=CE146,CF146,IF(CM146=CI146,CJ146,0))))))</f>
        <v>3</v>
      </c>
      <c r="CO146">
        <f>IF(CM146=BO146,BQ146,IF(CM146=BS146,BU146,IF(CM146=BW146,BY146,IF(CM146=CA146,CC146,IF(CM146=CE146,CG146,IF(CM146=CI146,CK146,0))))))</f>
        <v>8.6622500000000002</v>
      </c>
      <c r="CP146">
        <f t="shared" si="85"/>
        <v>0</v>
      </c>
      <c r="CQ146">
        <f t="shared" si="86"/>
        <v>0.255202777777778</v>
      </c>
      <c r="CR146">
        <f>IF(CQ146=BO146,BP146,IF(CQ146=BS146,BT146,IF(CQ146=BW146,BX146,IF(CQ146=CA146,CB146,IF(CQ146=CE146,CF146,IF(CQ146=CI146,CJ146,IF(CQ146=CM146,CN146,0)))))))</f>
        <v>3</v>
      </c>
      <c r="CS146">
        <f>IF(CQ146=BO146,BQ146,IF(CQ146=BS146,BU146,IF(CQ146=BW146,BY146,IF(CQ146=CA146,CC146,IF(CQ146=CE146,CG146,IF(CQ146=CI146,CK146,IF(CQ146=CM146,CO146,0)))))))</f>
        <v>8.6622500000000002</v>
      </c>
      <c r="CT146">
        <f t="shared" si="87"/>
        <v>0</v>
      </c>
      <c r="CU146">
        <f t="shared" si="88"/>
        <v>0.255202777777778</v>
      </c>
      <c r="CV146">
        <f>IF(CU146=BO146,BP146,IF(CU146=BS146,BT146,IF(CU146=BW146,BX146,IF(CU146=CA146,CB146,IF(CU146=CE146,CF146,IF(CU146=CI146,CJ146,IF(CU146=CM146,CN146,IF(CU146=CQ146,CR146,0))))))))</f>
        <v>3</v>
      </c>
      <c r="CW146">
        <f>IF(CU146=BO146,BQ146,IF(CU146=BS146,BU146,IF(CU146=BW146,BY146,IF(CU146=CA146,CC146,IF(CU146=CE146,CG146,IF(CU146=CI146,CK146,IF(CU146=CM146,CO146,IF(CU146=CQ146,CS146,0))))))))</f>
        <v>8.6622500000000002</v>
      </c>
      <c r="CX146">
        <f t="shared" si="89"/>
        <v>0</v>
      </c>
      <c r="CY146">
        <f t="shared" si="90"/>
        <v>0.255202777777778</v>
      </c>
      <c r="CZ146">
        <f>IF(CY146=BO146,BP146,IF(CY146=BS146,BT146,IF(CY146=BW146,BX146,IF(CY146=CA146,CB146,IF(CY146=CE146,CF146,IF(CY146=CI146,CJ146,IF(CY146=CM146,CN146,IF(CY146=CQ146,CR146,IF(CY146=CU146,CV146,0)))))))))</f>
        <v>3</v>
      </c>
      <c r="DA146">
        <f>IF(CY146=BO146,BQ146,IF(CY146=BS146,BU146,IF(CY146=BW146,BY146,IF(CY146=CA146,CC146,IF(CY146=CE146,CG146,IF(CY146=CI146,CK146,IF(CY146=CM146,CO146,IF(CY146=CQ146,CS146,IF(CY146=CU146,CW146,0)))))))))</f>
        <v>8.6622500000000002</v>
      </c>
      <c r="DB146">
        <f t="shared" si="91"/>
        <v>0</v>
      </c>
      <c r="DC146">
        <f t="shared" si="92"/>
        <v>0.255202777777778</v>
      </c>
      <c r="DD146">
        <f>IF(DC146=BO146,BP146,IF(DC146=BS146,BT146,IF(DC146=BW146,BX146,IF(DC146=CA146,CB146,IF(DC146=CE146,CF146,IF(DC146=CI146,CJ146,IF(DC146=CM146,CN146,IF(DC146=CQ146,CR146,IF(DC146=CU146,CV146,IF(DC146=CY146,CZ146,0))))))))))</f>
        <v>3</v>
      </c>
      <c r="DE146">
        <f>IF(DC146=BO146,BQ146,IF(DC146=BS146,BU146,IF(DC146=BW146,BY146,IF(DC146=CA146,CC146,IF(DC146=CE146,CG146,IF(DC146=CI146,CK146,IF(DC146=CM146,CO146,IF(DC146=CQ146,CS146,IF(DC146=CU146,CW146,IF(DC146=CY146,DA146,0))))))))))</f>
        <v>8.6622500000000002</v>
      </c>
      <c r="DF146">
        <f t="shared" si="93"/>
        <v>0</v>
      </c>
      <c r="DG146">
        <f t="shared" si="94"/>
        <v>0.255202777777778</v>
      </c>
      <c r="DH146">
        <f>IF(DG146=BO146,BP146,IF(DG146=BS146,BT146,IF(DG146=BW146,BX146,IF(DG146=CA146,CB146,IF(DG146=CE146,CF146,IF(DG146=CI146,CJ146,IF(DG146=CM146,CN146,IF(DG146=CQ146,CR146,IF(DG146=CU146,CV146,IF(DG146=CY146,CZ146,IF(DG146=DC146,DD146,0)))))))))))</f>
        <v>3</v>
      </c>
      <c r="DI146">
        <f>IF(DG146=BO146,BQ146,IF(DG146=BS146,BU146,IF(DG146=BW146,BY146,IF(DG146=CA146,CC146,IF(DG146=CE146,CG146,IF(DG146=CI146,CK146,IF(DG146=CM146,CO146,IF(DG146=CQ146,CS146,IF(DG146=CU146,CW146,IF(DG146=CY146,DA146,IF(DG146=DC146,DE146,0)))))))))))</f>
        <v>8.6622500000000002</v>
      </c>
      <c r="DJ146">
        <f t="shared" si="95"/>
        <v>0</v>
      </c>
      <c r="DK146">
        <f t="shared" si="96"/>
        <v>0.255202777777778</v>
      </c>
      <c r="DL146">
        <f>IF(DK146=BO146,BP146,IF(DK146=BS146,BT146,IF(DK146=BW146,BX146,IF(DK146=CA146,CB146,IF(DK146=CE146,CF146,IF(DK146=CI146,CJ146,IF(DK146=CM146,CN146,IF(DK146=CQ146,CR146,IF(DK146=CU146,CV146,IF(DK146=CY146,CZ146,IF(DK146=DC146,DD146,IF(DK146=DG146,DH146,0))))))))))))</f>
        <v>3</v>
      </c>
      <c r="DM146">
        <f>IF(DK146=BO146,BQ146,IF(DK146=BS146,BU146,IF(DK146=BW146,BY146,IF(DK146=CA146,CC146,IF(DK146=CE146,CG146,IF(DK146=CI146,CK146,IF(DK146=CM146,CO146,IF(DK146=CQ146,CS146,IF(DK146=CU146,CW146,IF(DK146=CY146,DA146,IF(DK146=DC146,DE146,IF(DK146=DG146,DI146,0))))))))))))</f>
        <v>8.6622500000000002</v>
      </c>
      <c r="DN146">
        <f t="shared" si="97"/>
        <v>0</v>
      </c>
      <c r="DO146">
        <f t="shared" si="98"/>
        <v>0.255202777777778</v>
      </c>
      <c r="DP146">
        <f>IF(DO146=BO146,BP146,IF(DO146=BS146,BT146,IF(DO146=BW146,BX146,IF(DO146=CA146,CB146,IF(DO146=CE146,CF146,IF(DO146=CI146,CJ146,IF(DO146=CM146,CN146,IF(DO146=CQ146,CR146,IF(DO146=CU146,CV146,IF(DO146=CY146,CZ146,IF(DO146=DC146,DD146,IF(DO146=DG146,DH146,IF(DO146=DK146,DL146,0)))))))))))))</f>
        <v>3</v>
      </c>
      <c r="DQ146">
        <f>IF(DO146=BO146,BQ146,IF(DO146=BS146,BU146,IF(DO146=BW146,BY146,IF(DO146=CA146,CC146,IF(DO146=CE146,CG146,IF(DO146=CI146,CK146,IF(DO146=CM146,CO146,IF(DO146=CQ146,CS146,IF(DO146=CU146,CW146,IF(DO146=CY146,DA146,IF(DO146=DC146,DE146,IF(DO146=DG146,DI146,IF(DO146=DK146,DM146,0)))))))))))))</f>
        <v>8.6622500000000002</v>
      </c>
      <c r="DR146">
        <f t="shared" si="99"/>
        <v>0</v>
      </c>
      <c r="DS146">
        <f t="shared" si="100"/>
        <v>0.255202777777778</v>
      </c>
      <c r="DT146">
        <f>IF(DS146=BO146,BP146,IF(DS146=BS146,BT146,IF(DS146=BW146,BX146,IF(DS146=CA146,CB146,IF(DS146=CE146,CF146,IF(DS146=CI146,CJ146,IF(DS146=CM146,CN146,IF(DS146=CQ146,CR146,IF(DS146=CU146,CV146,IF(DS146=CY146,CZ146,IF(DS146=DC146,DD146,IF(DS146=DG146,DH146,IF(DS146=DK146,DL146,IF(DS146=DO146,DP146,0))))))))))))))</f>
        <v>3</v>
      </c>
      <c r="DU146">
        <f>IF(DS146=BO146,BQ146,IF(DS146=BS146,BU146,IF(DS146=BW146,BY146,IF(DS146=CA146,CC146,IF(DS146=CE146,CG146,IF(DS146=CI146,CK146,IF(DS146=CM146,CO146,IF(DS146=CQ146,CS146,IF(DS146=CU146,CW146,IF(DS146=CY146,DA146,IF(DS146=DC146,DE146,IF(DS146=DG146,DI146,IF(DS146=DK146,DM146,IF(DS146=DO146,DQ146,0))))))))))))))</f>
        <v>8.6622500000000002</v>
      </c>
      <c r="DV146">
        <f t="shared" si="101"/>
        <v>0</v>
      </c>
      <c r="DW146">
        <v>52500.5</v>
      </c>
      <c r="DX146">
        <v>4</v>
      </c>
      <c r="DY146">
        <v>0</v>
      </c>
      <c r="DZ146">
        <v>6</v>
      </c>
      <c r="EA146">
        <v>6</v>
      </c>
      <c r="EB146">
        <v>23.599265807611602</v>
      </c>
      <c r="EC146">
        <v>1.5</v>
      </c>
      <c r="ED146">
        <v>4.3185105000000004</v>
      </c>
      <c r="EE146">
        <v>0.255202777777778</v>
      </c>
      <c r="EF146">
        <v>8.6622500000000002</v>
      </c>
      <c r="EG146">
        <v>21.676099504381099</v>
      </c>
      <c r="EH146">
        <v>3</v>
      </c>
      <c r="EI146">
        <v>0</v>
      </c>
      <c r="EJ146">
        <v>1.1260924999999999</v>
      </c>
      <c r="EK146">
        <v>1</v>
      </c>
      <c r="EL146">
        <v>1</v>
      </c>
      <c r="EM146">
        <v>75</v>
      </c>
      <c r="EN146">
        <v>0</v>
      </c>
      <c r="EO146">
        <v>2</v>
      </c>
      <c r="EP146">
        <v>6</v>
      </c>
      <c r="EQ146">
        <v>2</v>
      </c>
      <c r="ER146">
        <v>14.1987814663817</v>
      </c>
      <c r="ES146">
        <v>11.4661470910573</v>
      </c>
      <c r="ET146">
        <v>15.7846575910573</v>
      </c>
      <c r="EU146">
        <v>7.2471369425604699</v>
      </c>
      <c r="EV146">
        <v>8.3732294425604703</v>
      </c>
      <c r="EW146">
        <v>2.3620492999999998</v>
      </c>
      <c r="EX146">
        <v>9.6179390368499202</v>
      </c>
      <c r="EY146">
        <v>11.9799883368499</v>
      </c>
      <c r="EZ146">
        <v>1.1260924999999999</v>
      </c>
      <c r="FA146">
        <v>7.2471369425604699</v>
      </c>
      <c r="FB146">
        <v>8.3732294425604703</v>
      </c>
      <c r="FC146">
        <v>1.1260924999999999</v>
      </c>
      <c r="FD146">
        <v>7.2471369425604699</v>
      </c>
      <c r="FE146">
        <v>8.3732294425604703</v>
      </c>
      <c r="FF146">
        <v>1.3159991</v>
      </c>
      <c r="FG146">
        <v>7.66481776402986</v>
      </c>
      <c r="FH146">
        <v>8.98081686402986</v>
      </c>
    </row>
  </sheetData>
  <conditionalFormatting sqref="AI2:BN2 BP2">
    <cfRule type="cellIs" dxfId="746" priority="746" operator="equal">
      <formula>$BO$2</formula>
    </cfRule>
  </conditionalFormatting>
  <conditionalFormatting sqref="AI3:BN3 BP3">
    <cfRule type="cellIs" dxfId="745" priority="745" operator="equal">
      <formula>$BO$3</formula>
    </cfRule>
  </conditionalFormatting>
  <conditionalFormatting sqref="BQ2">
    <cfRule type="cellIs" dxfId="744" priority="744" operator="equal">
      <formula>$BO$2</formula>
    </cfRule>
  </conditionalFormatting>
  <conditionalFormatting sqref="BQ3">
    <cfRule type="cellIs" dxfId="743" priority="743" operator="equal">
      <formula>$BO$3</formula>
    </cfRule>
  </conditionalFormatting>
  <conditionalFormatting sqref="AI4:BN4 BP4">
    <cfRule type="cellIs" dxfId="742" priority="742" operator="equal">
      <formula>$BO$4</formula>
    </cfRule>
  </conditionalFormatting>
  <conditionalFormatting sqref="BQ4">
    <cfRule type="cellIs" dxfId="741" priority="741" operator="equal">
      <formula>$BO$4</formula>
    </cfRule>
  </conditionalFormatting>
  <conditionalFormatting sqref="AI5:BN5 BP5">
    <cfRule type="cellIs" dxfId="740" priority="740" operator="equal">
      <formula>$BO$5</formula>
    </cfRule>
  </conditionalFormatting>
  <conditionalFormatting sqref="BQ5">
    <cfRule type="cellIs" dxfId="739" priority="739" operator="equal">
      <formula>$BO$5</formula>
    </cfRule>
  </conditionalFormatting>
  <conditionalFormatting sqref="AI6:BN6 BP6">
    <cfRule type="cellIs" dxfId="738" priority="738" operator="equal">
      <formula>$BO$6</formula>
    </cfRule>
  </conditionalFormatting>
  <conditionalFormatting sqref="BQ6">
    <cfRule type="cellIs" dxfId="737" priority="737" operator="equal">
      <formula>$BO$6</formula>
    </cfRule>
  </conditionalFormatting>
  <conditionalFormatting sqref="AI7:BN7 BP7">
    <cfRule type="cellIs" dxfId="736" priority="736" operator="equal">
      <formula>$BO$7</formula>
    </cfRule>
  </conditionalFormatting>
  <conditionalFormatting sqref="BQ7">
    <cfRule type="cellIs" dxfId="735" priority="735" operator="equal">
      <formula>$BO$7</formula>
    </cfRule>
  </conditionalFormatting>
  <conditionalFormatting sqref="AI8:BN8 BP8">
    <cfRule type="cellIs" dxfId="734" priority="734" operator="equal">
      <formula>$BO$8</formula>
    </cfRule>
  </conditionalFormatting>
  <conditionalFormatting sqref="BQ8">
    <cfRule type="cellIs" dxfId="733" priority="733" operator="equal">
      <formula>$BO$8</formula>
    </cfRule>
  </conditionalFormatting>
  <conditionalFormatting sqref="AI9:BN9 BP9">
    <cfRule type="cellIs" dxfId="732" priority="732" operator="equal">
      <formula>$BO$9</formula>
    </cfRule>
  </conditionalFormatting>
  <conditionalFormatting sqref="AI10:BN10 BP10">
    <cfRule type="cellIs" dxfId="731" priority="731" operator="equal">
      <formula>$BO$10</formula>
    </cfRule>
  </conditionalFormatting>
  <conditionalFormatting sqref="BQ9">
    <cfRule type="cellIs" dxfId="730" priority="730" operator="equal">
      <formula>$BO$9</formula>
    </cfRule>
  </conditionalFormatting>
  <conditionalFormatting sqref="BQ10">
    <cfRule type="cellIs" dxfId="729" priority="729" operator="equal">
      <formula>$BO$10</formula>
    </cfRule>
  </conditionalFormatting>
  <conditionalFormatting sqref="AI11:BN11 BP11">
    <cfRule type="cellIs" dxfId="728" priority="728" operator="equal">
      <formula>$BO$11</formula>
    </cfRule>
  </conditionalFormatting>
  <conditionalFormatting sqref="AI12:BN12 BP12">
    <cfRule type="cellIs" dxfId="727" priority="727" operator="equal">
      <formula>$BO$12</formula>
    </cfRule>
  </conditionalFormatting>
  <conditionalFormatting sqref="AI13:BN13 BP13">
    <cfRule type="cellIs" dxfId="726" priority="726" operator="equal">
      <formula>$BO$13</formula>
    </cfRule>
  </conditionalFormatting>
  <conditionalFormatting sqref="AI14:BN14 BP14">
    <cfRule type="cellIs" dxfId="725" priority="725" operator="equal">
      <formula>$BO$14</formula>
    </cfRule>
  </conditionalFormatting>
  <conditionalFormatting sqref="BQ11">
    <cfRule type="cellIs" dxfId="724" priority="724" operator="equal">
      <formula>$BO$11</formula>
    </cfRule>
  </conditionalFormatting>
  <conditionalFormatting sqref="BQ12">
    <cfRule type="cellIs" dxfId="723" priority="723" operator="equal">
      <formula>$BO$12</formula>
    </cfRule>
  </conditionalFormatting>
  <conditionalFormatting sqref="BQ13">
    <cfRule type="cellIs" dxfId="722" priority="722" operator="equal">
      <formula>$BO$13</formula>
    </cfRule>
  </conditionalFormatting>
  <conditionalFormatting sqref="BQ14">
    <cfRule type="cellIs" dxfId="721" priority="721" operator="equal">
      <formula>$BO$14</formula>
    </cfRule>
  </conditionalFormatting>
  <conditionalFormatting sqref="AI15:BN15 BP15">
    <cfRule type="cellIs" dxfId="720" priority="720" operator="equal">
      <formula>$BO$15</formula>
    </cfRule>
  </conditionalFormatting>
  <conditionalFormatting sqref="AI16:BN16 BP16">
    <cfRule type="cellIs" dxfId="719" priority="719" operator="equal">
      <formula>$BO$16</formula>
    </cfRule>
  </conditionalFormatting>
  <conditionalFormatting sqref="BQ15">
    <cfRule type="cellIs" dxfId="718" priority="718" operator="equal">
      <formula>$BO$15</formula>
    </cfRule>
  </conditionalFormatting>
  <conditionalFormatting sqref="BQ16">
    <cfRule type="cellIs" dxfId="717" priority="717" operator="equal">
      <formula>$BO$16</formula>
    </cfRule>
  </conditionalFormatting>
  <conditionalFormatting sqref="AI17:BN17 BP17">
    <cfRule type="cellIs" dxfId="716" priority="716" operator="equal">
      <formula>$BO$17</formula>
    </cfRule>
  </conditionalFormatting>
  <conditionalFormatting sqref="AI18:BN18 BP18:BP93 BP95:BP103 BP105:BP146">
    <cfRule type="cellIs" dxfId="715" priority="715" operator="equal">
      <formula>$BO$18</formula>
    </cfRule>
  </conditionalFormatting>
  <conditionalFormatting sqref="BQ17">
    <cfRule type="cellIs" dxfId="714" priority="714" operator="equal">
      <formula>$BO$17</formula>
    </cfRule>
  </conditionalFormatting>
  <conditionalFormatting sqref="BQ18">
    <cfRule type="cellIs" dxfId="713" priority="713" operator="equal">
      <formula>$BO$18</formula>
    </cfRule>
  </conditionalFormatting>
  <conditionalFormatting sqref="AI19:BN19">
    <cfRule type="cellIs" dxfId="712" priority="712" operator="equal">
      <formula>$BO$19</formula>
    </cfRule>
  </conditionalFormatting>
  <conditionalFormatting sqref="AI20:BN20">
    <cfRule type="cellIs" dxfId="711" priority="711" operator="equal">
      <formula>$BO$20</formula>
    </cfRule>
  </conditionalFormatting>
  <conditionalFormatting sqref="AI21:BN21">
    <cfRule type="cellIs" dxfId="710" priority="90" operator="equal">
      <formula>$DK$21</formula>
    </cfRule>
    <cfRule type="cellIs" dxfId="709" priority="710" operator="equal">
      <formula>$BO$21</formula>
    </cfRule>
  </conditionalFormatting>
  <conditionalFormatting sqref="BQ19">
    <cfRule type="cellIs" dxfId="708" priority="709" operator="equal">
      <formula>$BO$19</formula>
    </cfRule>
  </conditionalFormatting>
  <conditionalFormatting sqref="BQ20">
    <cfRule type="cellIs" dxfId="707" priority="708" operator="equal">
      <formula>$BO$20</formula>
    </cfRule>
  </conditionalFormatting>
  <conditionalFormatting sqref="AI22:BN22">
    <cfRule type="cellIs" dxfId="706" priority="399" operator="equal">
      <formula>$BW$22</formula>
    </cfRule>
    <cfRule type="cellIs" dxfId="705" priority="707" operator="equal">
      <formula>$BO$22</formula>
    </cfRule>
  </conditionalFormatting>
  <conditionalFormatting sqref="AI23:BN23">
    <cfRule type="cellIs" dxfId="704" priority="299" operator="equal">
      <formula>$CE$23</formula>
    </cfRule>
    <cfRule type="cellIs" dxfId="703" priority="705" operator="equal">
      <formula>$BO$23</formula>
    </cfRule>
    <cfRule type="cellIs" dxfId="702" priority="706" operator="equal">
      <formula>$BO$24</formula>
    </cfRule>
  </conditionalFormatting>
  <conditionalFormatting sqref="BQ22">
    <cfRule type="cellIs" dxfId="701" priority="704" operator="equal">
      <formula>$BO$22</formula>
    </cfRule>
  </conditionalFormatting>
  <conditionalFormatting sqref="BQ23">
    <cfRule type="cellIs" dxfId="700" priority="702" operator="equal">
      <formula>$BO$23</formula>
    </cfRule>
    <cfRule type="cellIs" dxfId="699" priority="703" operator="equal">
      <formula>$BO$24</formula>
    </cfRule>
  </conditionalFormatting>
  <conditionalFormatting sqref="AI24:BN24">
    <cfRule type="cellIs" dxfId="698" priority="396" operator="equal">
      <formula>$BW$24</formula>
    </cfRule>
    <cfRule type="cellIs" dxfId="697" priority="701" operator="equal">
      <formula>$BO$24</formula>
    </cfRule>
  </conditionalFormatting>
  <conditionalFormatting sqref="AI25:BN25">
    <cfRule type="cellIs" dxfId="696" priority="395" operator="equal">
      <formula>$BW$25</formula>
    </cfRule>
    <cfRule type="cellIs" dxfId="695" priority="700" operator="equal">
      <formula>$BO$25</formula>
    </cfRule>
  </conditionalFormatting>
  <conditionalFormatting sqref="AI26:BN26">
    <cfRule type="cellIs" dxfId="694" priority="446" operator="equal">
      <formula>$BS$26</formula>
    </cfRule>
    <cfRule type="cellIs" dxfId="693" priority="699" operator="equal">
      <formula>$BO$26</formula>
    </cfRule>
  </conditionalFormatting>
  <conditionalFormatting sqref="BQ24">
    <cfRule type="cellIs" dxfId="692" priority="698" operator="equal">
      <formula>$BO$24</formula>
    </cfRule>
  </conditionalFormatting>
  <conditionalFormatting sqref="BQ25">
    <cfRule type="cellIs" dxfId="691" priority="697" operator="equal">
      <formula>$BO$25</formula>
    </cfRule>
  </conditionalFormatting>
  <conditionalFormatting sqref="BQ26">
    <cfRule type="cellIs" dxfId="690" priority="696" operator="equal">
      <formula>$BO$26</formula>
    </cfRule>
  </conditionalFormatting>
  <conditionalFormatting sqref="AI27:BN27">
    <cfRule type="cellIs" dxfId="689" priority="443" operator="equal">
      <formula>$BS$27</formula>
    </cfRule>
    <cfRule type="cellIs" dxfId="688" priority="695" operator="equal">
      <formula>$BO$27</formula>
    </cfRule>
  </conditionalFormatting>
  <conditionalFormatting sqref="BQ27">
    <cfRule type="cellIs" dxfId="687" priority="694" operator="equal">
      <formula>$BO$27</formula>
    </cfRule>
  </conditionalFormatting>
  <conditionalFormatting sqref="AI28:BN28">
    <cfRule type="cellIs" dxfId="686" priority="390" operator="equal">
      <formula>$BW$28</formula>
    </cfRule>
    <cfRule type="cellIs" dxfId="685" priority="693" operator="equal">
      <formula>$BO$28</formula>
    </cfRule>
  </conditionalFormatting>
  <conditionalFormatting sqref="AI29:BN29">
    <cfRule type="cellIs" dxfId="684" priority="195" operator="equal">
      <formula>$CU$29</formula>
    </cfRule>
    <cfRule type="cellIs" dxfId="683" priority="692" operator="equal">
      <formula>$BO$29</formula>
    </cfRule>
  </conditionalFormatting>
  <conditionalFormatting sqref="BQ28">
    <cfRule type="cellIs" dxfId="682" priority="691" operator="equal">
      <formula>$BO$28</formula>
    </cfRule>
  </conditionalFormatting>
  <conditionalFormatting sqref="BQ29">
    <cfRule type="cellIs" dxfId="681" priority="690" operator="equal">
      <formula>$BO$29</formula>
    </cfRule>
  </conditionalFormatting>
  <conditionalFormatting sqref="AI30:BN30">
    <cfRule type="cellIs" dxfId="680" priority="141" operator="equal">
      <formula>$CY$30</formula>
    </cfRule>
    <cfRule type="cellIs" dxfId="679" priority="689" operator="equal">
      <formula>$BO$30</formula>
    </cfRule>
  </conditionalFormatting>
  <conditionalFormatting sqref="AI31:BN31">
    <cfRule type="cellIs" dxfId="678" priority="282" operator="equal">
      <formula>$CI$31</formula>
    </cfRule>
    <cfRule type="cellIs" dxfId="677" priority="688" operator="equal">
      <formula>$BO$31</formula>
    </cfRule>
  </conditionalFormatting>
  <conditionalFormatting sqref="BQ30">
    <cfRule type="cellIs" dxfId="676" priority="687" operator="equal">
      <formula>$BO$30</formula>
    </cfRule>
  </conditionalFormatting>
  <conditionalFormatting sqref="BQ31">
    <cfRule type="cellIs" dxfId="675" priority="686" operator="equal">
      <formula>$BO$31</formula>
    </cfRule>
  </conditionalFormatting>
  <conditionalFormatting sqref="AI32:BN32">
    <cfRule type="cellIs" dxfId="674" priority="251" operator="equal">
      <formula>$CM$32</formula>
    </cfRule>
    <cfRule type="cellIs" dxfId="673" priority="685" operator="equal">
      <formula>$BO$32</formula>
    </cfRule>
  </conditionalFormatting>
  <conditionalFormatting sqref="AI33:BN33">
    <cfRule type="cellIs" dxfId="672" priority="250" operator="equal">
      <formula>$CM$33</formula>
    </cfRule>
    <cfRule type="cellIs" dxfId="671" priority="684" operator="equal">
      <formula>$BO$33</formula>
    </cfRule>
  </conditionalFormatting>
  <conditionalFormatting sqref="AI34:BN34">
    <cfRule type="cellIs" dxfId="670" priority="249" operator="equal">
      <formula>$CM$34</formula>
    </cfRule>
    <cfRule type="cellIs" dxfId="669" priority="683" operator="equal">
      <formula>$BO$34</formula>
    </cfRule>
  </conditionalFormatting>
  <conditionalFormatting sqref="AI35:BN35">
    <cfRule type="cellIs" dxfId="668" priority="228" operator="equal">
      <formula>$CQ$35</formula>
    </cfRule>
    <cfRule type="cellIs" dxfId="667" priority="682" operator="equal">
      <formula>$BO$35</formula>
    </cfRule>
  </conditionalFormatting>
  <conditionalFormatting sqref="BQ32">
    <cfRule type="cellIs" dxfId="666" priority="681" operator="equal">
      <formula>$BO$32</formula>
    </cfRule>
  </conditionalFormatting>
  <conditionalFormatting sqref="BQ33">
    <cfRule type="cellIs" dxfId="665" priority="680" operator="equal">
      <formula>$BO$33</formula>
    </cfRule>
  </conditionalFormatting>
  <conditionalFormatting sqref="BQ34">
    <cfRule type="cellIs" dxfId="664" priority="679" operator="equal">
      <formula>$BO$34</formula>
    </cfRule>
  </conditionalFormatting>
  <conditionalFormatting sqref="BQ35">
    <cfRule type="cellIs" dxfId="663" priority="678" operator="equal">
      <formula>$BO$35</formula>
    </cfRule>
  </conditionalFormatting>
  <conditionalFormatting sqref="AI36:BN36">
    <cfRule type="cellIs" dxfId="662" priority="461" operator="equal">
      <formula>$BS$36</formula>
    </cfRule>
    <cfRule type="cellIs" dxfId="661" priority="677" operator="equal">
      <formula>$BO$36</formula>
    </cfRule>
  </conditionalFormatting>
  <conditionalFormatting sqref="AI37:BN37">
    <cfRule type="cellIs" dxfId="660" priority="225" operator="equal">
      <formula>$CQ$37</formula>
    </cfRule>
    <cfRule type="cellIs" dxfId="659" priority="676" operator="equal">
      <formula>$BO$37</formula>
    </cfRule>
  </conditionalFormatting>
  <conditionalFormatting sqref="BQ36">
    <cfRule type="cellIs" dxfId="658" priority="675" operator="equal">
      <formula>$BO$36</formula>
    </cfRule>
  </conditionalFormatting>
  <conditionalFormatting sqref="BQ37">
    <cfRule type="cellIs" dxfId="657" priority="674" operator="equal">
      <formula>$BO$37</formula>
    </cfRule>
  </conditionalFormatting>
  <conditionalFormatting sqref="AI38:BN38">
    <cfRule type="cellIs" dxfId="656" priority="192" operator="equal">
      <formula>$CU$38</formula>
    </cfRule>
    <cfRule type="cellIs" dxfId="655" priority="673" operator="equal">
      <formula>$BO$38</formula>
    </cfRule>
  </conditionalFormatting>
  <conditionalFormatting sqref="AI39:BN39">
    <cfRule type="cellIs" dxfId="654" priority="191" operator="equal">
      <formula>$CU$39</formula>
    </cfRule>
    <cfRule type="cellIs" dxfId="653" priority="672" operator="equal">
      <formula>$BO$39</formula>
    </cfRule>
  </conditionalFormatting>
  <conditionalFormatting sqref="AI40:BN40">
    <cfRule type="cellIs" dxfId="652" priority="279" operator="equal">
      <formula>$CI$40</formula>
    </cfRule>
    <cfRule type="cellIs" dxfId="651" priority="671" operator="equal">
      <formula>$BO$40</formula>
    </cfRule>
  </conditionalFormatting>
  <conditionalFormatting sqref="BQ38">
    <cfRule type="cellIs" dxfId="650" priority="670" operator="equal">
      <formula>$BO$38</formula>
    </cfRule>
  </conditionalFormatting>
  <conditionalFormatting sqref="BQ39">
    <cfRule type="cellIs" dxfId="649" priority="669" operator="equal">
      <formula>$BO$39</formula>
    </cfRule>
  </conditionalFormatting>
  <conditionalFormatting sqref="BQ40">
    <cfRule type="cellIs" dxfId="648" priority="668" operator="equal">
      <formula>$BO$40</formula>
    </cfRule>
  </conditionalFormatting>
  <conditionalFormatting sqref="AI41:BN41">
    <cfRule type="cellIs" dxfId="647" priority="138" operator="equal">
      <formula>$CY$41</formula>
    </cfRule>
    <cfRule type="cellIs" dxfId="646" priority="667" operator="equal">
      <formula>$BO$41</formula>
    </cfRule>
  </conditionalFormatting>
  <conditionalFormatting sqref="AI42:BN42">
    <cfRule type="cellIs" dxfId="645" priority="295" operator="equal">
      <formula>$CE$42</formula>
    </cfRule>
    <cfRule type="cellIs" dxfId="644" priority="666" operator="equal">
      <formula>$BO$42</formula>
    </cfRule>
  </conditionalFormatting>
  <conditionalFormatting sqref="BQ41">
    <cfRule type="cellIs" dxfId="643" priority="665" operator="equal">
      <formula>$BO$41</formula>
    </cfRule>
  </conditionalFormatting>
  <conditionalFormatting sqref="AI43:BN43">
    <cfRule type="cellIs" dxfId="642" priority="664" operator="equal">
      <formula>$BO$43</formula>
    </cfRule>
  </conditionalFormatting>
  <conditionalFormatting sqref="AI44:BN44">
    <cfRule type="cellIs" dxfId="641" priority="663" operator="equal">
      <formula>$BO$44</formula>
    </cfRule>
  </conditionalFormatting>
  <conditionalFormatting sqref="AI45:BN45">
    <cfRule type="cellIs" dxfId="640" priority="662" operator="equal">
      <formula>$BO$45</formula>
    </cfRule>
  </conditionalFormatting>
  <conditionalFormatting sqref="AI46:BN46">
    <cfRule type="cellIs" dxfId="639" priority="661" operator="equal">
      <formula>$BO$46</formula>
    </cfRule>
  </conditionalFormatting>
  <conditionalFormatting sqref="AI47:BN47">
    <cfRule type="cellIs" dxfId="638" priority="660" operator="equal">
      <formula>$BO$47</formula>
    </cfRule>
  </conditionalFormatting>
  <conditionalFormatting sqref="AI48:BN48">
    <cfRule type="cellIs" dxfId="637" priority="440" operator="equal">
      <formula>$BS$48</formula>
    </cfRule>
    <cfRule type="cellIs" dxfId="636" priority="659" operator="equal">
      <formula>$BO$48</formula>
    </cfRule>
  </conditionalFormatting>
  <conditionalFormatting sqref="BQ42">
    <cfRule type="cellIs" dxfId="635" priority="658" operator="equal">
      <formula>$BO$42</formula>
    </cfRule>
  </conditionalFormatting>
  <conditionalFormatting sqref="BQ43">
    <cfRule type="cellIs" dxfId="634" priority="657" operator="equal">
      <formula>$BO$43</formula>
    </cfRule>
  </conditionalFormatting>
  <conditionalFormatting sqref="BQ44">
    <cfRule type="cellIs" dxfId="633" priority="656" operator="equal">
      <formula>$BO$44</formula>
    </cfRule>
  </conditionalFormatting>
  <conditionalFormatting sqref="BQ45">
    <cfRule type="cellIs" dxfId="632" priority="655" operator="equal">
      <formula>$BO$45</formula>
    </cfRule>
  </conditionalFormatting>
  <conditionalFormatting sqref="BQ46">
    <cfRule type="cellIs" dxfId="631" priority="654" operator="equal">
      <formula>$BO$46</formula>
    </cfRule>
  </conditionalFormatting>
  <conditionalFormatting sqref="BQ47">
    <cfRule type="cellIs" dxfId="630" priority="653" operator="equal">
      <formula>$BO$47</formula>
    </cfRule>
  </conditionalFormatting>
  <conditionalFormatting sqref="BQ48">
    <cfRule type="cellIs" dxfId="629" priority="652" operator="equal">
      <formula>$BO$48</formula>
    </cfRule>
  </conditionalFormatting>
  <conditionalFormatting sqref="AI49:BN49">
    <cfRule type="cellIs" dxfId="628" priority="436" operator="equal">
      <formula>$BS$49</formula>
    </cfRule>
    <cfRule type="cellIs" dxfId="627" priority="437" operator="equal">
      <formula>$BS$49</formula>
    </cfRule>
    <cfRule type="cellIs" dxfId="626" priority="651" operator="equal">
      <formula>$BO$49</formula>
    </cfRule>
  </conditionalFormatting>
  <conditionalFormatting sqref="AI50:BN50">
    <cfRule type="cellIs" dxfId="625" priority="186" operator="equal">
      <formula>$CU$50</formula>
    </cfRule>
    <cfRule type="cellIs" dxfId="624" priority="650" operator="equal">
      <formula>$BO$50</formula>
    </cfRule>
  </conditionalFormatting>
  <conditionalFormatting sqref="BQ49">
    <cfRule type="cellIs" dxfId="623" priority="649" operator="equal">
      <formula>$BO$49</formula>
    </cfRule>
  </conditionalFormatting>
  <conditionalFormatting sqref="BQ50">
    <cfRule type="cellIs" dxfId="622" priority="648" operator="equal">
      <formula>$BO$50</formula>
    </cfRule>
  </conditionalFormatting>
  <conditionalFormatting sqref="AI51:BN51">
    <cfRule type="cellIs" dxfId="621" priority="432" operator="equal">
      <formula>$BS$51</formula>
    </cfRule>
    <cfRule type="cellIs" dxfId="620" priority="647" operator="equal">
      <formula>$BO$51</formula>
    </cfRule>
  </conditionalFormatting>
  <conditionalFormatting sqref="AI52:BN52">
    <cfRule type="cellIs" dxfId="619" priority="646" operator="equal">
      <formula>$BO$52</formula>
    </cfRule>
  </conditionalFormatting>
  <conditionalFormatting sqref="BQ51">
    <cfRule type="cellIs" dxfId="618" priority="645" operator="equal">
      <formula>$BO$51</formula>
    </cfRule>
  </conditionalFormatting>
  <conditionalFormatting sqref="BQ52">
    <cfRule type="cellIs" dxfId="617" priority="644" operator="equal">
      <formula>$BO$52</formula>
    </cfRule>
  </conditionalFormatting>
  <conditionalFormatting sqref="AI53:BN53">
    <cfRule type="cellIs" dxfId="616" priority="643" operator="equal">
      <formula>$BO$53</formula>
    </cfRule>
  </conditionalFormatting>
  <conditionalFormatting sqref="AI54:BN54">
    <cfRule type="cellIs" dxfId="615" priority="642" operator="equal">
      <formula>$BO$54</formula>
    </cfRule>
  </conditionalFormatting>
  <conditionalFormatting sqref="AI55:BN55">
    <cfRule type="cellIs" dxfId="614" priority="387" operator="equal">
      <formula>$BW$55</formula>
    </cfRule>
    <cfRule type="cellIs" dxfId="613" priority="641" operator="equal">
      <formula>$BO$55</formula>
    </cfRule>
  </conditionalFormatting>
  <conditionalFormatting sqref="BQ53">
    <cfRule type="cellIs" dxfId="612" priority="640" operator="equal">
      <formula>$BO$53</formula>
    </cfRule>
  </conditionalFormatting>
  <conditionalFormatting sqref="BQ54">
    <cfRule type="cellIs" dxfId="611" priority="639" operator="equal">
      <formula>$BO$54</formula>
    </cfRule>
  </conditionalFormatting>
  <conditionalFormatting sqref="BQ55">
    <cfRule type="cellIs" dxfId="610" priority="638" operator="equal">
      <formula>$BO$55</formula>
    </cfRule>
  </conditionalFormatting>
  <conditionalFormatting sqref="AI56:BN56">
    <cfRule type="cellIs" dxfId="609" priority="386" operator="equal">
      <formula>$BW$56</formula>
    </cfRule>
    <cfRule type="cellIs" dxfId="608" priority="637" operator="equal">
      <formula>$BO$56</formula>
    </cfRule>
  </conditionalFormatting>
  <conditionalFormatting sqref="AI57:BN57">
    <cfRule type="cellIs" dxfId="607" priority="385" operator="equal">
      <formula>$BW$57</formula>
    </cfRule>
    <cfRule type="cellIs" dxfId="606" priority="636" operator="equal">
      <formula>$BO$57</formula>
    </cfRule>
  </conditionalFormatting>
  <conditionalFormatting sqref="AI58:BN58">
    <cfRule type="cellIs" dxfId="605" priority="635" operator="equal">
      <formula>$BO$58</formula>
    </cfRule>
  </conditionalFormatting>
  <conditionalFormatting sqref="BQ56">
    <cfRule type="cellIs" dxfId="604" priority="634" operator="equal">
      <formula>$BO$56</formula>
    </cfRule>
  </conditionalFormatting>
  <conditionalFormatting sqref="BQ57">
    <cfRule type="cellIs" dxfId="603" priority="633" operator="equal">
      <formula>$BO$57</formula>
    </cfRule>
  </conditionalFormatting>
  <conditionalFormatting sqref="BQ58">
    <cfRule type="cellIs" dxfId="602" priority="632" operator="equal">
      <formula>$BO$58</formula>
    </cfRule>
  </conditionalFormatting>
  <conditionalFormatting sqref="AI59:BN59">
    <cfRule type="cellIs" dxfId="601" priority="631" operator="equal">
      <formula>$BO$59</formula>
    </cfRule>
  </conditionalFormatting>
  <conditionalFormatting sqref="AI60:BN60">
    <cfRule type="cellIs" dxfId="600" priority="377" operator="equal">
      <formula>$BW$60</formula>
    </cfRule>
    <cfRule type="cellIs" dxfId="599" priority="378" operator="equal">
      <formula>$BW$60</formula>
    </cfRule>
    <cfRule type="cellIs" dxfId="598" priority="630" operator="equal">
      <formula>$BO$60</formula>
    </cfRule>
  </conditionalFormatting>
  <conditionalFormatting sqref="BQ59">
    <cfRule type="cellIs" dxfId="597" priority="629" operator="equal">
      <formula>$BO$59</formula>
    </cfRule>
  </conditionalFormatting>
  <conditionalFormatting sqref="BQ60">
    <cfRule type="cellIs" dxfId="596" priority="628" operator="equal">
      <formula>$BO$60</formula>
    </cfRule>
  </conditionalFormatting>
  <conditionalFormatting sqref="AI61:BN61">
    <cfRule type="cellIs" dxfId="595" priority="376" operator="equal">
      <formula>$BW$61</formula>
    </cfRule>
    <cfRule type="cellIs" dxfId="594" priority="627" operator="equal">
      <formula>$BO$61</formula>
    </cfRule>
  </conditionalFormatting>
  <conditionalFormatting sqref="AI62:BN62">
    <cfRule type="cellIs" dxfId="593" priority="183" operator="equal">
      <formula>$CU$62</formula>
    </cfRule>
    <cfRule type="cellIs" dxfId="592" priority="626" operator="equal">
      <formula>$BO$62</formula>
    </cfRule>
  </conditionalFormatting>
  <conditionalFormatting sqref="BQ61">
    <cfRule type="cellIs" dxfId="591" priority="625" operator="equal">
      <formula>$BO$61</formula>
    </cfRule>
  </conditionalFormatting>
  <conditionalFormatting sqref="BQ62">
    <cfRule type="cellIs" dxfId="590" priority="624" operator="equal">
      <formula>$BO$62</formula>
    </cfRule>
  </conditionalFormatting>
  <conditionalFormatting sqref="AI63:BN63">
    <cfRule type="cellIs" dxfId="589" priority="84" operator="equal">
      <formula>$DS$63</formula>
    </cfRule>
    <cfRule type="cellIs" dxfId="588" priority="623" operator="equal">
      <formula>$BO$63</formula>
    </cfRule>
  </conditionalFormatting>
  <conditionalFormatting sqref="AI64:BN64">
    <cfRule type="cellIs" dxfId="587" priority="370" operator="equal">
      <formula>$BW$64</formula>
    </cfRule>
    <cfRule type="cellIs" dxfId="586" priority="622" operator="equal">
      <formula>$BO$64</formula>
    </cfRule>
  </conditionalFormatting>
  <conditionalFormatting sqref="BQ63">
    <cfRule type="cellIs" dxfId="585" priority="621" operator="equal">
      <formula>$BO$63</formula>
    </cfRule>
  </conditionalFormatting>
  <conditionalFormatting sqref="BQ64">
    <cfRule type="cellIs" dxfId="584" priority="620" operator="equal">
      <formula>$BO$64</formula>
    </cfRule>
  </conditionalFormatting>
  <conditionalFormatting sqref="AI65:BN65">
    <cfRule type="cellIs" dxfId="583" priority="369" operator="equal">
      <formula>$BW$65</formula>
    </cfRule>
    <cfRule type="cellIs" dxfId="582" priority="619" operator="equal">
      <formula>$BO$65</formula>
    </cfRule>
  </conditionalFormatting>
  <conditionalFormatting sqref="AI66:BN66">
    <cfRule type="cellIs" dxfId="581" priority="618" operator="equal">
      <formula>$BO$66</formula>
    </cfRule>
  </conditionalFormatting>
  <conditionalFormatting sqref="BQ65">
    <cfRule type="cellIs" dxfId="580" priority="617" operator="equal">
      <formula>$BO$65</formula>
    </cfRule>
  </conditionalFormatting>
  <conditionalFormatting sqref="BQ66">
    <cfRule type="cellIs" dxfId="579" priority="616" operator="equal">
      <formula>$BO$66</formula>
    </cfRule>
  </conditionalFormatting>
  <conditionalFormatting sqref="AI67:BN67">
    <cfRule type="cellIs" dxfId="578" priority="615" operator="equal">
      <formula>$BO$67</formula>
    </cfRule>
  </conditionalFormatting>
  <conditionalFormatting sqref="AI68:BN68">
    <cfRule type="cellIs" dxfId="577" priority="364" operator="equal">
      <formula>$BW$68</formula>
    </cfRule>
    <cfRule type="cellIs" dxfId="576" priority="614" operator="equal">
      <formula>$BO$68</formula>
    </cfRule>
  </conditionalFormatting>
  <conditionalFormatting sqref="BQ67">
    <cfRule type="cellIs" dxfId="575" priority="613" operator="equal">
      <formula>$BO$67</formula>
    </cfRule>
  </conditionalFormatting>
  <conditionalFormatting sqref="BQ68">
    <cfRule type="cellIs" dxfId="573" priority="612" operator="equal">
      <formula>$BO$68</formula>
    </cfRule>
  </conditionalFormatting>
  <conditionalFormatting sqref="AI69:BN69">
    <cfRule type="cellIs" dxfId="572" priority="361" operator="equal">
      <formula>$BW$69</formula>
    </cfRule>
    <cfRule type="cellIs" dxfId="571" priority="611" operator="equal">
      <formula>$BO$69</formula>
    </cfRule>
  </conditionalFormatting>
  <conditionalFormatting sqref="AI70:BN70">
    <cfRule type="cellIs" dxfId="570" priority="360" operator="equal">
      <formula>$BW$70</formula>
    </cfRule>
    <cfRule type="cellIs" dxfId="569" priority="610" operator="equal">
      <formula>$BO$70</formula>
    </cfRule>
  </conditionalFormatting>
  <conditionalFormatting sqref="AI71:BN71">
    <cfRule type="cellIs" dxfId="568" priority="176" operator="equal">
      <formula>$CU$71</formula>
    </cfRule>
    <cfRule type="cellIs" dxfId="567" priority="609" operator="equal">
      <formula>$BO$71</formula>
    </cfRule>
  </conditionalFormatting>
  <conditionalFormatting sqref="BQ69">
    <cfRule type="cellIs" dxfId="566" priority="608" operator="equal">
      <formula>$BO$68</formula>
    </cfRule>
  </conditionalFormatting>
  <conditionalFormatting sqref="BQ70">
    <cfRule type="cellIs" dxfId="565" priority="607" operator="equal">
      <formula>$BO$69</formula>
    </cfRule>
  </conditionalFormatting>
  <conditionalFormatting sqref="BQ71">
    <cfRule type="cellIs" dxfId="564" priority="606" operator="equal">
      <formula>$BO$70</formula>
    </cfRule>
  </conditionalFormatting>
  <conditionalFormatting sqref="BQ72">
    <cfRule type="cellIs" dxfId="563" priority="605" operator="equal">
      <formula>$BO$71</formula>
    </cfRule>
  </conditionalFormatting>
  <conditionalFormatting sqref="AI73:BN73">
    <cfRule type="cellIs" dxfId="562" priority="429" operator="equal">
      <formula>$BS$73</formula>
    </cfRule>
    <cfRule type="cellIs" dxfId="561" priority="604" operator="equal">
      <formula>$BO$73</formula>
    </cfRule>
  </conditionalFormatting>
  <conditionalFormatting sqref="AI74:BN74">
    <cfRule type="cellIs" dxfId="560" priority="276" operator="equal">
      <formula>$CI$74</formula>
    </cfRule>
    <cfRule type="cellIs" dxfId="559" priority="603" operator="equal">
      <formula>$BO$74</formula>
    </cfRule>
  </conditionalFormatting>
  <conditionalFormatting sqref="BQ73">
    <cfRule type="cellIs" dxfId="558" priority="602" operator="equal">
      <formula>$BO$73</formula>
    </cfRule>
  </conditionalFormatting>
  <conditionalFormatting sqref="BQ74">
    <cfRule type="cellIs" dxfId="557" priority="601" operator="equal">
      <formula>$BO$74</formula>
    </cfRule>
  </conditionalFormatting>
  <conditionalFormatting sqref="AI75:BN75">
    <cfRule type="cellIs" dxfId="556" priority="173" operator="equal">
      <formula>$CU$75</formula>
    </cfRule>
    <cfRule type="cellIs" dxfId="555" priority="600" operator="equal">
      <formula>$BO$75</formula>
    </cfRule>
  </conditionalFormatting>
  <conditionalFormatting sqref="AI76:BN76">
    <cfRule type="cellIs" dxfId="554" priority="599" operator="equal">
      <formula>$BO$76</formula>
    </cfRule>
  </conditionalFormatting>
  <conditionalFormatting sqref="BQ75">
    <cfRule type="cellIs" dxfId="553" priority="598" operator="equal">
      <formula>$BO$75</formula>
    </cfRule>
  </conditionalFormatting>
  <conditionalFormatting sqref="BQ76">
    <cfRule type="cellIs" dxfId="552" priority="597" operator="equal">
      <formula>$BO$76</formula>
    </cfRule>
  </conditionalFormatting>
  <conditionalFormatting sqref="AI77:BN77">
    <cfRule type="cellIs" dxfId="551" priority="596" operator="equal">
      <formula>$BO$77</formula>
    </cfRule>
  </conditionalFormatting>
  <conditionalFormatting sqref="AI78:BN78">
    <cfRule type="cellIs" dxfId="550" priority="595" operator="equal">
      <formula>$BO$78</formula>
    </cfRule>
  </conditionalFormatting>
  <conditionalFormatting sqref="AI79:BN79">
    <cfRule type="cellIs" dxfId="549" priority="353" operator="equal">
      <formula>$BW$79</formula>
    </cfRule>
    <cfRule type="cellIs" dxfId="548" priority="594" operator="equal">
      <formula>$BO$79</formula>
    </cfRule>
  </conditionalFormatting>
  <conditionalFormatting sqref="BQ77">
    <cfRule type="cellIs" dxfId="547" priority="593" operator="equal">
      <formula>$BO$77</formula>
    </cfRule>
  </conditionalFormatting>
  <conditionalFormatting sqref="BQ78">
    <cfRule type="cellIs" dxfId="546" priority="592" operator="equal">
      <formula>$BO$78</formula>
    </cfRule>
  </conditionalFormatting>
  <conditionalFormatting sqref="AI80:BN80">
    <cfRule type="cellIs" dxfId="545" priority="217" operator="equal">
      <formula>$CQ$80</formula>
    </cfRule>
    <cfRule type="cellIs" dxfId="544" priority="591" operator="equal">
      <formula>$BO$80</formula>
    </cfRule>
  </conditionalFormatting>
  <conditionalFormatting sqref="AI81:BN81">
    <cfRule type="cellIs" dxfId="543" priority="170" operator="equal">
      <formula>$CU$81</formula>
    </cfRule>
    <cfRule type="cellIs" dxfId="542" priority="590" operator="equal">
      <formula>$BO$81</formula>
    </cfRule>
  </conditionalFormatting>
  <conditionalFormatting sqref="BQ80">
    <cfRule type="cellIs" dxfId="541" priority="589" operator="equal">
      <formula>$BO$80</formula>
    </cfRule>
  </conditionalFormatting>
  <conditionalFormatting sqref="AI82:BN82">
    <cfRule type="cellIs" dxfId="540" priority="350" operator="equal">
      <formula>$BW$82</formula>
    </cfRule>
    <cfRule type="cellIs" dxfId="539" priority="588" operator="equal">
      <formula>$BO$82</formula>
    </cfRule>
  </conditionalFormatting>
  <conditionalFormatting sqref="AI83:BN83">
    <cfRule type="cellIs" dxfId="538" priority="426" operator="equal">
      <formula>$BS$83</formula>
    </cfRule>
    <cfRule type="cellIs" dxfId="537" priority="587" operator="equal">
      <formula>$BO$83</formula>
    </cfRule>
  </conditionalFormatting>
  <conditionalFormatting sqref="BQ82">
    <cfRule type="cellIs" dxfId="536" priority="586" operator="equal">
      <formula>$BO$82</formula>
    </cfRule>
  </conditionalFormatting>
  <conditionalFormatting sqref="BQ83">
    <cfRule type="cellIs" dxfId="535" priority="585" operator="equal">
      <formula>$BO$83</formula>
    </cfRule>
  </conditionalFormatting>
  <conditionalFormatting sqref="AI84:BN84">
    <cfRule type="cellIs" dxfId="534" priority="347" operator="equal">
      <formula>$BW$84</formula>
    </cfRule>
    <cfRule type="cellIs" dxfId="533" priority="584" operator="equal">
      <formula>$BO$84</formula>
    </cfRule>
  </conditionalFormatting>
  <conditionalFormatting sqref="AI85:BN85">
    <cfRule type="cellIs" dxfId="532" priority="346" operator="equal">
      <formula>$BW$85</formula>
    </cfRule>
    <cfRule type="cellIs" dxfId="531" priority="583" operator="equal">
      <formula>$BO$85</formula>
    </cfRule>
  </conditionalFormatting>
  <conditionalFormatting sqref="AI86:BN86">
    <cfRule type="cellIs" dxfId="530" priority="114" operator="equal">
      <formula>$DC$86</formula>
    </cfRule>
    <cfRule type="cellIs" dxfId="529" priority="582" operator="equal">
      <formula>$BO$86</formula>
    </cfRule>
  </conditionalFormatting>
  <conditionalFormatting sqref="BQ84">
    <cfRule type="cellIs" dxfId="528" priority="581" operator="equal">
      <formula>$BO$84</formula>
    </cfRule>
  </conditionalFormatting>
  <conditionalFormatting sqref="BQ85">
    <cfRule type="cellIs" dxfId="527" priority="580" operator="equal">
      <formula>$BO$85</formula>
    </cfRule>
  </conditionalFormatting>
  <conditionalFormatting sqref="BQ86">
    <cfRule type="cellIs" dxfId="526" priority="579" operator="equal">
      <formula>$BO$86</formula>
    </cfRule>
  </conditionalFormatting>
  <conditionalFormatting sqref="AI87:BN87">
    <cfRule type="cellIs" dxfId="525" priority="113" operator="equal">
      <formula>$DC$87</formula>
    </cfRule>
    <cfRule type="cellIs" dxfId="524" priority="578" operator="equal">
      <formula>$BO$87</formula>
    </cfRule>
  </conditionalFormatting>
  <conditionalFormatting sqref="AI88:BN88">
    <cfRule type="cellIs" dxfId="523" priority="335" operator="equal">
      <formula>$BW$88</formula>
    </cfRule>
    <cfRule type="cellIs" dxfId="522" priority="341" operator="equal">
      <formula>$BW$88</formula>
    </cfRule>
    <cfRule type="cellIs" dxfId="521" priority="577" operator="equal">
      <formula>$BO$88</formula>
    </cfRule>
  </conditionalFormatting>
  <conditionalFormatting sqref="BQ87">
    <cfRule type="cellIs" dxfId="520" priority="576" operator="equal">
      <formula>$BO$87</formula>
    </cfRule>
  </conditionalFormatting>
  <conditionalFormatting sqref="BQ88">
    <cfRule type="cellIs" dxfId="519" priority="575" operator="equal">
      <formula>$BO$88</formula>
    </cfRule>
  </conditionalFormatting>
  <conditionalFormatting sqref="AI89:BN89">
    <cfRule type="cellIs" dxfId="518" priority="273" operator="equal">
      <formula>$CI$89</formula>
    </cfRule>
    <cfRule type="cellIs" dxfId="517" priority="574" operator="equal">
      <formula>$BO$89</formula>
    </cfRule>
  </conditionalFormatting>
  <conditionalFormatting sqref="AI90:BN90">
    <cfRule type="cellIs" dxfId="516" priority="573" operator="equal">
      <formula>$BO$90</formula>
    </cfRule>
  </conditionalFormatting>
  <conditionalFormatting sqref="BQ89">
    <cfRule type="cellIs" dxfId="515" priority="572" operator="equal">
      <formula>$BO$89</formula>
    </cfRule>
  </conditionalFormatting>
  <conditionalFormatting sqref="BQ90">
    <cfRule type="cellIs" dxfId="514" priority="571" operator="equal">
      <formula>$BO$90</formula>
    </cfRule>
  </conditionalFormatting>
  <conditionalFormatting sqref="AI91:BN91">
    <cfRule type="cellIs" dxfId="513" priority="570" operator="equal">
      <formula>$BO$91</formula>
    </cfRule>
  </conditionalFormatting>
  <conditionalFormatting sqref="AI92:BN92">
    <cfRule type="cellIs" dxfId="512" priority="270" operator="equal">
      <formula>$CI$92</formula>
    </cfRule>
    <cfRule type="cellIs" dxfId="511" priority="569" operator="equal">
      <formula>$BO$92</formula>
    </cfRule>
  </conditionalFormatting>
  <conditionalFormatting sqref="BQ91">
    <cfRule type="cellIs" dxfId="510" priority="568" operator="equal">
      <formula>$BO$91</formula>
    </cfRule>
  </conditionalFormatting>
  <conditionalFormatting sqref="BQ92">
    <cfRule type="cellIs" dxfId="509" priority="567" operator="equal">
      <formula>$BO$92</formula>
    </cfRule>
  </conditionalFormatting>
  <conditionalFormatting sqref="AI93:BN93">
    <cfRule type="cellIs" dxfId="507" priority="269" operator="equal">
      <formula>$CI$93</formula>
    </cfRule>
    <cfRule type="cellIs" dxfId="506" priority="566" operator="equal">
      <formula>$BO$93</formula>
    </cfRule>
  </conditionalFormatting>
  <conditionalFormatting sqref="AI94:BN94">
    <cfRule type="cellIs" dxfId="505" priority="81" operator="equal">
      <formula>$DS$94</formula>
    </cfRule>
    <cfRule type="cellIs" dxfId="504" priority="565" operator="equal">
      <formula>$BO$94</formula>
    </cfRule>
  </conditionalFormatting>
  <conditionalFormatting sqref="BQ93">
    <cfRule type="cellIs" dxfId="503" priority="564" operator="equal">
      <formula>$BO$93</formula>
    </cfRule>
  </conditionalFormatting>
  <conditionalFormatting sqref="BQ94:BR94">
    <cfRule type="cellIs" dxfId="502" priority="563" operator="equal">
      <formula>$BO$94</formula>
    </cfRule>
  </conditionalFormatting>
  <conditionalFormatting sqref="AI95:BN95">
    <cfRule type="cellIs" dxfId="501" priority="423" operator="equal">
      <formula>$BS$95</formula>
    </cfRule>
    <cfRule type="cellIs" dxfId="500" priority="562" operator="equal">
      <formula>$BO$95</formula>
    </cfRule>
  </conditionalFormatting>
  <conditionalFormatting sqref="AI96:BN96">
    <cfRule type="cellIs" dxfId="499" priority="420" operator="equal">
      <formula>$BS$96</formula>
    </cfRule>
    <cfRule type="cellIs" dxfId="498" priority="561" operator="equal">
      <formula>$BO$96</formula>
    </cfRule>
  </conditionalFormatting>
  <conditionalFormatting sqref="AI97:BN97">
    <cfRule type="cellIs" dxfId="497" priority="338" operator="equal">
      <formula>$BW$97</formula>
    </cfRule>
    <cfRule type="cellIs" dxfId="496" priority="560" operator="equal">
      <formula>$BO$97</formula>
    </cfRule>
  </conditionalFormatting>
  <conditionalFormatting sqref="BQ95">
    <cfRule type="cellIs" dxfId="495" priority="559" operator="equal">
      <formula>$BO$95</formula>
    </cfRule>
  </conditionalFormatting>
  <conditionalFormatting sqref="BQ96">
    <cfRule type="cellIs" dxfId="494" priority="558" operator="equal">
      <formula>$BO$96</formula>
    </cfRule>
  </conditionalFormatting>
  <conditionalFormatting sqref="BQ97">
    <cfRule type="cellIs" dxfId="493" priority="557" operator="equal">
      <formula>$BO$97</formula>
    </cfRule>
  </conditionalFormatting>
  <conditionalFormatting sqref="AI98:BN98">
    <cfRule type="cellIs" dxfId="492" priority="108" operator="equal">
      <formula>$DC$98</formula>
    </cfRule>
    <cfRule type="cellIs" dxfId="491" priority="556" operator="equal">
      <formula>$BO$98</formula>
    </cfRule>
  </conditionalFormatting>
  <conditionalFormatting sqref="AI99:BN99">
    <cfRule type="cellIs" dxfId="490" priority="417" operator="equal">
      <formula>$BS$99</formula>
    </cfRule>
    <cfRule type="cellIs" dxfId="489" priority="555" operator="equal">
      <formula>$BO$99</formula>
    </cfRule>
  </conditionalFormatting>
  <conditionalFormatting sqref="BQ98">
    <cfRule type="cellIs" dxfId="488" priority="554" operator="equal">
      <formula>$BO$98</formula>
    </cfRule>
  </conditionalFormatting>
  <conditionalFormatting sqref="BQ99">
    <cfRule type="cellIs" dxfId="487" priority="553" operator="equal">
      <formula>$BO$99</formula>
    </cfRule>
  </conditionalFormatting>
  <conditionalFormatting sqref="AI100:BN100">
    <cfRule type="cellIs" dxfId="486" priority="414" operator="equal">
      <formula>$BS$100</formula>
    </cfRule>
    <cfRule type="cellIs" dxfId="485" priority="552" operator="equal">
      <formula>$BO$100</formula>
    </cfRule>
  </conditionalFormatting>
  <conditionalFormatting sqref="AI101:BN101">
    <cfRule type="cellIs" dxfId="484" priority="105" operator="equal">
      <formula>$DC$101</formula>
    </cfRule>
    <cfRule type="cellIs" dxfId="483" priority="551" operator="equal">
      <formula>$BO$101</formula>
    </cfRule>
  </conditionalFormatting>
  <conditionalFormatting sqref="BQ100">
    <cfRule type="cellIs" dxfId="482" priority="550" operator="equal">
      <formula>$BO$100</formula>
    </cfRule>
  </conditionalFormatting>
  <conditionalFormatting sqref="BQ101">
    <cfRule type="cellIs" dxfId="481" priority="549" operator="equal">
      <formula>$BO$101</formula>
    </cfRule>
  </conditionalFormatting>
  <conditionalFormatting sqref="AI102:BN102">
    <cfRule type="cellIs" dxfId="480" priority="167" operator="equal">
      <formula>$CU$102</formula>
    </cfRule>
    <cfRule type="cellIs" dxfId="479" priority="548" operator="equal">
      <formula>$BO$102</formula>
    </cfRule>
  </conditionalFormatting>
  <conditionalFormatting sqref="AI103:BN103">
    <cfRule type="cellIs" dxfId="478" priority="131" operator="equal">
      <formula>$CY$103</formula>
    </cfRule>
    <cfRule type="cellIs" dxfId="477" priority="547" operator="equal">
      <formula>$BO$103</formula>
    </cfRule>
  </conditionalFormatting>
  <conditionalFormatting sqref="BQ102">
    <cfRule type="cellIs" dxfId="476" priority="546" operator="equal">
      <formula>$BO$102</formula>
    </cfRule>
  </conditionalFormatting>
  <conditionalFormatting sqref="BQ103">
    <cfRule type="cellIs" dxfId="475" priority="545" operator="equal">
      <formula>$BO$103</formula>
    </cfRule>
  </conditionalFormatting>
  <conditionalFormatting sqref="AI104:BN104">
    <cfRule type="cellIs" dxfId="474" priority="78" operator="equal">
      <formula>$DS$104</formula>
    </cfRule>
    <cfRule type="cellIs" dxfId="473" priority="544" operator="equal">
      <formula>$BO$104</formula>
    </cfRule>
  </conditionalFormatting>
  <conditionalFormatting sqref="AI105:BN105">
    <cfRule type="cellIs" dxfId="472" priority="543" operator="equal">
      <formula>$BO$105</formula>
    </cfRule>
  </conditionalFormatting>
  <conditionalFormatting sqref="BQ104:BR104">
    <cfRule type="cellIs" dxfId="471" priority="542" operator="equal">
      <formula>$BO$104</formula>
    </cfRule>
  </conditionalFormatting>
  <conditionalFormatting sqref="BQ105">
    <cfRule type="cellIs" dxfId="470" priority="541" operator="equal">
      <formula>$BO$105</formula>
    </cfRule>
  </conditionalFormatting>
  <conditionalFormatting sqref="AI106:BN106">
    <cfRule type="cellIs" dxfId="469" priority="540" operator="equal">
      <formula>$BO$106</formula>
    </cfRule>
  </conditionalFormatting>
  <conditionalFormatting sqref="AI107:BN107">
    <cfRule type="cellIs" dxfId="468" priority="334" operator="equal">
      <formula>$BW$107</formula>
    </cfRule>
    <cfRule type="cellIs" dxfId="467" priority="539" operator="equal">
      <formula>$BO$107</formula>
    </cfRule>
  </conditionalFormatting>
  <conditionalFormatting sqref="BQ106">
    <cfRule type="cellIs" dxfId="466" priority="538" operator="equal">
      <formula>$BO$106</formula>
    </cfRule>
  </conditionalFormatting>
  <conditionalFormatting sqref="BQ107">
    <cfRule type="cellIs" dxfId="465" priority="537" operator="equal">
      <formula>$BO$107</formula>
    </cfRule>
  </conditionalFormatting>
  <conditionalFormatting sqref="AI108:BN108">
    <cfRule type="cellIs" dxfId="464" priority="332" operator="equal">
      <formula>$BW$108</formula>
    </cfRule>
    <cfRule type="cellIs" dxfId="463" priority="333" operator="equal">
      <formula>$BW$108</formula>
    </cfRule>
    <cfRule type="cellIs" dxfId="462" priority="536" operator="equal">
      <formula>$BO$108</formula>
    </cfRule>
  </conditionalFormatting>
  <conditionalFormatting sqref="AI109:BN109">
    <cfRule type="cellIs" dxfId="461" priority="128" operator="equal">
      <formula>$CU$109</formula>
    </cfRule>
    <cfRule type="cellIs" dxfId="460" priority="535" operator="equal">
      <formula>$BO$109</formula>
    </cfRule>
  </conditionalFormatting>
  <conditionalFormatting sqref="BQ108">
    <cfRule type="cellIs" dxfId="459" priority="534" operator="equal">
      <formula>$BO$108</formula>
    </cfRule>
  </conditionalFormatting>
  <conditionalFormatting sqref="BQ109">
    <cfRule type="cellIs" dxfId="458" priority="533" operator="equal">
      <formula>$BO$109</formula>
    </cfRule>
  </conditionalFormatting>
  <conditionalFormatting sqref="AI110:BN110">
    <cfRule type="cellIs" dxfId="457" priority="285" operator="equal">
      <formula>$CE$110</formula>
    </cfRule>
    <cfRule type="cellIs" dxfId="456" priority="532" operator="equal">
      <formula>$BO$110</formula>
    </cfRule>
  </conditionalFormatting>
  <conditionalFormatting sqref="AI111:BN111">
    <cfRule type="cellIs" dxfId="455" priority="411" operator="equal">
      <formula>$BS$111</formula>
    </cfRule>
    <cfRule type="cellIs" dxfId="454" priority="531" operator="equal">
      <formula>$BO$111</formula>
    </cfRule>
  </conditionalFormatting>
  <conditionalFormatting sqref="BQ110">
    <cfRule type="cellIs" dxfId="453" priority="530" operator="equal">
      <formula>$BO$110</formula>
    </cfRule>
  </conditionalFormatting>
  <conditionalFormatting sqref="BQ111">
    <cfRule type="cellIs" dxfId="452" priority="529" operator="equal">
      <formula>$BO$111</formula>
    </cfRule>
  </conditionalFormatting>
  <conditionalFormatting sqref="AI112:BN112">
    <cfRule type="cellIs" dxfId="451" priority="326" operator="equal">
      <formula>$BW$112</formula>
    </cfRule>
    <cfRule type="cellIs" dxfId="450" priority="528" operator="equal">
      <formula>$BO$112</formula>
    </cfRule>
  </conditionalFormatting>
  <conditionalFormatting sqref="BQ112">
    <cfRule type="cellIs" dxfId="449" priority="527" operator="equal">
      <formula>$BO$112</formula>
    </cfRule>
  </conditionalFormatting>
  <conditionalFormatting sqref="AI113:BN113">
    <cfRule type="cellIs" dxfId="448" priority="526" operator="equal">
      <formula>$BO$113</formula>
    </cfRule>
  </conditionalFormatting>
  <conditionalFormatting sqref="AI114:BN114">
    <cfRule type="cellIs" dxfId="447" priority="525" operator="equal">
      <formula>$BO$114</formula>
    </cfRule>
  </conditionalFormatting>
  <conditionalFormatting sqref="AI115:BN115">
    <cfRule type="cellIs" dxfId="446" priority="524" operator="equal">
      <formula>$BO$115</formula>
    </cfRule>
  </conditionalFormatting>
  <conditionalFormatting sqref="AI116:BN116">
    <cfRule type="cellIs" dxfId="445" priority="523" operator="equal">
      <formula>$BO$116</formula>
    </cfRule>
  </conditionalFormatting>
  <conditionalFormatting sqref="AI117:BN117">
    <cfRule type="cellIs" dxfId="444" priority="323" operator="equal">
      <formula>$BW$117</formula>
    </cfRule>
    <cfRule type="cellIs" dxfId="443" priority="522" operator="equal">
      <formula>$BO$117</formula>
    </cfRule>
  </conditionalFormatting>
  <conditionalFormatting sqref="BQ113">
    <cfRule type="cellIs" dxfId="442" priority="521" operator="equal">
      <formula>$BO$113</formula>
    </cfRule>
  </conditionalFormatting>
  <conditionalFormatting sqref="BQ114">
    <cfRule type="cellIs" dxfId="441" priority="520" operator="equal">
      <formula>$BO$114</formula>
    </cfRule>
  </conditionalFormatting>
  <conditionalFormatting sqref="BQ115">
    <cfRule type="cellIs" dxfId="440" priority="519" operator="equal">
      <formula>$BO$115</formula>
    </cfRule>
  </conditionalFormatting>
  <conditionalFormatting sqref="BQ116">
    <cfRule type="cellIs" dxfId="439" priority="518" operator="equal">
      <formula>$BO$116</formula>
    </cfRule>
  </conditionalFormatting>
  <conditionalFormatting sqref="BQ117">
    <cfRule type="cellIs" dxfId="438" priority="517" operator="equal">
      <formula>$BO$117</formula>
    </cfRule>
  </conditionalFormatting>
  <conditionalFormatting sqref="AI118:BN118">
    <cfRule type="cellIs" dxfId="437" priority="320" operator="equal">
      <formula>$BW$118</formula>
    </cfRule>
    <cfRule type="cellIs" dxfId="436" priority="516" operator="equal">
      <formula>$BO$118</formula>
    </cfRule>
  </conditionalFormatting>
  <conditionalFormatting sqref="AI119:BN119">
    <cfRule type="cellIs" dxfId="435" priority="102" operator="equal">
      <formula>$DC$119</formula>
    </cfRule>
    <cfRule type="cellIs" dxfId="434" priority="515" operator="equal">
      <formula>$BO$119</formula>
    </cfRule>
  </conditionalFormatting>
  <conditionalFormatting sqref="BQ118">
    <cfRule type="cellIs" dxfId="433" priority="514" operator="equal">
      <formula>$BO$118</formula>
    </cfRule>
  </conditionalFormatting>
  <conditionalFormatting sqref="BQ119">
    <cfRule type="cellIs" dxfId="432" priority="513" operator="equal">
      <formula>$BO$119</formula>
    </cfRule>
  </conditionalFormatting>
  <conditionalFormatting sqref="AI120:BN120">
    <cfRule type="cellIs" dxfId="431" priority="101" operator="equal">
      <formula>$DC$120</formula>
    </cfRule>
    <cfRule type="cellIs" dxfId="430" priority="512" operator="equal">
      <formula>$BO$120</formula>
    </cfRule>
  </conditionalFormatting>
  <conditionalFormatting sqref="AI121:BN121">
    <cfRule type="cellIs" dxfId="429" priority="408" operator="equal">
      <formula>$BS$121</formula>
    </cfRule>
    <cfRule type="cellIs" dxfId="428" priority="511" operator="equal">
      <formula>$BO$121</formula>
    </cfRule>
  </conditionalFormatting>
  <conditionalFormatting sqref="BQ120">
    <cfRule type="cellIs" dxfId="427" priority="510" operator="equal">
      <formula>$BO$120</formula>
    </cfRule>
  </conditionalFormatting>
  <conditionalFormatting sqref="BQ121">
    <cfRule type="cellIs" dxfId="426" priority="509" operator="equal">
      <formula>$BO$121</formula>
    </cfRule>
  </conditionalFormatting>
  <conditionalFormatting sqref="AI122:BN122">
    <cfRule type="cellIs" dxfId="425" priority="405" operator="equal">
      <formula>$BS$122</formula>
    </cfRule>
    <cfRule type="cellIs" dxfId="424" priority="508" operator="equal">
      <formula>$BO$122</formula>
    </cfRule>
  </conditionalFormatting>
  <conditionalFormatting sqref="AI123:BN123">
    <cfRule type="cellIs" dxfId="423" priority="317" operator="equal">
      <formula>$BW$123</formula>
    </cfRule>
    <cfRule type="cellIs" dxfId="422" priority="507" operator="equal">
      <formula>$BO$123</formula>
    </cfRule>
  </conditionalFormatting>
  <conditionalFormatting sqref="BQ122">
    <cfRule type="cellIs" dxfId="421" priority="506" operator="equal">
      <formula>$BO$122</formula>
    </cfRule>
  </conditionalFormatting>
  <conditionalFormatting sqref="BQ123">
    <cfRule type="cellIs" dxfId="420" priority="505" operator="equal">
      <formula>$BO$123</formula>
    </cfRule>
  </conditionalFormatting>
  <conditionalFormatting sqref="AI124:BN124">
    <cfRule type="cellIs" dxfId="419" priority="154" operator="equal">
      <formula>$CU$124</formula>
    </cfRule>
    <cfRule type="cellIs" dxfId="418" priority="504" operator="equal">
      <formula>$BO$124</formula>
    </cfRule>
  </conditionalFormatting>
  <conditionalFormatting sqref="BQ124">
    <cfRule type="cellIs" dxfId="417" priority="503" operator="equal">
      <formula>$BO$124</formula>
    </cfRule>
  </conditionalFormatting>
  <conditionalFormatting sqref="AI125:BN125">
    <cfRule type="cellIs" dxfId="416" priority="153" operator="equal">
      <formula>$CU$125</formula>
    </cfRule>
    <cfRule type="cellIs" dxfId="415" priority="502" operator="equal">
      <formula>$BO$125</formula>
    </cfRule>
  </conditionalFormatting>
  <conditionalFormatting sqref="AI126:BN126">
    <cfRule type="cellIs" dxfId="414" priority="96" operator="equal">
      <formula>$DC$126</formula>
    </cfRule>
    <cfRule type="cellIs" dxfId="413" priority="501" operator="equal">
      <formula>$BO$126</formula>
    </cfRule>
  </conditionalFormatting>
  <conditionalFormatting sqref="BQ125">
    <cfRule type="cellIs" dxfId="412" priority="500" operator="equal">
      <formula>$BO$125</formula>
    </cfRule>
  </conditionalFormatting>
  <conditionalFormatting sqref="BQ126">
    <cfRule type="cellIs" dxfId="411" priority="499" operator="equal">
      <formula>$BO$126</formula>
    </cfRule>
  </conditionalFormatting>
  <conditionalFormatting sqref="AI127:BN127">
    <cfRule type="cellIs" dxfId="410" priority="264" operator="equal">
      <formula>$CI$127</formula>
    </cfRule>
    <cfRule type="cellIs" dxfId="409" priority="498" operator="equal">
      <formula>$BO$127</formula>
    </cfRule>
  </conditionalFormatting>
  <conditionalFormatting sqref="BQ127">
    <cfRule type="cellIs" dxfId="408" priority="497" operator="equal">
      <formula>$BO$127</formula>
    </cfRule>
  </conditionalFormatting>
  <conditionalFormatting sqref="AI128:BN128">
    <cfRule type="cellIs" dxfId="407" priority="68" operator="equal">
      <formula>$DS$128</formula>
    </cfRule>
    <cfRule type="cellIs" dxfId="406" priority="496" operator="equal">
      <formula>$BO$128</formula>
    </cfRule>
  </conditionalFormatting>
  <conditionalFormatting sqref="BQ128">
    <cfRule type="cellIs" dxfId="405" priority="495" operator="equal">
      <formula>$BO$128</formula>
    </cfRule>
  </conditionalFormatting>
  <conditionalFormatting sqref="AI129:BN129">
    <cfRule type="cellIs" dxfId="404" priority="261" operator="equal">
      <formula>$CI$129</formula>
    </cfRule>
    <cfRule type="cellIs" dxfId="403" priority="494" operator="equal">
      <formula>$BO$129</formula>
    </cfRule>
  </conditionalFormatting>
  <conditionalFormatting sqref="AI130:BN130">
    <cfRule type="cellIs" dxfId="402" priority="314" operator="equal">
      <formula>$BW$130</formula>
    </cfRule>
    <cfRule type="cellIs" dxfId="401" priority="493" operator="equal">
      <formula>$BO$130</formula>
    </cfRule>
  </conditionalFormatting>
  <conditionalFormatting sqref="BQ129">
    <cfRule type="cellIs" dxfId="400" priority="492" operator="equal">
      <formula>$BO$129</formula>
    </cfRule>
  </conditionalFormatting>
  <conditionalFormatting sqref="BQ130">
    <cfRule type="cellIs" dxfId="399" priority="491" operator="equal">
      <formula>$BO$130</formula>
    </cfRule>
  </conditionalFormatting>
  <conditionalFormatting sqref="AI131:BN131">
    <cfRule type="cellIs" dxfId="398" priority="258" operator="equal">
      <formula>$CI$131</formula>
    </cfRule>
    <cfRule type="cellIs" dxfId="397" priority="490" operator="equal">
      <formula>$BO$131</formula>
    </cfRule>
  </conditionalFormatting>
  <conditionalFormatting sqref="AI132:BN132">
    <cfRule type="cellIs" dxfId="396" priority="489" operator="equal">
      <formula>$BO$132</formula>
    </cfRule>
  </conditionalFormatting>
  <conditionalFormatting sqref="BQ131">
    <cfRule type="cellIs" dxfId="395" priority="488" operator="equal">
      <formula>$BO$131</formula>
    </cfRule>
  </conditionalFormatting>
  <conditionalFormatting sqref="BQ132">
    <cfRule type="cellIs" dxfId="394" priority="487" operator="equal">
      <formula>$BO$132</formula>
    </cfRule>
  </conditionalFormatting>
  <conditionalFormatting sqref="AI133:BN133">
    <cfRule type="cellIs" dxfId="393" priority="486" operator="equal">
      <formula>$BO$133</formula>
    </cfRule>
  </conditionalFormatting>
  <conditionalFormatting sqref="AI134:BN134">
    <cfRule type="cellIs" dxfId="392" priority="71" operator="equal">
      <formula>$DS$134</formula>
    </cfRule>
    <cfRule type="cellIs" dxfId="391" priority="485" operator="equal">
      <formula>$BO$134</formula>
    </cfRule>
  </conditionalFormatting>
  <conditionalFormatting sqref="AI135:BN135">
    <cfRule type="cellIs" dxfId="390" priority="65" operator="equal">
      <formula>$DS$135</formula>
    </cfRule>
    <cfRule type="cellIs" dxfId="389" priority="69" operator="equal">
      <formula>$DS$134</formula>
    </cfRule>
    <cfRule type="cellIs" dxfId="388" priority="70" operator="equal">
      <formula>$DS$134</formula>
    </cfRule>
    <cfRule type="cellIs" dxfId="387" priority="484" operator="equal">
      <formula>$BO$135</formula>
    </cfRule>
  </conditionalFormatting>
  <conditionalFormatting sqref="AI136:BN136">
    <cfRule type="cellIs" dxfId="386" priority="64" operator="equal">
      <formula>$DS$136</formula>
    </cfRule>
    <cfRule type="cellIs" dxfId="385" priority="483" operator="equal">
      <formula>$BO$136</formula>
    </cfRule>
  </conditionalFormatting>
  <conditionalFormatting sqref="AI137:BN137">
    <cfRule type="cellIs" dxfId="384" priority="63" operator="equal">
      <formula>$DS$137</formula>
    </cfRule>
    <cfRule type="cellIs" dxfId="383" priority="482" operator="equal">
      <formula>$BO$137</formula>
    </cfRule>
  </conditionalFormatting>
  <conditionalFormatting sqref="AI138:BN138">
    <cfRule type="cellIs" dxfId="382" priority="311" operator="equal">
      <formula>$BW$138</formula>
    </cfRule>
    <cfRule type="cellIs" dxfId="381" priority="481" operator="equal">
      <formula>$BO$138</formula>
    </cfRule>
  </conditionalFormatting>
  <conditionalFormatting sqref="BQ133">
    <cfRule type="cellIs" dxfId="380" priority="480" operator="equal">
      <formula>$BO$133</formula>
    </cfRule>
  </conditionalFormatting>
  <conditionalFormatting sqref="BQ134">
    <cfRule type="cellIs" dxfId="379" priority="479" operator="equal">
      <formula>$BO$134</formula>
    </cfRule>
  </conditionalFormatting>
  <conditionalFormatting sqref="BQ135">
    <cfRule type="cellIs" dxfId="378" priority="478" operator="equal">
      <formula>$BO$135</formula>
    </cfRule>
  </conditionalFormatting>
  <conditionalFormatting sqref="BQ136">
    <cfRule type="cellIs" dxfId="377" priority="477" operator="equal">
      <formula>$BO$136</formula>
    </cfRule>
  </conditionalFormatting>
  <conditionalFormatting sqref="BQ137">
    <cfRule type="cellIs" dxfId="376" priority="476" operator="equal">
      <formula>$BO$137</formula>
    </cfRule>
  </conditionalFormatting>
  <conditionalFormatting sqref="AI139:BN139">
    <cfRule type="cellIs" dxfId="375" priority="475" operator="equal">
      <formula>$BO$139</formula>
    </cfRule>
  </conditionalFormatting>
  <conditionalFormatting sqref="AI140:BN140">
    <cfRule type="cellIs" dxfId="374" priority="308" operator="equal">
      <formula>$BW$140</formula>
    </cfRule>
    <cfRule type="cellIs" dxfId="373" priority="474" operator="equal">
      <formula>$BO$140</formula>
    </cfRule>
  </conditionalFormatting>
  <conditionalFormatting sqref="BQ139">
    <cfRule type="cellIs" dxfId="372" priority="473" operator="equal">
      <formula>$BO$139</formula>
    </cfRule>
  </conditionalFormatting>
  <conditionalFormatting sqref="BQ140">
    <cfRule type="cellIs" dxfId="371" priority="472" operator="equal">
      <formula>$BO$140</formula>
    </cfRule>
  </conditionalFormatting>
  <conditionalFormatting sqref="AI141:BN141">
    <cfRule type="cellIs" dxfId="370" priority="147" operator="equal">
      <formula>$CU$141</formula>
    </cfRule>
    <cfRule type="cellIs" dxfId="369" priority="471" operator="equal">
      <formula>$BO$141</formula>
    </cfRule>
  </conditionalFormatting>
  <conditionalFormatting sqref="AI142:BN142">
    <cfRule type="cellIs" dxfId="368" priority="93" operator="equal">
      <formula>$DC$142</formula>
    </cfRule>
    <cfRule type="cellIs" dxfId="367" priority="470" operator="equal">
      <formula>$BO$142</formula>
    </cfRule>
  </conditionalFormatting>
  <conditionalFormatting sqref="AI143:BN143">
    <cfRule type="cellIs" dxfId="366" priority="52" operator="equal">
      <formula>$DS$143</formula>
    </cfRule>
    <cfRule type="cellIs" dxfId="365" priority="469" operator="equal">
      <formula>$BO$143</formula>
    </cfRule>
  </conditionalFormatting>
  <conditionalFormatting sqref="AI144:BN144">
    <cfRule type="cellIs" dxfId="364" priority="305" operator="equal">
      <formula>$BW$144</formula>
    </cfRule>
    <cfRule type="cellIs" dxfId="363" priority="468" operator="equal">
      <formula>$BO$144</formula>
    </cfRule>
  </conditionalFormatting>
  <conditionalFormatting sqref="BQ143">
    <cfRule type="cellIs" dxfId="362" priority="467" operator="equal">
      <formula>$BO$143</formula>
    </cfRule>
  </conditionalFormatting>
  <conditionalFormatting sqref="BQ144">
    <cfRule type="cellIs" dxfId="361" priority="466" operator="equal">
      <formula>$BO$144</formula>
    </cfRule>
  </conditionalFormatting>
  <conditionalFormatting sqref="AI145:BN145">
    <cfRule type="cellIs" dxfId="360" priority="144" operator="equal">
      <formula>$CU$145</formula>
    </cfRule>
    <cfRule type="cellIs" dxfId="359" priority="465" operator="equal">
      <formula>$BO$145</formula>
    </cfRule>
  </conditionalFormatting>
  <conditionalFormatting sqref="BQ145">
    <cfRule type="cellIs" dxfId="358" priority="464" operator="equal">
      <formula>$BO$145</formula>
    </cfRule>
  </conditionalFormatting>
  <conditionalFormatting sqref="AI146:BN146">
    <cfRule type="cellIs" dxfId="357" priority="304" operator="equal">
      <formula>$BW$146</formula>
    </cfRule>
    <cfRule type="cellIs" dxfId="356" priority="463" operator="equal">
      <formula>$BO$146</formula>
    </cfRule>
  </conditionalFormatting>
  <conditionalFormatting sqref="BQ146">
    <cfRule type="cellIs" dxfId="355" priority="462" operator="equal">
      <formula>$BO$146</formula>
    </cfRule>
  </conditionalFormatting>
  <conditionalFormatting sqref="BU36">
    <cfRule type="cellIs" dxfId="354" priority="459" operator="equal">
      <formula>$BS$36</formula>
    </cfRule>
    <cfRule type="cellIs" dxfId="353" priority="460" operator="equal">
      <formula>$BO$36</formula>
    </cfRule>
  </conditionalFormatting>
  <conditionalFormatting sqref="AI5:BN5">
    <cfRule type="cellIs" dxfId="352" priority="456" operator="equal">
      <formula>$BS$5</formula>
    </cfRule>
    <cfRule type="cellIs" dxfId="351" priority="457" operator="equal">
      <formula>$BS$5</formula>
    </cfRule>
    <cfRule type="cellIs" dxfId="350" priority="458" operator="equal">
      <formula>$BW$6</formula>
    </cfRule>
  </conditionalFormatting>
  <conditionalFormatting sqref="BU5">
    <cfRule type="cellIs" dxfId="349" priority="455" operator="equal">
      <formula>$BO$5</formula>
    </cfRule>
  </conditionalFormatting>
  <conditionalFormatting sqref="BU5">
    <cfRule type="cellIs" dxfId="348" priority="452" operator="equal">
      <formula>$BS$5</formula>
    </cfRule>
    <cfRule type="cellIs" dxfId="347" priority="453" operator="equal">
      <formula>$BS$5</formula>
    </cfRule>
    <cfRule type="cellIs" dxfId="346" priority="454" operator="equal">
      <formula>$BW$6</formula>
    </cfRule>
  </conditionalFormatting>
  <conditionalFormatting sqref="AI7:BN7">
    <cfRule type="cellIs" dxfId="345" priority="450" operator="equal">
      <formula>$BS$7</formula>
    </cfRule>
    <cfRule type="cellIs" dxfId="344" priority="451" operator="equal">
      <formula>$BS$7</formula>
    </cfRule>
  </conditionalFormatting>
  <conditionalFormatting sqref="BU7">
    <cfRule type="cellIs" dxfId="343" priority="449" operator="equal">
      <formula>$BO$7</formula>
    </cfRule>
  </conditionalFormatting>
  <conditionalFormatting sqref="BU7">
    <cfRule type="cellIs" dxfId="342" priority="447" operator="equal">
      <formula>$BS$7</formula>
    </cfRule>
    <cfRule type="cellIs" dxfId="341" priority="448" operator="equal">
      <formula>$BS$7</formula>
    </cfRule>
  </conditionalFormatting>
  <conditionalFormatting sqref="BU26">
    <cfRule type="cellIs" dxfId="340" priority="444" operator="equal">
      <formula>$BS$26</formula>
    </cfRule>
    <cfRule type="cellIs" dxfId="339" priority="445" operator="equal">
      <formula>$BO$26</formula>
    </cfRule>
  </conditionalFormatting>
  <conditionalFormatting sqref="BU27">
    <cfRule type="cellIs" dxfId="338" priority="441" operator="equal">
      <formula>$BS$27</formula>
    </cfRule>
    <cfRule type="cellIs" dxfId="337" priority="442" operator="equal">
      <formula>$BO$27</formula>
    </cfRule>
  </conditionalFormatting>
  <conditionalFormatting sqref="BU48">
    <cfRule type="cellIs" dxfId="336" priority="438" operator="equal">
      <formula>$BS$48</formula>
    </cfRule>
    <cfRule type="cellIs" dxfId="335" priority="439" operator="equal">
      <formula>$BO$48</formula>
    </cfRule>
  </conditionalFormatting>
  <conditionalFormatting sqref="BU49">
    <cfRule type="cellIs" dxfId="334" priority="433" operator="equal">
      <formula>$BS$49</formula>
    </cfRule>
    <cfRule type="cellIs" dxfId="333" priority="434" operator="equal">
      <formula>$BS$49</formula>
    </cfRule>
    <cfRule type="cellIs" dxfId="332" priority="435" operator="equal">
      <formula>$BO$49</formula>
    </cfRule>
  </conditionalFormatting>
  <conditionalFormatting sqref="BU51">
    <cfRule type="cellIs" dxfId="331" priority="430" operator="equal">
      <formula>$BS$51</formula>
    </cfRule>
    <cfRule type="cellIs" dxfId="330" priority="431" operator="equal">
      <formula>$BO$51</formula>
    </cfRule>
  </conditionalFormatting>
  <conditionalFormatting sqref="BU73">
    <cfRule type="cellIs" dxfId="329" priority="427" operator="equal">
      <formula>$BS$73</formula>
    </cfRule>
    <cfRule type="cellIs" dxfId="328" priority="428" operator="equal">
      <formula>$BO$73</formula>
    </cfRule>
  </conditionalFormatting>
  <conditionalFormatting sqref="BU83">
    <cfRule type="cellIs" dxfId="327" priority="424" operator="equal">
      <formula>$BS$83</formula>
    </cfRule>
    <cfRule type="cellIs" dxfId="326" priority="425" operator="equal">
      <formula>$BO$83</formula>
    </cfRule>
  </conditionalFormatting>
  <conditionalFormatting sqref="BU95">
    <cfRule type="cellIs" dxfId="325" priority="421" operator="equal">
      <formula>$BS$95</formula>
    </cfRule>
    <cfRule type="cellIs" dxfId="324" priority="422" operator="equal">
      <formula>$BO$95</formula>
    </cfRule>
  </conditionalFormatting>
  <conditionalFormatting sqref="BU96">
    <cfRule type="cellIs" dxfId="323" priority="418" operator="equal">
      <formula>$BS$96</formula>
    </cfRule>
    <cfRule type="cellIs" dxfId="322" priority="419" operator="equal">
      <formula>$BO$96</formula>
    </cfRule>
  </conditionalFormatting>
  <conditionalFormatting sqref="BU99">
    <cfRule type="cellIs" dxfId="321" priority="415" operator="equal">
      <formula>$BS$99</formula>
    </cfRule>
    <cfRule type="cellIs" dxfId="320" priority="416" operator="equal">
      <formula>$BO$99</formula>
    </cfRule>
  </conditionalFormatting>
  <conditionalFormatting sqref="BU100">
    <cfRule type="cellIs" dxfId="319" priority="412" operator="equal">
      <formula>$BS$100</formula>
    </cfRule>
    <cfRule type="cellIs" dxfId="318" priority="413" operator="equal">
      <formula>$BO$100</formula>
    </cfRule>
  </conditionalFormatting>
  <conditionalFormatting sqref="BU111">
    <cfRule type="cellIs" dxfId="317" priority="409" operator="equal">
      <formula>$BS$111</formula>
    </cfRule>
    <cfRule type="cellIs" dxfId="316" priority="410" operator="equal">
      <formula>$BO$111</formula>
    </cfRule>
  </conditionalFormatting>
  <conditionalFormatting sqref="BU121">
    <cfRule type="cellIs" dxfId="315" priority="406" operator="equal">
      <formula>$BS$121</formula>
    </cfRule>
    <cfRule type="cellIs" dxfId="314" priority="407" operator="equal">
      <formula>$BO$121</formula>
    </cfRule>
  </conditionalFormatting>
  <conditionalFormatting sqref="BU122">
    <cfRule type="cellIs" dxfId="313" priority="403" operator="equal">
      <formula>$BS$122</formula>
    </cfRule>
    <cfRule type="cellIs" dxfId="312" priority="404" operator="equal">
      <formula>$BO$122</formula>
    </cfRule>
  </conditionalFormatting>
  <conditionalFormatting sqref="AI3:BN3">
    <cfRule type="cellIs" dxfId="311" priority="402" operator="equal">
      <formula>$BW$3</formula>
    </cfRule>
  </conditionalFormatting>
  <conditionalFormatting sqref="BY3">
    <cfRule type="cellIs" dxfId="310" priority="401" operator="equal">
      <formula>$BO$3</formula>
    </cfRule>
  </conditionalFormatting>
  <conditionalFormatting sqref="BY3">
    <cfRule type="cellIs" dxfId="309" priority="400" operator="equal">
      <formula>$BW$3</formula>
    </cfRule>
  </conditionalFormatting>
  <conditionalFormatting sqref="BY22">
    <cfRule type="cellIs" dxfId="308" priority="397" operator="equal">
      <formula>$BW$22</formula>
    </cfRule>
    <cfRule type="cellIs" dxfId="307" priority="398" operator="equal">
      <formula>$BO$22</formula>
    </cfRule>
  </conditionalFormatting>
  <conditionalFormatting sqref="BY24">
    <cfRule type="cellIs" dxfId="306" priority="392" operator="equal">
      <formula>$BW$24</formula>
    </cfRule>
    <cfRule type="cellIs" dxfId="305" priority="394" operator="equal">
      <formula>$BO$24</formula>
    </cfRule>
  </conditionalFormatting>
  <conditionalFormatting sqref="BY25">
    <cfRule type="cellIs" dxfId="304" priority="391" operator="equal">
      <formula>$BW$25</formula>
    </cfRule>
    <cfRule type="cellIs" dxfId="303" priority="393" operator="equal">
      <formula>$BO$25</formula>
    </cfRule>
  </conditionalFormatting>
  <conditionalFormatting sqref="BY28">
    <cfRule type="cellIs" dxfId="302" priority="388" operator="equal">
      <formula>$BW$28</formula>
    </cfRule>
    <cfRule type="cellIs" dxfId="301" priority="389" operator="equal">
      <formula>$BO$28</formula>
    </cfRule>
  </conditionalFormatting>
  <conditionalFormatting sqref="BY55">
    <cfRule type="cellIs" dxfId="300" priority="381" operator="equal">
      <formula>$BW$55</formula>
    </cfRule>
    <cfRule type="cellIs" dxfId="299" priority="384" operator="equal">
      <formula>$BO$55</formula>
    </cfRule>
  </conditionalFormatting>
  <conditionalFormatting sqref="BY56">
    <cfRule type="cellIs" dxfId="298" priority="380" operator="equal">
      <formula>$BW$56</formula>
    </cfRule>
    <cfRule type="cellIs" dxfId="297" priority="383" operator="equal">
      <formula>$BO$56</formula>
    </cfRule>
  </conditionalFormatting>
  <conditionalFormatting sqref="BY57">
    <cfRule type="cellIs" dxfId="296" priority="379" operator="equal">
      <formula>$BW$57</formula>
    </cfRule>
    <cfRule type="cellIs" dxfId="295" priority="382" operator="equal">
      <formula>$BO$57</formula>
    </cfRule>
  </conditionalFormatting>
  <conditionalFormatting sqref="BY60">
    <cfRule type="cellIs" dxfId="294" priority="372" operator="equal">
      <formula>$BW$60</formula>
    </cfRule>
    <cfRule type="cellIs" dxfId="293" priority="373" operator="equal">
      <formula>$BW$60</formula>
    </cfRule>
    <cfRule type="cellIs" dxfId="292" priority="375" operator="equal">
      <formula>$BO$60</formula>
    </cfRule>
  </conditionalFormatting>
  <conditionalFormatting sqref="BY61">
    <cfRule type="cellIs" dxfId="291" priority="371" operator="equal">
      <formula>$BW$61</formula>
    </cfRule>
    <cfRule type="cellIs" dxfId="290" priority="374" operator="equal">
      <formula>$BO$61</formula>
    </cfRule>
  </conditionalFormatting>
  <conditionalFormatting sqref="BY64">
    <cfRule type="cellIs" dxfId="289" priority="366" operator="equal">
      <formula>$BW$64</formula>
    </cfRule>
    <cfRule type="cellIs" dxfId="288" priority="368" operator="equal">
      <formula>$BO$64</formula>
    </cfRule>
  </conditionalFormatting>
  <conditionalFormatting sqref="BY65">
    <cfRule type="cellIs" dxfId="287" priority="365" operator="equal">
      <formula>$BW$65</formula>
    </cfRule>
    <cfRule type="cellIs" dxfId="286" priority="367" operator="equal">
      <formula>$BO$65</formula>
    </cfRule>
  </conditionalFormatting>
  <conditionalFormatting sqref="BY68">
    <cfRule type="cellIs" dxfId="285" priority="362" operator="equal">
      <formula>$BW$68</formula>
    </cfRule>
    <cfRule type="cellIs" dxfId="284" priority="363" operator="equal">
      <formula>$BO$68</formula>
    </cfRule>
  </conditionalFormatting>
  <conditionalFormatting sqref="BY69">
    <cfRule type="cellIs" dxfId="283" priority="357" operator="equal">
      <formula>$BW$69</formula>
    </cfRule>
    <cfRule type="cellIs" dxfId="282" priority="359" operator="equal">
      <formula>$BO$69</formula>
    </cfRule>
  </conditionalFormatting>
  <conditionalFormatting sqref="BY70">
    <cfRule type="cellIs" dxfId="281" priority="356" operator="equal">
      <formula>$BW$70</formula>
    </cfRule>
    <cfRule type="cellIs" dxfId="280" priority="358" operator="equal">
      <formula>$BO$70</formula>
    </cfRule>
  </conditionalFormatting>
  <conditionalFormatting sqref="AI72:BN72">
    <cfRule type="cellIs" dxfId="279" priority="355" operator="equal">
      <formula>$BW$72</formula>
    </cfRule>
  </conditionalFormatting>
  <conditionalFormatting sqref="BY72">
    <cfRule type="cellIs" dxfId="278" priority="354" operator="equal">
      <formula>$BW$72</formula>
    </cfRule>
  </conditionalFormatting>
  <conditionalFormatting sqref="BY79">
    <cfRule type="cellIs" dxfId="277" priority="351" operator="equal">
      <formula>$BW$79</formula>
    </cfRule>
    <cfRule type="cellIs" dxfId="276" priority="352" operator="equal">
      <formula>$BO$79</formula>
    </cfRule>
  </conditionalFormatting>
  <conditionalFormatting sqref="BY82">
    <cfRule type="cellIs" dxfId="275" priority="348" operator="equal">
      <formula>$BW$82</formula>
    </cfRule>
    <cfRule type="cellIs" dxfId="274" priority="349" operator="equal">
      <formula>$BO$82</formula>
    </cfRule>
  </conditionalFormatting>
  <conditionalFormatting sqref="BY84">
    <cfRule type="cellIs" dxfId="273" priority="343" operator="equal">
      <formula>$BW$84</formula>
    </cfRule>
    <cfRule type="cellIs" dxfId="272" priority="345" operator="equal">
      <formula>$BO$84</formula>
    </cfRule>
  </conditionalFormatting>
  <conditionalFormatting sqref="BY85">
    <cfRule type="cellIs" dxfId="271" priority="342" operator="equal">
      <formula>$BW$85</formula>
    </cfRule>
    <cfRule type="cellIs" dxfId="270" priority="344" operator="equal">
      <formula>$BO$85</formula>
    </cfRule>
  </conditionalFormatting>
  <conditionalFormatting sqref="BY88">
    <cfRule type="cellIs" dxfId="269" priority="339" operator="equal">
      <formula>$BW$88</formula>
    </cfRule>
    <cfRule type="cellIs" dxfId="268" priority="340" operator="equal">
      <formula>$BO$88</formula>
    </cfRule>
  </conditionalFormatting>
  <conditionalFormatting sqref="BY97">
    <cfRule type="cellIs" dxfId="267" priority="336" operator="equal">
      <formula>$BW$97</formula>
    </cfRule>
    <cfRule type="cellIs" dxfId="266" priority="337" operator="equal">
      <formula>$BO$97</formula>
    </cfRule>
  </conditionalFormatting>
  <conditionalFormatting sqref="BY107">
    <cfRule type="cellIs" dxfId="265" priority="330" operator="equal">
      <formula>$BW$107</formula>
    </cfRule>
    <cfRule type="cellIs" dxfId="264" priority="331" operator="equal">
      <formula>$BO$107</formula>
    </cfRule>
  </conditionalFormatting>
  <conditionalFormatting sqref="BY108">
    <cfRule type="cellIs" dxfId="263" priority="327" operator="equal">
      <formula>$BW$108</formula>
    </cfRule>
    <cfRule type="cellIs" dxfId="262" priority="328" operator="equal">
      <formula>$BW$108</formula>
    </cfRule>
    <cfRule type="cellIs" dxfId="261" priority="329" operator="equal">
      <formula>$BO$108</formula>
    </cfRule>
  </conditionalFormatting>
  <conditionalFormatting sqref="BY112">
    <cfRule type="cellIs" dxfId="260" priority="324" operator="equal">
      <formula>$BW$112</formula>
    </cfRule>
    <cfRule type="cellIs" dxfId="259" priority="325" operator="equal">
      <formula>$BO$112</formula>
    </cfRule>
  </conditionalFormatting>
  <conditionalFormatting sqref="BY117">
    <cfRule type="cellIs" dxfId="258" priority="321" operator="equal">
      <formula>$BW$117</formula>
    </cfRule>
    <cfRule type="cellIs" dxfId="257" priority="322" operator="equal">
      <formula>$BO$117</formula>
    </cfRule>
  </conditionalFormatting>
  <conditionalFormatting sqref="BY118">
    <cfRule type="cellIs" dxfId="256" priority="318" operator="equal">
      <formula>$BW$118</formula>
    </cfRule>
    <cfRule type="cellIs" dxfId="255" priority="319" operator="equal">
      <formula>$BO$118</formula>
    </cfRule>
  </conditionalFormatting>
  <conditionalFormatting sqref="BY123">
    <cfRule type="cellIs" dxfId="254" priority="315" operator="equal">
      <formula>$BW$123</formula>
    </cfRule>
    <cfRule type="cellIs" dxfId="253" priority="316" operator="equal">
      <formula>$BO$123</formula>
    </cfRule>
  </conditionalFormatting>
  <conditionalFormatting sqref="BY130">
    <cfRule type="cellIs" dxfId="252" priority="312" operator="equal">
      <formula>$BW$130</formula>
    </cfRule>
    <cfRule type="cellIs" dxfId="251" priority="313" operator="equal">
      <formula>$BO$130</formula>
    </cfRule>
  </conditionalFormatting>
  <conditionalFormatting sqref="BY138">
    <cfRule type="cellIs" dxfId="250" priority="309" operator="equal">
      <formula>$BW$138</formula>
    </cfRule>
    <cfRule type="cellIs" dxfId="249" priority="310" operator="equal">
      <formula>$BO$138</formula>
    </cfRule>
  </conditionalFormatting>
  <conditionalFormatting sqref="BY140">
    <cfRule type="cellIs" dxfId="248" priority="306" operator="equal">
      <formula>$BW$140</formula>
    </cfRule>
    <cfRule type="cellIs" dxfId="247" priority="307" operator="equal">
      <formula>$BO$140</formula>
    </cfRule>
  </conditionalFormatting>
  <conditionalFormatting sqref="BY144">
    <cfRule type="cellIs" dxfId="246" priority="302" operator="equal">
      <formula>$BW$144</formula>
    </cfRule>
    <cfRule type="cellIs" dxfId="245" priority="303" operator="equal">
      <formula>$BO$144</formula>
    </cfRule>
  </conditionalFormatting>
  <conditionalFormatting sqref="BY146">
    <cfRule type="cellIs" dxfId="244" priority="300" operator="equal">
      <formula>$BW$146</formula>
    </cfRule>
    <cfRule type="cellIs" dxfId="243" priority="301" operator="equal">
      <formula>$BO$146</formula>
    </cfRule>
  </conditionalFormatting>
  <conditionalFormatting sqref="CG23">
    <cfRule type="cellIs" dxfId="242" priority="296" operator="equal">
      <formula>$CE$23</formula>
    </cfRule>
    <cfRule type="cellIs" dxfId="241" priority="297" operator="equal">
      <formula>$BO$23</formula>
    </cfRule>
    <cfRule type="cellIs" dxfId="240" priority="298" operator="equal">
      <formula>$BO$24</formula>
    </cfRule>
  </conditionalFormatting>
  <conditionalFormatting sqref="AI43:BN47">
    <cfRule type="cellIs" dxfId="239" priority="294" operator="equal">
      <formula>$CE$42</formula>
    </cfRule>
  </conditionalFormatting>
  <conditionalFormatting sqref="CG42">
    <cfRule type="cellIs" dxfId="238" priority="287" operator="equal">
      <formula>$CE$42</formula>
    </cfRule>
    <cfRule type="cellIs" dxfId="237" priority="293" operator="equal">
      <formula>$BO$42</formula>
    </cfRule>
  </conditionalFormatting>
  <conditionalFormatting sqref="CG43">
    <cfRule type="cellIs" dxfId="236" priority="292" operator="equal">
      <formula>$BO$43</formula>
    </cfRule>
  </conditionalFormatting>
  <conditionalFormatting sqref="CG44">
    <cfRule type="cellIs" dxfId="235" priority="291" operator="equal">
      <formula>$BO$44</formula>
    </cfRule>
  </conditionalFormatting>
  <conditionalFormatting sqref="CG45">
    <cfRule type="cellIs" dxfId="234" priority="290" operator="equal">
      <formula>$BO$45</formula>
    </cfRule>
  </conditionalFormatting>
  <conditionalFormatting sqref="CG46">
    <cfRule type="cellIs" dxfId="233" priority="289" operator="equal">
      <formula>$BO$46</formula>
    </cfRule>
  </conditionalFormatting>
  <conditionalFormatting sqref="CG47">
    <cfRule type="cellIs" dxfId="232" priority="288" operator="equal">
      <formula>$BO$47</formula>
    </cfRule>
  </conditionalFormatting>
  <conditionalFormatting sqref="CG43:CG47">
    <cfRule type="cellIs" dxfId="231" priority="286" operator="equal">
      <formula>$CE$42</formula>
    </cfRule>
  </conditionalFormatting>
  <conditionalFormatting sqref="CG110">
    <cfRule type="cellIs" dxfId="230" priority="283" operator="equal">
      <formula>$CE$110</formula>
    </cfRule>
    <cfRule type="cellIs" dxfId="229" priority="284" operator="equal">
      <formula>$BO$110</formula>
    </cfRule>
  </conditionalFormatting>
  <conditionalFormatting sqref="CK31">
    <cfRule type="cellIs" dxfId="228" priority="280" operator="equal">
      <formula>$CI$31</formula>
    </cfRule>
    <cfRule type="cellIs" dxfId="227" priority="281" operator="equal">
      <formula>$BO$31</formula>
    </cfRule>
  </conditionalFormatting>
  <conditionalFormatting sqref="CK40">
    <cfRule type="cellIs" dxfId="226" priority="277" operator="equal">
      <formula>$CI$40</formula>
    </cfRule>
    <cfRule type="cellIs" dxfId="225" priority="278" operator="equal">
      <formula>$BO$40</formula>
    </cfRule>
  </conditionalFormatting>
  <conditionalFormatting sqref="CK74">
    <cfRule type="cellIs" dxfId="224" priority="274" operator="equal">
      <formula>$CI$74</formula>
    </cfRule>
    <cfRule type="cellIs" dxfId="223" priority="275" operator="equal">
      <formula>$BO$74</formula>
    </cfRule>
  </conditionalFormatting>
  <conditionalFormatting sqref="CK89">
    <cfRule type="cellIs" dxfId="222" priority="271" operator="equal">
      <formula>$CI$89</formula>
    </cfRule>
    <cfRule type="cellIs" dxfId="221" priority="272" operator="equal">
      <formula>$BO$89</formula>
    </cfRule>
  </conditionalFormatting>
  <conditionalFormatting sqref="CK92">
    <cfRule type="cellIs" dxfId="220" priority="266" operator="equal">
      <formula>$CI$92</formula>
    </cfRule>
    <cfRule type="cellIs" dxfId="219" priority="268" operator="equal">
      <formula>$BO$92</formula>
    </cfRule>
  </conditionalFormatting>
  <conditionalFormatting sqref="CK93">
    <cfRule type="cellIs" dxfId="218" priority="265" operator="equal">
      <formula>$CI$93</formula>
    </cfRule>
    <cfRule type="cellIs" dxfId="217" priority="267" operator="equal">
      <formula>$BO$93</formula>
    </cfRule>
  </conditionalFormatting>
  <conditionalFormatting sqref="CK127">
    <cfRule type="cellIs" dxfId="216" priority="262" operator="equal">
      <formula>$CI$127</formula>
    </cfRule>
    <cfRule type="cellIs" dxfId="215" priority="263" operator="equal">
      <formula>$BO$127</formula>
    </cfRule>
  </conditionalFormatting>
  <conditionalFormatting sqref="CK129">
    <cfRule type="cellIs" dxfId="214" priority="259" operator="equal">
      <formula>$CI$129</formula>
    </cfRule>
    <cfRule type="cellIs" dxfId="213" priority="260" operator="equal">
      <formula>$BO$129</formula>
    </cfRule>
  </conditionalFormatting>
  <conditionalFormatting sqref="CK131">
    <cfRule type="cellIs" dxfId="212" priority="256" operator="equal">
      <formula>$CI$131</formula>
    </cfRule>
    <cfRule type="cellIs" dxfId="211" priority="257" operator="equal">
      <formula>$BO$131</formula>
    </cfRule>
  </conditionalFormatting>
  <conditionalFormatting sqref="AI14:BN15">
    <cfRule type="cellIs" dxfId="210" priority="255" operator="equal">
      <formula>$CM$14</formula>
    </cfRule>
  </conditionalFormatting>
  <conditionalFormatting sqref="CO14">
    <cfRule type="cellIs" dxfId="209" priority="254" operator="equal">
      <formula>$BO$14</formula>
    </cfRule>
  </conditionalFormatting>
  <conditionalFormatting sqref="CO15">
    <cfRule type="cellIs" dxfId="208" priority="253" operator="equal">
      <formula>$BO$15</formula>
    </cfRule>
  </conditionalFormatting>
  <conditionalFormatting sqref="CO14:CO15">
    <cfRule type="cellIs" dxfId="207" priority="252" operator="equal">
      <formula>$CM$14</formula>
    </cfRule>
  </conditionalFormatting>
  <conditionalFormatting sqref="CO32">
    <cfRule type="cellIs" dxfId="206" priority="247" operator="equal">
      <formula>$CM$32</formula>
    </cfRule>
    <cfRule type="cellIs" dxfId="205" priority="248" operator="equal">
      <formula>$BO$32</formula>
    </cfRule>
  </conditionalFormatting>
  <conditionalFormatting sqref="CO33">
    <cfRule type="cellIs" dxfId="204" priority="244" operator="equal">
      <formula>$CM$33</formula>
    </cfRule>
    <cfRule type="cellIs" dxfId="203" priority="246" operator="equal">
      <formula>$BO$33</formula>
    </cfRule>
  </conditionalFormatting>
  <conditionalFormatting sqref="CO34">
    <cfRule type="cellIs" dxfId="202" priority="243" operator="equal">
      <formula>$CM$34</formula>
    </cfRule>
    <cfRule type="cellIs" dxfId="201" priority="245" operator="equal">
      <formula>$BO$34</formula>
    </cfRule>
  </conditionalFormatting>
  <conditionalFormatting sqref="AI2:BN2">
    <cfRule type="cellIs" dxfId="200" priority="242" operator="equal">
      <formula>$CQ$2</formula>
    </cfRule>
  </conditionalFormatting>
  <conditionalFormatting sqref="CS2">
    <cfRule type="cellIs" dxfId="199" priority="241" operator="equal">
      <formula>$BO$2</formula>
    </cfRule>
  </conditionalFormatting>
  <conditionalFormatting sqref="CS2">
    <cfRule type="cellIs" dxfId="198" priority="240" operator="equal">
      <formula>$CQ$2</formula>
    </cfRule>
  </conditionalFormatting>
  <conditionalFormatting sqref="AI10:BN10">
    <cfRule type="cellIs" dxfId="197" priority="239" operator="equal">
      <formula>$CQ$10</formula>
    </cfRule>
  </conditionalFormatting>
  <conditionalFormatting sqref="CS10">
    <cfRule type="cellIs" dxfId="196" priority="238" operator="equal">
      <formula>$BO$10</formula>
    </cfRule>
  </conditionalFormatting>
  <conditionalFormatting sqref="CS10">
    <cfRule type="cellIs" dxfId="195" priority="237" operator="equal">
      <formula>$CQ$10</formula>
    </cfRule>
  </conditionalFormatting>
  <conditionalFormatting sqref="AI16:BN16">
    <cfRule type="cellIs" dxfId="194" priority="236" operator="equal">
      <formula>$CQ$16</formula>
    </cfRule>
  </conditionalFormatting>
  <conditionalFormatting sqref="CS16">
    <cfRule type="cellIs" dxfId="193" priority="235" operator="equal">
      <formula>$BO$16</formula>
    </cfRule>
  </conditionalFormatting>
  <conditionalFormatting sqref="CS16">
    <cfRule type="cellIs" dxfId="192" priority="234" operator="equal">
      <formula>$CQ$16</formula>
    </cfRule>
  </conditionalFormatting>
  <conditionalFormatting sqref="AI18:BN20">
    <cfRule type="cellIs" dxfId="191" priority="233" operator="equal">
      <formula>$CQ$18</formula>
    </cfRule>
  </conditionalFormatting>
  <conditionalFormatting sqref="CS18">
    <cfRule type="cellIs" dxfId="190" priority="232" operator="equal">
      <formula>$BO$18</formula>
    </cfRule>
  </conditionalFormatting>
  <conditionalFormatting sqref="CS19">
    <cfRule type="cellIs" dxfId="189" priority="231" operator="equal">
      <formula>$BO$19</formula>
    </cfRule>
  </conditionalFormatting>
  <conditionalFormatting sqref="CS20">
    <cfRule type="cellIs" dxfId="188" priority="230" operator="equal">
      <formula>$BO$20</formula>
    </cfRule>
  </conditionalFormatting>
  <conditionalFormatting sqref="CS18:CS20">
    <cfRule type="cellIs" dxfId="187" priority="229" operator="equal">
      <formula>$CQ$18</formula>
    </cfRule>
  </conditionalFormatting>
  <conditionalFormatting sqref="CS35">
    <cfRule type="cellIs" dxfId="186" priority="226" operator="equal">
      <formula>$CQ$35</formula>
    </cfRule>
    <cfRule type="cellIs" dxfId="185" priority="227" operator="equal">
      <formula>$BO$35</formula>
    </cfRule>
  </conditionalFormatting>
  <conditionalFormatting sqref="CS37">
    <cfRule type="cellIs" dxfId="184" priority="223" operator="equal">
      <formula>$CQ$37</formula>
    </cfRule>
    <cfRule type="cellIs" dxfId="183" priority="224" operator="equal">
      <formula>$BO$37</formula>
    </cfRule>
  </conditionalFormatting>
  <conditionalFormatting sqref="AI52:BN54">
    <cfRule type="cellIs" dxfId="182" priority="222" operator="equal">
      <formula>$CQ$52</formula>
    </cfRule>
  </conditionalFormatting>
  <conditionalFormatting sqref="CS52">
    <cfRule type="cellIs" dxfId="181" priority="221" operator="equal">
      <formula>$BO$52</formula>
    </cfRule>
  </conditionalFormatting>
  <conditionalFormatting sqref="CS53">
    <cfRule type="cellIs" dxfId="180" priority="220" operator="equal">
      <formula>$BO$53</formula>
    </cfRule>
  </conditionalFormatting>
  <conditionalFormatting sqref="CS54">
    <cfRule type="cellIs" dxfId="179" priority="219" operator="equal">
      <formula>$BO$54</formula>
    </cfRule>
  </conditionalFormatting>
  <conditionalFormatting sqref="CS52:CS54">
    <cfRule type="cellIs" dxfId="178" priority="218" operator="equal">
      <formula>$CQ$52</formula>
    </cfRule>
  </conditionalFormatting>
  <conditionalFormatting sqref="CS80">
    <cfRule type="cellIs" dxfId="177" priority="215" operator="equal">
      <formula>$CQ$80</formula>
    </cfRule>
    <cfRule type="cellIs" dxfId="176" priority="216" operator="equal">
      <formula>$BO$80</formula>
    </cfRule>
  </conditionalFormatting>
  <conditionalFormatting sqref="AI90:BN91">
    <cfRule type="cellIs" dxfId="175" priority="214" operator="equal">
      <formula>$CQ$90</formula>
    </cfRule>
  </conditionalFormatting>
  <conditionalFormatting sqref="CS90">
    <cfRule type="cellIs" dxfId="174" priority="213" operator="equal">
      <formula>$BO$90</formula>
    </cfRule>
  </conditionalFormatting>
  <conditionalFormatting sqref="CS91">
    <cfRule type="cellIs" dxfId="173" priority="212" operator="equal">
      <formula>$BO$91</formula>
    </cfRule>
  </conditionalFormatting>
  <conditionalFormatting sqref="CS90:CS91">
    <cfRule type="cellIs" dxfId="172" priority="211" operator="equal">
      <formula>$CQ$90</formula>
    </cfRule>
  </conditionalFormatting>
  <conditionalFormatting sqref="AI8:BN8">
    <cfRule type="cellIs" dxfId="171" priority="210" operator="equal">
      <formula>$CU$8</formula>
    </cfRule>
  </conditionalFormatting>
  <conditionalFormatting sqref="AI9:BN9">
    <cfRule type="cellIs" dxfId="170" priority="209" operator="equal">
      <formula>$CU$9</formula>
    </cfRule>
  </conditionalFormatting>
  <conditionalFormatting sqref="CW8">
    <cfRule type="cellIs" dxfId="169" priority="208" operator="equal">
      <formula>$BO$8</formula>
    </cfRule>
  </conditionalFormatting>
  <conditionalFormatting sqref="CW8">
    <cfRule type="cellIs" dxfId="168" priority="207" operator="equal">
      <formula>$CU$8</formula>
    </cfRule>
  </conditionalFormatting>
  <conditionalFormatting sqref="CW9">
    <cfRule type="cellIs" dxfId="167" priority="206" operator="equal">
      <formula>$BO$9</formula>
    </cfRule>
  </conditionalFormatting>
  <conditionalFormatting sqref="CW9">
    <cfRule type="cellIs" dxfId="166" priority="205" operator="equal">
      <formula>$CU$9</formula>
    </cfRule>
  </conditionalFormatting>
  <conditionalFormatting sqref="AI11:BN11">
    <cfRule type="cellIs" dxfId="165" priority="204" operator="equal">
      <formula>$CU$11</formula>
    </cfRule>
  </conditionalFormatting>
  <conditionalFormatting sqref="AI12:BN12">
    <cfRule type="cellIs" dxfId="164" priority="203" operator="equal">
      <formula>$CU$12</formula>
    </cfRule>
  </conditionalFormatting>
  <conditionalFormatting sqref="AI13:BN13">
    <cfRule type="cellIs" dxfId="163" priority="202" operator="equal">
      <formula>$CU$13</formula>
    </cfRule>
  </conditionalFormatting>
  <conditionalFormatting sqref="CW11">
    <cfRule type="cellIs" dxfId="162" priority="201" operator="equal">
      <formula>$BO$11</formula>
    </cfRule>
  </conditionalFormatting>
  <conditionalFormatting sqref="CW12">
    <cfRule type="cellIs" dxfId="161" priority="200" operator="equal">
      <formula>$BO$12</formula>
    </cfRule>
  </conditionalFormatting>
  <conditionalFormatting sqref="CW13">
    <cfRule type="cellIs" dxfId="160" priority="199" operator="equal">
      <formula>$BO$13</formula>
    </cfRule>
  </conditionalFormatting>
  <conditionalFormatting sqref="CW11">
    <cfRule type="cellIs" dxfId="159" priority="198" operator="equal">
      <formula>$CU$11</formula>
    </cfRule>
  </conditionalFormatting>
  <conditionalFormatting sqref="CW12">
    <cfRule type="cellIs" dxfId="158" priority="197" operator="equal">
      <formula>$CU$12</formula>
    </cfRule>
  </conditionalFormatting>
  <conditionalFormatting sqref="CW13">
    <cfRule type="cellIs" dxfId="157" priority="196" operator="equal">
      <formula>$CU$13</formula>
    </cfRule>
  </conditionalFormatting>
  <conditionalFormatting sqref="CW29">
    <cfRule type="cellIs" dxfId="156" priority="193" operator="equal">
      <formula>$CU$29</formula>
    </cfRule>
    <cfRule type="cellIs" dxfId="155" priority="194" operator="equal">
      <formula>$BO$29</formula>
    </cfRule>
  </conditionalFormatting>
  <conditionalFormatting sqref="CW38">
    <cfRule type="cellIs" dxfId="154" priority="189" operator="equal">
      <formula>$CU$38</formula>
    </cfRule>
    <cfRule type="cellIs" dxfId="153" priority="190" operator="equal">
      <formula>$BO$38</formula>
    </cfRule>
  </conditionalFormatting>
  <conditionalFormatting sqref="CW39">
    <cfRule type="cellIs" dxfId="152" priority="187" operator="equal">
      <formula>$CU$39</formula>
    </cfRule>
    <cfRule type="cellIs" dxfId="151" priority="188" operator="equal">
      <formula>$BO$39</formula>
    </cfRule>
  </conditionalFormatting>
  <conditionalFormatting sqref="CW50">
    <cfRule type="cellIs" dxfId="150" priority="184" operator="equal">
      <formula>$CU$50</formula>
    </cfRule>
    <cfRule type="cellIs" dxfId="149" priority="185" operator="equal">
      <formula>$BO$50</formula>
    </cfRule>
  </conditionalFormatting>
  <conditionalFormatting sqref="CW62">
    <cfRule type="cellIs" dxfId="148" priority="181" operator="equal">
      <formula>$CU$62</formula>
    </cfRule>
    <cfRule type="cellIs" dxfId="147" priority="182" operator="equal">
      <formula>$BO$62</formula>
    </cfRule>
  </conditionalFormatting>
  <conditionalFormatting sqref="AI66:BN67">
    <cfRule type="cellIs" dxfId="146" priority="180" operator="equal">
      <formula>$CU$66</formula>
    </cfRule>
  </conditionalFormatting>
  <conditionalFormatting sqref="CW66">
    <cfRule type="cellIs" dxfId="145" priority="179" operator="equal">
      <formula>$BO$66</formula>
    </cfRule>
  </conditionalFormatting>
  <conditionalFormatting sqref="CW67">
    <cfRule type="cellIs" dxfId="144" priority="178" operator="equal">
      <formula>$BO$67</formula>
    </cfRule>
  </conditionalFormatting>
  <conditionalFormatting sqref="CW66:CW67">
    <cfRule type="cellIs" dxfId="143" priority="177" operator="equal">
      <formula>$CU$66</formula>
    </cfRule>
  </conditionalFormatting>
  <conditionalFormatting sqref="CW71">
    <cfRule type="cellIs" dxfId="142" priority="174" operator="equal">
      <formula>$CU$71</formula>
    </cfRule>
    <cfRule type="cellIs" dxfId="141" priority="175" operator="equal">
      <formula>$BO$71</formula>
    </cfRule>
  </conditionalFormatting>
  <conditionalFormatting sqref="CW75">
    <cfRule type="cellIs" dxfId="140" priority="171" operator="equal">
      <formula>$CI$74</formula>
    </cfRule>
    <cfRule type="cellIs" dxfId="139" priority="172" operator="equal">
      <formula>$BO$74</formula>
    </cfRule>
  </conditionalFormatting>
  <conditionalFormatting sqref="CW81">
    <cfRule type="cellIs" dxfId="138" priority="168" operator="equal">
      <formula>$CU$81</formula>
    </cfRule>
    <cfRule type="cellIs" dxfId="137" priority="169" operator="equal">
      <formula>$BO$81</formula>
    </cfRule>
  </conditionalFormatting>
  <conditionalFormatting sqref="CW102">
    <cfRule type="cellIs" dxfId="136" priority="165" operator="equal">
      <formula>$CU$102</formula>
    </cfRule>
    <cfRule type="cellIs" dxfId="135" priority="166" operator="equal">
      <formula>$BO$102</formula>
    </cfRule>
  </conditionalFormatting>
  <conditionalFormatting sqref="AI105:BN106">
    <cfRule type="cellIs" dxfId="134" priority="164" operator="equal">
      <formula>$CU$105</formula>
    </cfRule>
  </conditionalFormatting>
  <conditionalFormatting sqref="CW105">
    <cfRule type="cellIs" dxfId="133" priority="163" operator="equal">
      <formula>$BO$105</formula>
    </cfRule>
  </conditionalFormatting>
  <conditionalFormatting sqref="CW106">
    <cfRule type="cellIs" dxfId="132" priority="162" operator="equal">
      <formula>$BO$106</formula>
    </cfRule>
  </conditionalFormatting>
  <conditionalFormatting sqref="CW105:CW106">
    <cfRule type="cellIs" dxfId="131" priority="161" operator="equal">
      <formula>$CU$105</formula>
    </cfRule>
  </conditionalFormatting>
  <conditionalFormatting sqref="AI113:BN116">
    <cfRule type="cellIs" dxfId="130" priority="160" operator="equal">
      <formula>$CU$113</formula>
    </cfRule>
  </conditionalFormatting>
  <conditionalFormatting sqref="CW113">
    <cfRule type="cellIs" dxfId="129" priority="159" operator="equal">
      <formula>$BO$113</formula>
    </cfRule>
  </conditionalFormatting>
  <conditionalFormatting sqref="CW114">
    <cfRule type="cellIs" dxfId="128" priority="158" operator="equal">
      <formula>$BO$114</formula>
    </cfRule>
  </conditionalFormatting>
  <conditionalFormatting sqref="CW115">
    <cfRule type="cellIs" dxfId="127" priority="157" operator="equal">
      <formula>$BO$115</formula>
    </cfRule>
  </conditionalFormatting>
  <conditionalFormatting sqref="CW116">
    <cfRule type="cellIs" dxfId="126" priority="156" operator="equal">
      <formula>$BO$116</formula>
    </cfRule>
  </conditionalFormatting>
  <conditionalFormatting sqref="CW113:CW116">
    <cfRule type="cellIs" dxfId="125" priority="155" operator="equal">
      <formula>$CU$113</formula>
    </cfRule>
  </conditionalFormatting>
  <conditionalFormatting sqref="CW124">
    <cfRule type="cellIs" dxfId="124" priority="151" operator="equal">
      <formula>$CU$124</formula>
    </cfRule>
    <cfRule type="cellIs" dxfId="123" priority="152" operator="equal">
      <formula>$BO$124</formula>
    </cfRule>
  </conditionalFormatting>
  <conditionalFormatting sqref="CW125">
    <cfRule type="cellIs" dxfId="122" priority="149" operator="equal">
      <formula>$CU$125</formula>
    </cfRule>
    <cfRule type="cellIs" dxfId="121" priority="150" operator="equal">
      <formula>$BO$125</formula>
    </cfRule>
  </conditionalFormatting>
  <conditionalFormatting sqref="CW141">
    <cfRule type="cellIs" dxfId="120" priority="145" operator="equal">
      <formula>$CU$141</formula>
    </cfRule>
    <cfRule type="cellIs" dxfId="119" priority="146" operator="equal">
      <formula>$BO$141</formula>
    </cfRule>
  </conditionalFormatting>
  <conditionalFormatting sqref="CW145">
    <cfRule type="cellIs" dxfId="118" priority="142" operator="equal">
      <formula>$CU$145</formula>
    </cfRule>
    <cfRule type="cellIs" dxfId="117" priority="143" operator="equal">
      <formula>$BO$145</formula>
    </cfRule>
  </conditionalFormatting>
  <conditionalFormatting sqref="DA30">
    <cfRule type="cellIs" dxfId="116" priority="139" operator="equal">
      <formula>$CY$30</formula>
    </cfRule>
    <cfRule type="cellIs" dxfId="115" priority="140" operator="equal">
      <formula>$BO$30</formula>
    </cfRule>
  </conditionalFormatting>
  <conditionalFormatting sqref="DA41">
    <cfRule type="cellIs" dxfId="114" priority="136" operator="equal">
      <formula>$CY$41</formula>
    </cfRule>
    <cfRule type="cellIs" dxfId="113" priority="137" operator="equal">
      <formula>$BO$41</formula>
    </cfRule>
  </conditionalFormatting>
  <conditionalFormatting sqref="AI58:BN59">
    <cfRule type="cellIs" dxfId="112" priority="135" operator="equal">
      <formula>$CY$58</formula>
    </cfRule>
  </conditionalFormatting>
  <conditionalFormatting sqref="DA58">
    <cfRule type="cellIs" dxfId="111" priority="134" operator="equal">
      <formula>$BO$58</formula>
    </cfRule>
  </conditionalFormatting>
  <conditionalFormatting sqref="DA59">
    <cfRule type="cellIs" dxfId="110" priority="133" operator="equal">
      <formula>$BO$59</formula>
    </cfRule>
  </conditionalFormatting>
  <conditionalFormatting sqref="DA58:DA59">
    <cfRule type="cellIs" dxfId="109" priority="132" operator="equal">
      <formula>$CY$58</formula>
    </cfRule>
  </conditionalFormatting>
  <conditionalFormatting sqref="DA103">
    <cfRule type="cellIs" dxfId="108" priority="129" operator="equal">
      <formula>$CY$103</formula>
    </cfRule>
    <cfRule type="cellIs" dxfId="107" priority="130" operator="equal">
      <formula>$BO$103</formula>
    </cfRule>
  </conditionalFormatting>
  <conditionalFormatting sqref="CW109">
    <cfRule type="cellIs" dxfId="106" priority="126" operator="equal">
      <formula>$CU$109</formula>
    </cfRule>
    <cfRule type="cellIs" dxfId="105" priority="127" operator="equal">
      <formula>$BO$109</formula>
    </cfRule>
  </conditionalFormatting>
  <conditionalFormatting sqref="AI4:BN4">
    <cfRule type="cellIs" dxfId="104" priority="125" operator="equal">
      <formula>$DC$4</formula>
    </cfRule>
  </conditionalFormatting>
  <conditionalFormatting sqref="DE4">
    <cfRule type="cellIs" dxfId="103" priority="124" operator="equal">
      <formula>$BO$4</formula>
    </cfRule>
  </conditionalFormatting>
  <conditionalFormatting sqref="DE4">
    <cfRule type="cellIs" dxfId="102" priority="123" operator="equal">
      <formula>$DC$4</formula>
    </cfRule>
  </conditionalFormatting>
  <conditionalFormatting sqref="AI6:BN6">
    <cfRule type="cellIs" dxfId="101" priority="122" operator="equal">
      <formula>$DC$6</formula>
    </cfRule>
  </conditionalFormatting>
  <conditionalFormatting sqref="DE6">
    <cfRule type="cellIs" dxfId="100" priority="121" operator="equal">
      <formula>$BO$6</formula>
    </cfRule>
  </conditionalFormatting>
  <conditionalFormatting sqref="DE6">
    <cfRule type="cellIs" dxfId="99" priority="120" operator="equal">
      <formula>$DC$6</formula>
    </cfRule>
  </conditionalFormatting>
  <conditionalFormatting sqref="AI76:BN78">
    <cfRule type="cellIs" dxfId="98" priority="119" operator="equal">
      <formula>$DC$76</formula>
    </cfRule>
  </conditionalFormatting>
  <conditionalFormatting sqref="DE76">
    <cfRule type="cellIs" dxfId="97" priority="118" operator="equal">
      <formula>$BO$76</formula>
    </cfRule>
  </conditionalFormatting>
  <conditionalFormatting sqref="DE77">
    <cfRule type="cellIs" dxfId="96" priority="117" operator="equal">
      <formula>$BO$77</formula>
    </cfRule>
  </conditionalFormatting>
  <conditionalFormatting sqref="DE78">
    <cfRule type="cellIs" dxfId="95" priority="116" operator="equal">
      <formula>$BO$78</formula>
    </cfRule>
  </conditionalFormatting>
  <conditionalFormatting sqref="DE76:DE78">
    <cfRule type="cellIs" dxfId="94" priority="115" operator="equal">
      <formula>$DC$76</formula>
    </cfRule>
  </conditionalFormatting>
  <conditionalFormatting sqref="DE86">
    <cfRule type="cellIs" dxfId="93" priority="110" operator="equal">
      <formula>$DC$86</formula>
    </cfRule>
    <cfRule type="cellIs" dxfId="92" priority="112" operator="equal">
      <formula>$BO$86</formula>
    </cfRule>
  </conditionalFormatting>
  <conditionalFormatting sqref="DE87">
    <cfRule type="cellIs" dxfId="91" priority="109" operator="equal">
      <formula>$DC$87</formula>
    </cfRule>
    <cfRule type="cellIs" dxfId="90" priority="111" operator="equal">
      <formula>$BO$87</formula>
    </cfRule>
  </conditionalFormatting>
  <conditionalFormatting sqref="DE98">
    <cfRule type="cellIs" dxfId="89" priority="106" operator="equal">
      <formula>$DC$98</formula>
    </cfRule>
    <cfRule type="cellIs" dxfId="88" priority="107" operator="equal">
      <formula>$BO$98</formula>
    </cfRule>
  </conditionalFormatting>
  <conditionalFormatting sqref="DE101">
    <cfRule type="cellIs" dxfId="87" priority="103" operator="equal">
      <formula>$DC$101</formula>
    </cfRule>
    <cfRule type="cellIs" dxfId="86" priority="104" operator="equal">
      <formula>$BO$101</formula>
    </cfRule>
  </conditionalFormatting>
  <conditionalFormatting sqref="DE119">
    <cfRule type="cellIs" dxfId="85" priority="98" operator="equal">
      <formula>$DC$119</formula>
    </cfRule>
    <cfRule type="cellIs" dxfId="84" priority="100" operator="equal">
      <formula>$BO$119</formula>
    </cfRule>
  </conditionalFormatting>
  <conditionalFormatting sqref="DE120">
    <cfRule type="cellIs" dxfId="83" priority="97" operator="equal">
      <formula>$DC$120</formula>
    </cfRule>
    <cfRule type="cellIs" dxfId="82" priority="99" operator="equal">
      <formula>$BO$120</formula>
    </cfRule>
  </conditionalFormatting>
  <conditionalFormatting sqref="DE126">
    <cfRule type="cellIs" dxfId="81" priority="94" operator="equal">
      <formula>$DC$126</formula>
    </cfRule>
    <cfRule type="cellIs" dxfId="80" priority="95" operator="equal">
      <formula>$BO$126</formula>
    </cfRule>
  </conditionalFormatting>
  <conditionalFormatting sqref="DE142">
    <cfRule type="cellIs" dxfId="79" priority="91" operator="equal">
      <formula>$DC$142</formula>
    </cfRule>
    <cfRule type="cellIs" dxfId="78" priority="92" operator="equal">
      <formula>$BO$142</formula>
    </cfRule>
  </conditionalFormatting>
  <conditionalFormatting sqref="DM21">
    <cfRule type="cellIs" dxfId="77" priority="88" operator="equal">
      <formula>$DK$21</formula>
    </cfRule>
    <cfRule type="cellIs" dxfId="76" priority="89" operator="equal">
      <formula>$BO$21</formula>
    </cfRule>
  </conditionalFormatting>
  <conditionalFormatting sqref="AI17:BN17">
    <cfRule type="cellIs" dxfId="75" priority="87" operator="equal">
      <formula>$DS$17</formula>
    </cfRule>
  </conditionalFormatting>
  <conditionalFormatting sqref="DU17">
    <cfRule type="cellIs" dxfId="74" priority="86" operator="equal">
      <formula>$BO$17</formula>
    </cfRule>
  </conditionalFormatting>
  <conditionalFormatting sqref="DU17">
    <cfRule type="cellIs" dxfId="73" priority="85" operator="equal">
      <formula>$DS$17</formula>
    </cfRule>
  </conditionalFormatting>
  <conditionalFormatting sqref="DU63">
    <cfRule type="cellIs" dxfId="72" priority="82" operator="equal">
      <formula>$DS$63</formula>
    </cfRule>
    <cfRule type="cellIs" dxfId="71" priority="83" operator="equal">
      <formula>$BO$63</formula>
    </cfRule>
  </conditionalFormatting>
  <conditionalFormatting sqref="DU94:DV94">
    <cfRule type="cellIs" dxfId="70" priority="79" operator="equal">
      <formula>$DS$94</formula>
    </cfRule>
    <cfRule type="cellIs" dxfId="69" priority="80" operator="equal">
      <formula>$BO$94</formula>
    </cfRule>
  </conditionalFormatting>
  <conditionalFormatting sqref="DU104:DV104">
    <cfRule type="cellIs" dxfId="68" priority="76" operator="equal">
      <formula>$DS$104</formula>
    </cfRule>
    <cfRule type="cellIs" dxfId="67" priority="77" operator="equal">
      <formula>$BO$104</formula>
    </cfRule>
  </conditionalFormatting>
  <conditionalFormatting sqref="AI132:BN133">
    <cfRule type="cellIs" dxfId="66" priority="75" operator="equal">
      <formula>$DS$132</formula>
    </cfRule>
  </conditionalFormatting>
  <conditionalFormatting sqref="DU132">
    <cfRule type="cellIs" dxfId="65" priority="74" operator="equal">
      <formula>$BO$132</formula>
    </cfRule>
  </conditionalFormatting>
  <conditionalFormatting sqref="DU133">
    <cfRule type="cellIs" dxfId="64" priority="73" operator="equal">
      <formula>$BO$133</formula>
    </cfRule>
  </conditionalFormatting>
  <conditionalFormatting sqref="DU132:DU133">
    <cfRule type="cellIs" dxfId="63" priority="72" operator="equal">
      <formula>$DS$132</formula>
    </cfRule>
  </conditionalFormatting>
  <conditionalFormatting sqref="DU128">
    <cfRule type="cellIs" dxfId="62" priority="66" operator="equal">
      <formula>$DS$128</formula>
    </cfRule>
    <cfRule type="cellIs" dxfId="61" priority="67" operator="equal">
      <formula>$BO$128</formula>
    </cfRule>
  </conditionalFormatting>
  <conditionalFormatting sqref="DU134">
    <cfRule type="cellIs" dxfId="60" priority="58" operator="equal">
      <formula>$DS$134</formula>
    </cfRule>
    <cfRule type="cellIs" dxfId="59" priority="62" operator="equal">
      <formula>$BO$134</formula>
    </cfRule>
  </conditionalFormatting>
  <conditionalFormatting sqref="DU135">
    <cfRule type="cellIs" dxfId="58" priority="55" operator="equal">
      <formula>$DS$135</formula>
    </cfRule>
    <cfRule type="cellIs" dxfId="57" priority="56" operator="equal">
      <formula>$DS$134</formula>
    </cfRule>
    <cfRule type="cellIs" dxfId="56" priority="57" operator="equal">
      <formula>$DS$134</formula>
    </cfRule>
    <cfRule type="cellIs" dxfId="55" priority="61" operator="equal">
      <formula>$BO$135</formula>
    </cfRule>
  </conditionalFormatting>
  <conditionalFormatting sqref="DU136">
    <cfRule type="cellIs" dxfId="54" priority="54" operator="equal">
      <formula>$DS$136</formula>
    </cfRule>
    <cfRule type="cellIs" dxfId="53" priority="60" operator="equal">
      <formula>$BO$136</formula>
    </cfRule>
  </conditionalFormatting>
  <conditionalFormatting sqref="DU137">
    <cfRule type="cellIs" dxfId="52" priority="53" operator="equal">
      <formula>$DS$137</formula>
    </cfRule>
    <cfRule type="cellIs" dxfId="51" priority="59" operator="equal">
      <formula>$BO$137</formula>
    </cfRule>
  </conditionalFormatting>
  <conditionalFormatting sqref="DU143">
    <cfRule type="cellIs" dxfId="50" priority="50" operator="equal">
      <formula>$DS$143</formula>
    </cfRule>
    <cfRule type="cellIs" dxfId="49" priority="51" operator="equal">
      <formula>$BO$143</formula>
    </cfRule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alicebartolini</dc:creator>
  <cp:lastModifiedBy>alice bartolini</cp:lastModifiedBy>
  <dcterms:created xsi:type="dcterms:W3CDTF">2023-10-23T11:33:23Z</dcterms:created>
  <dcterms:modified xsi:type="dcterms:W3CDTF">2023-10-24T17:22:49Z</dcterms:modified>
</cp:coreProperties>
</file>